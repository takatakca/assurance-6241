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y.Dubois\OneDrive - SCM Insurance Services\Documents\"/>
    </mc:Choice>
  </mc:AlternateContent>
  <xr:revisionPtr revIDLastSave="0" documentId="13_ncr:1_{B05D53BF-DD38-4FCF-85FB-66A74D8E581B}" xr6:coauthVersionLast="47" xr6:coauthVersionMax="47" xr10:uidLastSave="{00000000-0000-0000-0000-000000000000}"/>
  <bookViews>
    <workbookView xWindow="-120" yWindow="-120" windowWidth="20730" windowHeight="11160" xr2:uid="{13DEF5C9-4298-4BFB-A019-A6B0AA2EA3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9" i="1" s="1"/>
  <c r="H51" i="1"/>
  <c r="H59" i="1" s="1"/>
  <c r="H63" i="1" s="1"/>
  <c r="H67" i="1" s="1"/>
  <c r="F51" i="1"/>
  <c r="F59" i="1" s="1"/>
</calcChain>
</file>

<file path=xl/sharedStrings.xml><?xml version="1.0" encoding="utf-8"?>
<sst xmlns="http://schemas.openxmlformats.org/spreadsheetml/2006/main" count="119" uniqueCount="95">
  <si>
    <t>INDEMNIPRO</t>
  </si>
  <si>
    <t>Sommaire dossier 24110-4833</t>
  </si>
  <si>
    <t>Assuré: Hadmo</t>
  </si>
  <si>
    <t>Description</t>
  </si>
  <si>
    <t>Marchandise</t>
  </si>
  <si>
    <t>Équipements</t>
  </si>
  <si>
    <t>Fournisseur</t>
  </si>
  <si>
    <t>No. facture</t>
  </si>
  <si>
    <t>Date</t>
  </si>
  <si>
    <t xml:space="preserve">Montant </t>
  </si>
  <si>
    <t>réclamé</t>
  </si>
  <si>
    <t xml:space="preserve">Montnat </t>
  </si>
  <si>
    <t>alloué</t>
  </si>
  <si>
    <t>Frigo Pâtisserie IFI-DDSG-6</t>
  </si>
  <si>
    <t>7 juillet, 2024</t>
  </si>
  <si>
    <t>Commentaires</t>
  </si>
  <si>
    <t>Devis 260</t>
  </si>
  <si>
    <t>Devis 259</t>
  </si>
  <si>
    <t>Aucune explication cause du bris</t>
  </si>
  <si>
    <t>Frigo-Spec</t>
  </si>
  <si>
    <t>Module de remplissage et valve</t>
  </si>
  <si>
    <t>Machine à café Curtis</t>
  </si>
  <si>
    <t>Chambre de congélation</t>
  </si>
  <si>
    <t>7 juillet,2024</t>
  </si>
  <si>
    <t>Compresseur filtre,thermostat</t>
  </si>
  <si>
    <t>Four Tim Horton</t>
  </si>
  <si>
    <t>Devis 263</t>
  </si>
  <si>
    <t>Sonde de temp. et plaque de contrôle</t>
  </si>
  <si>
    <t xml:space="preserve">Compresseur </t>
  </si>
  <si>
    <t>Frigo une porte</t>
  </si>
  <si>
    <t>Machine cocktail taylor</t>
  </si>
  <si>
    <t>Moteur agitateur et compresseur</t>
  </si>
  <si>
    <t xml:space="preserve">Electro Freeze </t>
  </si>
  <si>
    <t>Devis 264</t>
  </si>
  <si>
    <t>Compresseur</t>
  </si>
  <si>
    <t>Contrôle électronique</t>
  </si>
  <si>
    <t>Machine à Slush</t>
  </si>
  <si>
    <t>Four à Pizza</t>
  </si>
  <si>
    <t>Devis 265</t>
  </si>
  <si>
    <t>Blowers, Pilot. Sensor de sécurité</t>
  </si>
  <si>
    <t>Chambre froide</t>
  </si>
  <si>
    <t>Devis 268</t>
  </si>
  <si>
    <t>Total</t>
  </si>
  <si>
    <t>Frimabec</t>
  </si>
  <si>
    <t>Inspection</t>
  </si>
  <si>
    <t>6  oct.,2024</t>
  </si>
  <si>
    <t>allocation 80%</t>
  </si>
  <si>
    <t>Frigo-Spec-CKS</t>
  </si>
  <si>
    <t>Frigo était  à $7,900 et CKS est de $6,700.68</t>
  </si>
  <si>
    <t>Montnat</t>
  </si>
  <si>
    <t>évalué</t>
  </si>
  <si>
    <t>N82145</t>
  </si>
  <si>
    <t>Pas de facture</t>
  </si>
  <si>
    <t>Frigo-Spec-Remplacemet</t>
  </si>
  <si>
    <t>$1,485 remplace pour $1,200 pas de facture</t>
  </si>
  <si>
    <t>Frigidaire patisserie Hydro-Coll</t>
  </si>
  <si>
    <t>Déclaré perte totale estimé seulement</t>
  </si>
  <si>
    <t>pas de facture</t>
  </si>
  <si>
    <t>Sinco</t>
  </si>
  <si>
    <t>Estimé</t>
  </si>
  <si>
    <t>?</t>
  </si>
  <si>
    <t>Four À Pizza</t>
  </si>
  <si>
    <t>Aucune expertise perte totale remplacement</t>
  </si>
  <si>
    <t>A320</t>
  </si>
  <si>
    <t>A281</t>
  </si>
  <si>
    <t>A294</t>
  </si>
  <si>
    <t>29 juillet, 2024</t>
  </si>
  <si>
    <t>A290</t>
  </si>
  <si>
    <t>A315</t>
  </si>
  <si>
    <t>22 sept,2024</t>
  </si>
  <si>
    <t>Réparation</t>
  </si>
  <si>
    <t>Installation unité AC</t>
  </si>
  <si>
    <t>A245</t>
  </si>
  <si>
    <t>26 juin,2024</t>
  </si>
  <si>
    <t>Pourquoi le rempl. du AC?</t>
  </si>
  <si>
    <t>Machine Crème glacée</t>
  </si>
  <si>
    <t>A280</t>
  </si>
  <si>
    <t>15 juillet,A280</t>
  </si>
  <si>
    <t>A266</t>
  </si>
  <si>
    <t>10 juillet,2024</t>
  </si>
  <si>
    <t>Installé unité air</t>
  </si>
  <si>
    <t>Remplacement de compresseur $2,615</t>
  </si>
  <si>
    <t>recommnedation  de Frigo de remplacer</t>
  </si>
  <si>
    <t>Auger</t>
  </si>
  <si>
    <t>18 avril,2024</t>
  </si>
  <si>
    <t>Avant la date de perte</t>
  </si>
  <si>
    <t>Remplacement compresseur</t>
  </si>
  <si>
    <t>Moins franchise</t>
  </si>
  <si>
    <t>Moins paiement provisoire no.1</t>
  </si>
  <si>
    <t xml:space="preserve">Total </t>
  </si>
  <si>
    <t>En suspens</t>
  </si>
  <si>
    <t>Paiement recommandé no.2</t>
  </si>
  <si>
    <t>Conditioner heat pump</t>
  </si>
  <si>
    <t>Estimation</t>
  </si>
  <si>
    <t>Attend plus d'explications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</si>
</sst>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2" xfId="0" applyBorder="1"/>
    <xf numFmtId="44" fontId="0" fillId="0" borderId="2" xfId="1" applyFont="1" applyBorder="1"/>
    <xf numFmtId="0" fontId="0" fillId="0" borderId="3" xfId="0" applyBorder="1"/>
    <xf numFmtId="0" fontId="3" fillId="0" borderId="4" xfId="0" applyFont="1" applyBorder="1"/>
    <xf numFmtId="44" fontId="0" fillId="0" borderId="0" xfId="1" applyFont="1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center"/>
    </xf>
    <xf numFmtId="44" fontId="2" fillId="0" borderId="0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44" fontId="2" fillId="0" borderId="0" xfId="1" applyFont="1" applyBorder="1"/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0" fontId="0" fillId="0" borderId="8" xfId="0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44" fontId="0" fillId="0" borderId="9" xfId="1" applyFont="1" applyBorder="1"/>
    <xf numFmtId="44" fontId="0" fillId="0" borderId="10" xfId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44" fontId="2" fillId="0" borderId="11" xfId="1" applyFont="1" applyBorder="1" applyAlignment="1">
      <alignment horizontal="center"/>
    </xf>
    <xf numFmtId="44" fontId="0" fillId="0" borderId="10" xfId="1" applyFont="1" applyBorder="1"/>
    <xf numFmtId="44" fontId="2" fillId="0" borderId="10" xfId="1" applyFont="1" applyBorder="1"/>
    <xf numFmtId="44" fontId="0" fillId="0" borderId="11" xfId="1" applyFont="1" applyBorder="1"/>
    <xf numFmtId="0" fontId="2" fillId="0" borderId="5" xfId="0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46A-0910-4F34-AD96-EA088F48E629}">
  <dimension ref="A1:I68"/>
  <sheetViews>
    <sheetView tabSelected="1" topLeftCell="A46" workbookViewId="0">
      <selection activeCell="A49" sqref="A49"/>
    </sheetView>
  </sheetViews>
  <sheetFormatPr baseColWidth="10" defaultRowHeight="15" x14ac:dyDescent="0.25"/>
  <cols>
    <col min="1" max="1" width="3.85546875" customWidth="1"/>
    <col min="2" max="2" width="30.42578125" customWidth="1"/>
    <col min="3" max="3" width="24.28515625" customWidth="1"/>
    <col min="5" max="5" width="14.140625" customWidth="1"/>
    <col min="6" max="7" width="15.7109375" style="1" customWidth="1"/>
    <col min="8" max="8" width="16" style="1" customWidth="1"/>
    <col min="9" max="9" width="37.7109375" customWidth="1"/>
  </cols>
  <sheetData>
    <row r="1" spans="1:9" x14ac:dyDescent="0.25">
      <c r="B1" s="2"/>
      <c r="C1" s="3"/>
      <c r="D1" s="3"/>
      <c r="E1" s="3"/>
      <c r="F1" s="4"/>
      <c r="G1" s="4"/>
      <c r="H1" s="4"/>
      <c r="I1" s="5"/>
    </row>
    <row r="2" spans="1:9" ht="21" x14ac:dyDescent="0.35">
      <c r="B2" s="6" t="s">
        <v>0</v>
      </c>
      <c r="F2" s="7"/>
      <c r="G2" s="7"/>
      <c r="H2" s="7"/>
      <c r="I2" s="8"/>
    </row>
    <row r="3" spans="1:9" x14ac:dyDescent="0.25">
      <c r="B3" s="9" t="s">
        <v>1</v>
      </c>
      <c r="F3" s="7"/>
      <c r="G3" s="7"/>
      <c r="H3" s="7"/>
      <c r="I3" s="8"/>
    </row>
    <row r="4" spans="1:9" ht="15.75" thickBot="1" x14ac:dyDescent="0.3">
      <c r="B4" s="9" t="s">
        <v>2</v>
      </c>
      <c r="F4" s="7"/>
      <c r="G4" s="7"/>
      <c r="H4" s="7"/>
      <c r="I4" s="8"/>
    </row>
    <row r="5" spans="1:9" x14ac:dyDescent="0.25">
      <c r="B5" s="2"/>
      <c r="C5" s="27"/>
      <c r="D5" s="3"/>
      <c r="E5" s="27"/>
      <c r="F5" s="4"/>
      <c r="G5" s="34"/>
      <c r="H5" s="34"/>
      <c r="I5" s="5"/>
    </row>
    <row r="6" spans="1:9" x14ac:dyDescent="0.25">
      <c r="B6" s="9"/>
      <c r="C6" s="28"/>
      <c r="D6" s="10"/>
      <c r="E6" s="28"/>
      <c r="F6" s="11"/>
      <c r="G6" s="35"/>
      <c r="H6" s="35"/>
      <c r="I6" s="12"/>
    </row>
    <row r="7" spans="1:9" x14ac:dyDescent="0.25">
      <c r="B7" s="13" t="s">
        <v>3</v>
      </c>
      <c r="C7" s="29" t="s">
        <v>6</v>
      </c>
      <c r="D7" s="14" t="s">
        <v>7</v>
      </c>
      <c r="E7" s="29" t="s">
        <v>8</v>
      </c>
      <c r="F7" s="15" t="s">
        <v>9</v>
      </c>
      <c r="G7" s="36" t="s">
        <v>49</v>
      </c>
      <c r="H7" s="36" t="s">
        <v>11</v>
      </c>
      <c r="I7" s="16" t="s">
        <v>15</v>
      </c>
    </row>
    <row r="8" spans="1:9" ht="15.75" thickBot="1" x14ac:dyDescent="0.3">
      <c r="B8" s="23"/>
      <c r="C8" s="30"/>
      <c r="D8" s="24"/>
      <c r="E8" s="30"/>
      <c r="F8" s="25" t="s">
        <v>10</v>
      </c>
      <c r="G8" s="37" t="s">
        <v>50</v>
      </c>
      <c r="H8" s="37" t="s">
        <v>12</v>
      </c>
      <c r="I8" s="26"/>
    </row>
    <row r="9" spans="1:9" x14ac:dyDescent="0.25">
      <c r="B9" s="13"/>
      <c r="C9" s="31"/>
      <c r="E9" s="31"/>
      <c r="F9" s="7"/>
      <c r="G9" s="38"/>
      <c r="H9" s="38"/>
      <c r="I9" s="8"/>
    </row>
    <row r="10" spans="1:9" x14ac:dyDescent="0.25">
      <c r="B10" s="9"/>
      <c r="C10" s="31"/>
      <c r="E10" s="31"/>
      <c r="F10" s="7"/>
      <c r="G10" s="38"/>
      <c r="H10" s="38"/>
      <c r="I10" s="8"/>
    </row>
    <row r="11" spans="1:9" x14ac:dyDescent="0.25">
      <c r="B11" s="13" t="s">
        <v>5</v>
      </c>
      <c r="C11" s="31"/>
      <c r="E11" s="31"/>
      <c r="F11" s="7"/>
      <c r="G11" s="38"/>
      <c r="H11" s="38"/>
      <c r="I11" s="8"/>
    </row>
    <row r="12" spans="1:9" x14ac:dyDescent="0.25">
      <c r="B12" s="9"/>
      <c r="C12" s="31"/>
      <c r="E12" s="31"/>
      <c r="F12" s="7"/>
      <c r="G12" s="38"/>
      <c r="H12" s="38"/>
      <c r="I12" s="8"/>
    </row>
    <row r="13" spans="1:9" x14ac:dyDescent="0.25">
      <c r="A13">
        <v>1</v>
      </c>
      <c r="B13" s="9" t="s">
        <v>13</v>
      </c>
      <c r="C13" s="31" t="s">
        <v>19</v>
      </c>
      <c r="D13" t="s">
        <v>17</v>
      </c>
      <c r="E13" s="31" t="s">
        <v>14</v>
      </c>
      <c r="F13" s="7">
        <v>11500</v>
      </c>
      <c r="G13" s="38">
        <v>2615</v>
      </c>
      <c r="H13" s="38">
        <v>2615</v>
      </c>
      <c r="I13" s="8" t="s">
        <v>81</v>
      </c>
    </row>
    <row r="14" spans="1:9" x14ac:dyDescent="0.25">
      <c r="B14" s="9"/>
      <c r="C14" s="31"/>
      <c r="E14" s="31"/>
      <c r="F14" s="7"/>
      <c r="G14" s="38"/>
      <c r="H14" s="38"/>
      <c r="I14" s="8" t="s">
        <v>82</v>
      </c>
    </row>
    <row r="15" spans="1:9" x14ac:dyDescent="0.25">
      <c r="B15" s="9"/>
      <c r="C15" s="31"/>
      <c r="E15" s="31"/>
      <c r="F15" s="7"/>
      <c r="G15" s="38"/>
      <c r="H15" s="38"/>
      <c r="I15" s="8"/>
    </row>
    <row r="16" spans="1:9" x14ac:dyDescent="0.25">
      <c r="B16" s="9"/>
      <c r="C16" s="31"/>
      <c r="E16" s="31"/>
      <c r="F16" s="7"/>
      <c r="G16" s="38"/>
      <c r="H16" s="38"/>
      <c r="I16" s="8"/>
    </row>
    <row r="17" spans="1:9" x14ac:dyDescent="0.25">
      <c r="A17">
        <v>2</v>
      </c>
      <c r="B17" s="9" t="s">
        <v>21</v>
      </c>
      <c r="C17" s="31" t="s">
        <v>53</v>
      </c>
      <c r="D17" t="s">
        <v>16</v>
      </c>
      <c r="E17" s="31" t="s">
        <v>14</v>
      </c>
      <c r="F17" s="7">
        <v>1200</v>
      </c>
      <c r="G17" s="38">
        <v>1200</v>
      </c>
      <c r="H17" s="38">
        <v>1200</v>
      </c>
      <c r="I17" s="8" t="s">
        <v>20</v>
      </c>
    </row>
    <row r="18" spans="1:9" x14ac:dyDescent="0.25">
      <c r="B18" s="9"/>
      <c r="C18" s="31"/>
      <c r="E18" s="31"/>
      <c r="F18" s="7"/>
      <c r="G18" s="38"/>
      <c r="H18" s="38"/>
      <c r="I18" s="8" t="s">
        <v>54</v>
      </c>
    </row>
    <row r="19" spans="1:9" x14ac:dyDescent="0.25">
      <c r="A19">
        <v>3</v>
      </c>
      <c r="B19" s="9" t="s">
        <v>22</v>
      </c>
      <c r="C19" s="31" t="s">
        <v>19</v>
      </c>
      <c r="D19" t="s">
        <v>67</v>
      </c>
      <c r="E19" s="31" t="s">
        <v>23</v>
      </c>
      <c r="F19" s="7">
        <v>2960</v>
      </c>
      <c r="G19" s="38">
        <v>2960</v>
      </c>
      <c r="H19" s="38">
        <v>2960</v>
      </c>
      <c r="I19" s="8" t="s">
        <v>24</v>
      </c>
    </row>
    <row r="20" spans="1:9" x14ac:dyDescent="0.25">
      <c r="B20" s="9"/>
      <c r="C20" s="31"/>
      <c r="E20" s="31"/>
      <c r="F20" s="7"/>
      <c r="G20" s="38"/>
      <c r="H20" s="38"/>
      <c r="I20" s="8"/>
    </row>
    <row r="21" spans="1:9" x14ac:dyDescent="0.25">
      <c r="B21" s="9"/>
      <c r="C21" s="31" t="s">
        <v>19</v>
      </c>
      <c r="D21" t="s">
        <v>78</v>
      </c>
      <c r="E21" s="31" t="s">
        <v>79</v>
      </c>
      <c r="F21" s="7">
        <v>8320</v>
      </c>
      <c r="G21" s="38">
        <v>8320</v>
      </c>
      <c r="H21" s="38">
        <v>8320</v>
      </c>
      <c r="I21" s="8" t="s">
        <v>80</v>
      </c>
    </row>
    <row r="22" spans="1:9" x14ac:dyDescent="0.25">
      <c r="A22">
        <v>4</v>
      </c>
      <c r="B22" s="9" t="s">
        <v>25</v>
      </c>
      <c r="C22" s="31" t="s">
        <v>19</v>
      </c>
      <c r="D22" t="s">
        <v>26</v>
      </c>
      <c r="E22" s="31" t="s">
        <v>14</v>
      </c>
      <c r="F22" s="7">
        <v>4635</v>
      </c>
      <c r="G22" s="38"/>
      <c r="H22" s="38">
        <v>0</v>
      </c>
      <c r="I22" s="8" t="s">
        <v>27</v>
      </c>
    </row>
    <row r="23" spans="1:9" x14ac:dyDescent="0.25">
      <c r="B23" s="9"/>
      <c r="C23" s="31"/>
      <c r="E23" s="31"/>
      <c r="F23" s="7"/>
      <c r="G23" s="38"/>
      <c r="H23" s="38"/>
      <c r="I23" s="8"/>
    </row>
    <row r="24" spans="1:9" x14ac:dyDescent="0.25">
      <c r="A24">
        <v>5</v>
      </c>
      <c r="B24" s="9" t="s">
        <v>29</v>
      </c>
      <c r="C24" s="31" t="s">
        <v>19</v>
      </c>
      <c r="D24" t="s">
        <v>63</v>
      </c>
      <c r="E24" s="31" t="s">
        <v>14</v>
      </c>
      <c r="F24" s="7">
        <v>1705</v>
      </c>
      <c r="G24" s="38">
        <v>1705</v>
      </c>
      <c r="H24" s="38">
        <v>1705</v>
      </c>
      <c r="I24" s="8" t="s">
        <v>28</v>
      </c>
    </row>
    <row r="25" spans="1:9" x14ac:dyDescent="0.25">
      <c r="B25" s="9"/>
      <c r="C25" s="31"/>
      <c r="E25" s="31"/>
      <c r="F25" s="7"/>
      <c r="G25" s="38"/>
      <c r="H25" s="38"/>
      <c r="I25" s="8"/>
    </row>
    <row r="26" spans="1:9" x14ac:dyDescent="0.25">
      <c r="A26">
        <v>6</v>
      </c>
      <c r="B26" s="9" t="s">
        <v>30</v>
      </c>
      <c r="C26" s="31" t="s">
        <v>19</v>
      </c>
      <c r="D26" t="s">
        <v>65</v>
      </c>
      <c r="E26" s="31" t="s">
        <v>66</v>
      </c>
      <c r="F26" s="7">
        <v>3850</v>
      </c>
      <c r="G26" s="38">
        <v>3850</v>
      </c>
      <c r="H26" s="38">
        <v>3850</v>
      </c>
      <c r="I26" s="8" t="s">
        <v>31</v>
      </c>
    </row>
    <row r="27" spans="1:9" x14ac:dyDescent="0.25">
      <c r="B27" s="9"/>
      <c r="C27" s="31"/>
      <c r="E27" s="31"/>
      <c r="F27" s="7"/>
      <c r="G27" s="38"/>
      <c r="H27" s="38"/>
      <c r="I27" s="8"/>
    </row>
    <row r="28" spans="1:9" x14ac:dyDescent="0.25">
      <c r="A28">
        <v>7</v>
      </c>
      <c r="B28" s="9" t="s">
        <v>32</v>
      </c>
      <c r="C28" s="31" t="s">
        <v>19</v>
      </c>
      <c r="D28" t="s">
        <v>33</v>
      </c>
      <c r="E28" s="31" t="s">
        <v>14</v>
      </c>
      <c r="F28" s="7">
        <v>5990</v>
      </c>
      <c r="G28" s="38">
        <v>5990</v>
      </c>
      <c r="H28" s="38">
        <v>0</v>
      </c>
      <c r="I28" s="8" t="s">
        <v>34</v>
      </c>
    </row>
    <row r="29" spans="1:9" x14ac:dyDescent="0.25">
      <c r="B29" s="9"/>
      <c r="C29" s="31"/>
      <c r="E29" s="31"/>
      <c r="F29" s="7"/>
      <c r="G29" s="38"/>
      <c r="H29" s="38"/>
      <c r="I29" s="8" t="s">
        <v>18</v>
      </c>
    </row>
    <row r="30" spans="1:9" x14ac:dyDescent="0.25">
      <c r="A30">
        <v>8</v>
      </c>
      <c r="B30" s="9" t="s">
        <v>36</v>
      </c>
      <c r="C30" s="31" t="s">
        <v>19</v>
      </c>
      <c r="D30" t="s">
        <v>64</v>
      </c>
      <c r="E30" s="31" t="s">
        <v>14</v>
      </c>
      <c r="F30" s="7">
        <v>2340</v>
      </c>
      <c r="G30" s="38">
        <v>2340</v>
      </c>
      <c r="H30" s="38">
        <v>2340</v>
      </c>
      <c r="I30" s="8" t="s">
        <v>35</v>
      </c>
    </row>
    <row r="31" spans="1:9" x14ac:dyDescent="0.25">
      <c r="B31" s="9"/>
      <c r="C31" s="31"/>
      <c r="E31" s="31"/>
      <c r="F31" s="7"/>
      <c r="G31" s="38"/>
      <c r="H31" s="38"/>
      <c r="I31" s="8"/>
    </row>
    <row r="32" spans="1:9" x14ac:dyDescent="0.25">
      <c r="A32">
        <v>9</v>
      </c>
      <c r="B32" s="9" t="s">
        <v>37</v>
      </c>
      <c r="C32" s="31" t="s">
        <v>47</v>
      </c>
      <c r="D32" t="s">
        <v>38</v>
      </c>
      <c r="E32" s="31" t="s">
        <v>14</v>
      </c>
      <c r="F32" s="7">
        <v>6700.68</v>
      </c>
      <c r="G32" s="38">
        <v>6700.68</v>
      </c>
      <c r="H32" s="38">
        <v>0</v>
      </c>
      <c r="I32" s="8" t="s">
        <v>39</v>
      </c>
    </row>
    <row r="33" spans="1:9" x14ac:dyDescent="0.25">
      <c r="B33" s="9"/>
      <c r="C33" s="31"/>
      <c r="D33" t="s">
        <v>51</v>
      </c>
      <c r="E33" s="31"/>
      <c r="F33" s="7"/>
      <c r="G33" s="38"/>
      <c r="H33" s="38"/>
      <c r="I33" s="8"/>
    </row>
    <row r="34" spans="1:9" x14ac:dyDescent="0.25">
      <c r="B34" s="9"/>
      <c r="C34" s="31"/>
      <c r="E34" s="31"/>
      <c r="F34" s="7"/>
      <c r="G34" s="38"/>
      <c r="H34" s="38"/>
      <c r="I34" s="8" t="s">
        <v>48</v>
      </c>
    </row>
    <row r="35" spans="1:9" x14ac:dyDescent="0.25">
      <c r="B35" s="9"/>
      <c r="C35" s="31"/>
      <c r="E35" s="31"/>
      <c r="F35" s="7"/>
      <c r="G35" s="38"/>
      <c r="H35" s="38"/>
      <c r="I35" s="8" t="s">
        <v>52</v>
      </c>
    </row>
    <row r="36" spans="1:9" x14ac:dyDescent="0.25">
      <c r="B36" s="9"/>
      <c r="C36" s="31" t="s">
        <v>83</v>
      </c>
      <c r="D36">
        <v>12786</v>
      </c>
      <c r="E36" s="31" t="s">
        <v>84</v>
      </c>
      <c r="F36" s="7">
        <v>308.75</v>
      </c>
      <c r="G36" s="38">
        <v>308.75</v>
      </c>
      <c r="H36" s="38">
        <v>0</v>
      </c>
      <c r="I36" s="8" t="s">
        <v>85</v>
      </c>
    </row>
    <row r="37" spans="1:9" x14ac:dyDescent="0.25">
      <c r="B37" s="9"/>
      <c r="C37" s="31"/>
      <c r="E37" s="31"/>
      <c r="F37" s="7"/>
      <c r="G37" s="38"/>
      <c r="H37" s="38"/>
      <c r="I37" s="8"/>
    </row>
    <row r="38" spans="1:9" x14ac:dyDescent="0.25">
      <c r="A38">
        <v>10</v>
      </c>
      <c r="B38" s="9" t="s">
        <v>75</v>
      </c>
      <c r="C38" s="31" t="s">
        <v>19</v>
      </c>
      <c r="D38" t="s">
        <v>76</v>
      </c>
      <c r="E38" s="31" t="s">
        <v>77</v>
      </c>
      <c r="F38" s="7">
        <v>5990</v>
      </c>
      <c r="G38" s="38">
        <v>5990</v>
      </c>
      <c r="H38" s="38">
        <v>5990</v>
      </c>
      <c r="I38" s="8" t="s">
        <v>86</v>
      </c>
    </row>
    <row r="39" spans="1:9" x14ac:dyDescent="0.25">
      <c r="A39">
        <v>11</v>
      </c>
      <c r="B39" s="9" t="s">
        <v>61</v>
      </c>
      <c r="C39" s="31" t="s">
        <v>59</v>
      </c>
      <c r="E39" s="31"/>
      <c r="F39" s="7">
        <v>29500</v>
      </c>
      <c r="G39" s="38" t="s">
        <v>90</v>
      </c>
      <c r="H39" s="38"/>
      <c r="I39" s="8" t="s">
        <v>62</v>
      </c>
    </row>
    <row r="40" spans="1:9" x14ac:dyDescent="0.25">
      <c r="B40" s="9"/>
      <c r="C40" s="31" t="s">
        <v>19</v>
      </c>
      <c r="D40" t="s">
        <v>68</v>
      </c>
      <c r="E40" s="31" t="s">
        <v>69</v>
      </c>
      <c r="F40" s="7">
        <v>7900</v>
      </c>
      <c r="G40" s="38">
        <v>7900</v>
      </c>
      <c r="H40" s="38">
        <v>7900</v>
      </c>
      <c r="I40" s="8" t="s">
        <v>70</v>
      </c>
    </row>
    <row r="41" spans="1:9" x14ac:dyDescent="0.25">
      <c r="A41">
        <v>12</v>
      </c>
      <c r="B41" s="9" t="s">
        <v>55</v>
      </c>
      <c r="C41" s="31" t="s">
        <v>58</v>
      </c>
      <c r="D41" t="s">
        <v>59</v>
      </c>
      <c r="E41" s="31" t="s">
        <v>60</v>
      </c>
      <c r="F41" s="7">
        <v>15933</v>
      </c>
      <c r="G41" s="38" t="s">
        <v>90</v>
      </c>
      <c r="H41" s="38"/>
      <c r="I41" s="8" t="s">
        <v>56</v>
      </c>
    </row>
    <row r="42" spans="1:9" x14ac:dyDescent="0.25">
      <c r="B42" s="9"/>
      <c r="C42" s="31"/>
      <c r="E42" s="31"/>
      <c r="F42" s="7"/>
      <c r="G42" s="38"/>
      <c r="H42" s="38"/>
      <c r="I42" s="8" t="s">
        <v>57</v>
      </c>
    </row>
    <row r="43" spans="1:9" x14ac:dyDescent="0.25">
      <c r="A43">
        <v>13</v>
      </c>
      <c r="B43" s="9" t="s">
        <v>40</v>
      </c>
      <c r="C43" s="31" t="s">
        <v>19</v>
      </c>
      <c r="D43" t="s">
        <v>41</v>
      </c>
      <c r="E43" s="31" t="s">
        <v>14</v>
      </c>
      <c r="F43" s="7">
        <v>1700</v>
      </c>
      <c r="G43" s="38">
        <v>1700</v>
      </c>
      <c r="H43" s="38">
        <v>0</v>
      </c>
      <c r="I43" s="8" t="s">
        <v>34</v>
      </c>
    </row>
    <row r="44" spans="1:9" x14ac:dyDescent="0.25">
      <c r="B44" s="9"/>
      <c r="C44" s="31"/>
      <c r="E44" s="31"/>
      <c r="F44" s="7"/>
      <c r="G44" s="38"/>
      <c r="H44" s="38"/>
      <c r="I44" s="8"/>
    </row>
    <row r="45" spans="1:9" x14ac:dyDescent="0.25">
      <c r="A45">
        <v>14</v>
      </c>
      <c r="B45" s="9" t="s">
        <v>71</v>
      </c>
      <c r="C45" s="31" t="s">
        <v>19</v>
      </c>
      <c r="D45" t="s">
        <v>72</v>
      </c>
      <c r="E45" s="31" t="s">
        <v>73</v>
      </c>
      <c r="F45" s="7">
        <v>1145</v>
      </c>
      <c r="G45" s="38">
        <v>1145</v>
      </c>
      <c r="H45" s="38">
        <v>0</v>
      </c>
      <c r="I45" s="8" t="s">
        <v>74</v>
      </c>
    </row>
    <row r="46" spans="1:9" x14ac:dyDescent="0.25">
      <c r="B46" s="9"/>
      <c r="C46" s="31"/>
      <c r="E46" s="31"/>
      <c r="F46" s="7"/>
      <c r="G46" s="38"/>
      <c r="H46" s="38"/>
      <c r="I46" s="8"/>
    </row>
    <row r="47" spans="1:9" x14ac:dyDescent="0.25">
      <c r="A47">
        <v>15</v>
      </c>
      <c r="B47" s="9" t="s">
        <v>92</v>
      </c>
      <c r="C47" s="31" t="s">
        <v>93</v>
      </c>
      <c r="E47" s="31"/>
      <c r="F47" s="7">
        <v>5009.99</v>
      </c>
      <c r="G47" s="38">
        <v>5009.99</v>
      </c>
      <c r="H47" s="38">
        <v>0</v>
      </c>
      <c r="I47" s="8" t="s">
        <v>94</v>
      </c>
    </row>
    <row r="48" spans="1:9" x14ac:dyDescent="0.25">
      <c r="B48" s="9"/>
      <c r="C48" s="31"/>
      <c r="E48" s="31"/>
      <c r="F48" s="7"/>
      <c r="G48" s="38"/>
      <c r="H48" s="38"/>
      <c r="I48" s="8"/>
    </row>
    <row r="49" spans="1:9" x14ac:dyDescent="0.25">
      <c r="A49">
        <v>16</v>
      </c>
      <c r="B49" s="9" t="s">
        <v>44</v>
      </c>
      <c r="C49" s="31" t="s">
        <v>43</v>
      </c>
      <c r="D49">
        <v>6371</v>
      </c>
      <c r="E49" s="31" t="s">
        <v>45</v>
      </c>
      <c r="F49" s="7">
        <v>408.16</v>
      </c>
      <c r="G49" s="38">
        <v>408.16</v>
      </c>
      <c r="H49" s="38">
        <v>408.16</v>
      </c>
      <c r="I49" s="8"/>
    </row>
    <row r="50" spans="1:9" x14ac:dyDescent="0.25">
      <c r="B50" s="9"/>
      <c r="C50" s="31"/>
      <c r="E50" s="31"/>
      <c r="F50" s="7"/>
      <c r="G50" s="38"/>
      <c r="H50" s="38"/>
      <c r="I50" s="8" t="s">
        <v>18</v>
      </c>
    </row>
    <row r="51" spans="1:9" x14ac:dyDescent="0.25">
      <c r="B51" s="13" t="s">
        <v>42</v>
      </c>
      <c r="C51" s="32"/>
      <c r="D51" s="17"/>
      <c r="E51" s="32"/>
      <c r="F51" s="18">
        <f>SUM(F13:F50)</f>
        <v>117095.58</v>
      </c>
      <c r="G51" s="39">
        <f>SUM(G13:G50)</f>
        <v>58142.58</v>
      </c>
      <c r="H51" s="39">
        <f>SUM(H13:H50)</f>
        <v>37288.160000000003</v>
      </c>
      <c r="I51" s="8"/>
    </row>
    <row r="52" spans="1:9" x14ac:dyDescent="0.25">
      <c r="B52" s="9"/>
      <c r="C52" s="31"/>
      <c r="E52" s="31"/>
      <c r="F52" s="7"/>
      <c r="G52" s="38"/>
      <c r="H52" s="38"/>
      <c r="I52" s="8"/>
    </row>
    <row r="53" spans="1:9" x14ac:dyDescent="0.25">
      <c r="B53" s="9"/>
      <c r="C53" s="31"/>
      <c r="E53" s="31"/>
      <c r="F53" s="7"/>
      <c r="G53" s="38"/>
      <c r="H53" s="38"/>
      <c r="I53" s="8"/>
    </row>
    <row r="54" spans="1:9" x14ac:dyDescent="0.25">
      <c r="B54" s="9"/>
      <c r="C54" s="31"/>
      <c r="E54" s="31"/>
      <c r="F54" s="7"/>
      <c r="G54" s="38"/>
      <c r="H54" s="38"/>
      <c r="I54" s="8"/>
    </row>
    <row r="55" spans="1:9" x14ac:dyDescent="0.25">
      <c r="B55" s="9"/>
      <c r="C55" s="31"/>
      <c r="E55" s="31"/>
      <c r="F55" s="7"/>
      <c r="G55" s="38"/>
      <c r="H55" s="38"/>
      <c r="I55" s="8"/>
    </row>
    <row r="56" spans="1:9" x14ac:dyDescent="0.25">
      <c r="B56" s="13" t="s">
        <v>4</v>
      </c>
      <c r="C56" s="31"/>
      <c r="E56" s="31"/>
      <c r="F56" s="18">
        <v>31420.080000000002</v>
      </c>
      <c r="G56" s="39">
        <v>25136.06</v>
      </c>
      <c r="H56" s="39">
        <v>25136.06</v>
      </c>
      <c r="I56" s="8" t="s">
        <v>46</v>
      </c>
    </row>
    <row r="57" spans="1:9" x14ac:dyDescent="0.25">
      <c r="B57" s="9"/>
      <c r="C57" s="31"/>
      <c r="E57" s="31"/>
      <c r="F57" s="7"/>
      <c r="G57" s="38"/>
      <c r="H57" s="38"/>
      <c r="I57" s="8"/>
    </row>
    <row r="58" spans="1:9" x14ac:dyDescent="0.25">
      <c r="B58" s="9"/>
      <c r="C58" s="31"/>
      <c r="E58" s="31"/>
      <c r="F58" s="7"/>
      <c r="G58" s="38"/>
      <c r="H58" s="38"/>
      <c r="I58" s="8"/>
    </row>
    <row r="59" spans="1:9" x14ac:dyDescent="0.25">
      <c r="B59" s="13" t="s">
        <v>42</v>
      </c>
      <c r="C59" s="32"/>
      <c r="D59" s="17"/>
      <c r="E59" s="32"/>
      <c r="F59" s="18">
        <f>SUM(F51:F58)</f>
        <v>148515.66</v>
      </c>
      <c r="G59" s="39">
        <f>SUM(G51:G58)</f>
        <v>83278.64</v>
      </c>
      <c r="H59" s="39">
        <f>SUM(H51:H58)</f>
        <v>62424.22</v>
      </c>
      <c r="I59" s="8"/>
    </row>
    <row r="60" spans="1:9" x14ac:dyDescent="0.25">
      <c r="B60" s="9"/>
      <c r="C60" s="31"/>
      <c r="E60" s="31"/>
      <c r="F60" s="7"/>
      <c r="G60" s="38"/>
      <c r="H60" s="38"/>
      <c r="I60" s="8"/>
    </row>
    <row r="61" spans="1:9" x14ac:dyDescent="0.25">
      <c r="B61" s="9" t="s">
        <v>87</v>
      </c>
      <c r="C61" s="31"/>
      <c r="E61" s="31"/>
      <c r="F61" s="7"/>
      <c r="G61" s="38"/>
      <c r="H61" s="38">
        <v>-1000</v>
      </c>
      <c r="I61" s="8"/>
    </row>
    <row r="62" spans="1:9" x14ac:dyDescent="0.25">
      <c r="B62" s="9"/>
      <c r="C62" s="31"/>
      <c r="E62" s="31"/>
      <c r="F62" s="7"/>
      <c r="G62" s="38"/>
      <c r="H62" s="38"/>
      <c r="I62" s="8"/>
    </row>
    <row r="63" spans="1:9" x14ac:dyDescent="0.25">
      <c r="B63" s="13" t="s">
        <v>42</v>
      </c>
      <c r="C63" s="31"/>
      <c r="E63" s="31"/>
      <c r="F63" s="7"/>
      <c r="G63" s="38"/>
      <c r="H63" s="39">
        <f>SUM(H59:H62)</f>
        <v>61424.22</v>
      </c>
      <c r="I63" s="8"/>
    </row>
    <row r="64" spans="1:9" x14ac:dyDescent="0.25">
      <c r="B64" s="9"/>
      <c r="C64" s="31"/>
      <c r="E64" s="31"/>
      <c r="F64" s="7"/>
      <c r="G64" s="38"/>
      <c r="H64" s="38"/>
      <c r="I64" s="8"/>
    </row>
    <row r="65" spans="2:9" x14ac:dyDescent="0.25">
      <c r="B65" s="9" t="s">
        <v>88</v>
      </c>
      <c r="C65" s="31"/>
      <c r="E65" s="31"/>
      <c r="F65" s="7"/>
      <c r="G65" s="38"/>
      <c r="H65" s="38">
        <v>-24136.06</v>
      </c>
      <c r="I65" s="8"/>
    </row>
    <row r="66" spans="2:9" x14ac:dyDescent="0.25">
      <c r="B66" s="9"/>
      <c r="C66" s="31"/>
      <c r="E66" s="31"/>
      <c r="F66" s="7"/>
      <c r="G66" s="38"/>
      <c r="H66" s="38"/>
      <c r="I66" s="8"/>
    </row>
    <row r="67" spans="2:9" x14ac:dyDescent="0.25">
      <c r="B67" s="13" t="s">
        <v>89</v>
      </c>
      <c r="C67" s="31"/>
      <c r="E67" s="31"/>
      <c r="F67" s="7"/>
      <c r="G67" s="38"/>
      <c r="H67" s="39">
        <f>SUM(H63:H66)</f>
        <v>37288.160000000003</v>
      </c>
      <c r="I67" s="41" t="s">
        <v>91</v>
      </c>
    </row>
    <row r="68" spans="2:9" ht="15.75" thickBot="1" x14ac:dyDescent="0.3">
      <c r="B68" s="19"/>
      <c r="C68" s="33"/>
      <c r="D68" s="20"/>
      <c r="E68" s="33"/>
      <c r="F68" s="21"/>
      <c r="G68" s="40"/>
      <c r="H68" s="40"/>
      <c r="I6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Dubois</dc:creator>
  <cp:lastModifiedBy>Joey Dubois</cp:lastModifiedBy>
  <dcterms:created xsi:type="dcterms:W3CDTF">2024-07-25T14:42:04Z</dcterms:created>
  <dcterms:modified xsi:type="dcterms:W3CDTF">2025-01-15T16:10:32Z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3eafb0-5f3b-4431-a370-adff4bb5f0bb_Enabled">
    <vt:lpwstr>true</vt:lpwstr>
  </property>
  <property fmtid="{D5CDD505-2E9C-101B-9397-08002B2CF9AE}" pid="3" name="MSIP_Label_d03eafb0-5f3b-4431-a370-adff4bb5f0bb_SetDate">
    <vt:lpwstr>2024-07-25T14:42:04Z</vt:lpwstr>
  </property>
  <property fmtid="{D5CDD505-2E9C-101B-9397-08002B2CF9AE}" pid="4" name="MSIP_Label_d03eafb0-5f3b-4431-a370-adff4bb5f0bb_Method">
    <vt:lpwstr>Standard</vt:lpwstr>
  </property>
  <property fmtid="{D5CDD505-2E9C-101B-9397-08002B2CF9AE}" pid="5" name="MSIP_Label_d03eafb0-5f3b-4431-a370-adff4bb5f0bb_Name">
    <vt:lpwstr>defa4170-0d19-0005-0002-bc88714345d2</vt:lpwstr>
  </property>
  <property fmtid="{D5CDD505-2E9C-101B-9397-08002B2CF9AE}" pid="6" name="MSIP_Label_d03eafb0-5f3b-4431-a370-adff4bb5f0bb_SiteId">
    <vt:lpwstr>fa82ae0a-0f77-4e32-9c40-c3def0a2730f</vt:lpwstr>
  </property>
  <property fmtid="{D5CDD505-2E9C-101B-9397-08002B2CF9AE}" pid="7" name="MSIP_Label_d03eafb0-5f3b-4431-a370-adff4bb5f0bb_ActionId">
    <vt:lpwstr>77ba5c88-3251-4d07-b561-11e4a0106104</vt:lpwstr>
  </property>
  <property fmtid="{D5CDD505-2E9C-101B-9397-08002B2CF9AE}" pid="8" name="MSIP_Label_d03eafb0-5f3b-4431-a370-adff4bb5f0bb_ContentBits">
    <vt:lpwstr>0</vt:lpwstr>
  </property>
</Properties>
</file>