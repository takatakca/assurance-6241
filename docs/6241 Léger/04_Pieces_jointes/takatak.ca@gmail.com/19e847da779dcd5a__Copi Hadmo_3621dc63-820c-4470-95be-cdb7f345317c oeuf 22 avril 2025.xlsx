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mca-my.sharepoint.com/personal/joey_dubois_scm_ca/Documents/Documents/"/>
    </mc:Choice>
  </mc:AlternateContent>
  <xr:revisionPtr revIDLastSave="70" documentId="8_{EBDFEE34-C25D-4847-8009-30D4269F0FDD}" xr6:coauthVersionLast="47" xr6:coauthVersionMax="47" xr10:uidLastSave="{5CCE3D44-648D-4A21-9351-8F198DE53A9B}"/>
  <bookViews>
    <workbookView xWindow="20370" yWindow="-120" windowWidth="29040" windowHeight="15720" xr2:uid="{13DEF5C9-4298-4BFB-A019-A6B0AA2EA3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" l="1"/>
  <c r="K73" i="1" s="1"/>
  <c r="J55" i="1"/>
  <c r="J63" i="1" s="1"/>
  <c r="J67" i="1" s="1"/>
  <c r="J73" i="1" s="1"/>
  <c r="I55" i="1"/>
  <c r="I63" i="1" s="1"/>
  <c r="I67" i="1" s="1"/>
  <c r="I73" i="1" s="1"/>
  <c r="G55" i="1"/>
  <c r="G63" i="1" s="1"/>
  <c r="H55" i="1"/>
  <c r="H63" i="1" s="1"/>
  <c r="H67" i="1" s="1"/>
  <c r="H73" i="1" s="1"/>
  <c r="F55" i="1"/>
  <c r="F63" i="1" s="1"/>
</calcChain>
</file>

<file path=xl/sharedStrings.xml><?xml version="1.0" encoding="utf-8"?>
<sst xmlns="http://schemas.openxmlformats.org/spreadsheetml/2006/main" count="133" uniqueCount="109">
  <si>
    <t>INDEMNIPRO</t>
  </si>
  <si>
    <t>Sommaire dossier 24110-4833</t>
  </si>
  <si>
    <t>Assuré: Hadmo</t>
  </si>
  <si>
    <t>Description</t>
  </si>
  <si>
    <t>Marchandise</t>
  </si>
  <si>
    <t>Équipements</t>
  </si>
  <si>
    <t>Fournisseur</t>
  </si>
  <si>
    <t>No. facture</t>
  </si>
  <si>
    <t>Date</t>
  </si>
  <si>
    <t xml:space="preserve">Montant </t>
  </si>
  <si>
    <t>réclamé</t>
  </si>
  <si>
    <t xml:space="preserve">Montnat </t>
  </si>
  <si>
    <t>alloué</t>
  </si>
  <si>
    <t>Frigo Pâtisserie IFI-DDSG-6</t>
  </si>
  <si>
    <t>7 juillet, 2024</t>
  </si>
  <si>
    <t>Commentaires</t>
  </si>
  <si>
    <t>Devis 260</t>
  </si>
  <si>
    <t>Devis 259</t>
  </si>
  <si>
    <t>Frigo-Spec</t>
  </si>
  <si>
    <t>Module de remplissage et valve</t>
  </si>
  <si>
    <t>Machine à café Curtis</t>
  </si>
  <si>
    <t>Chambre de congélation</t>
  </si>
  <si>
    <t>7 juillet,2024</t>
  </si>
  <si>
    <t>Compresseur filtre,thermostat</t>
  </si>
  <si>
    <t>Four Tim Horton</t>
  </si>
  <si>
    <t>Devis 263</t>
  </si>
  <si>
    <t>Sonde de temp. et plaque de contrôle</t>
  </si>
  <si>
    <t>Frigo une porte</t>
  </si>
  <si>
    <t>Machine cocktail taylor</t>
  </si>
  <si>
    <t>Moteur agitateur et compresseur</t>
  </si>
  <si>
    <t>Devis 264</t>
  </si>
  <si>
    <t>Contrôle électronique</t>
  </si>
  <si>
    <t>Four à Pizza</t>
  </si>
  <si>
    <t>Devis 265</t>
  </si>
  <si>
    <t>Blowers, Pilot. Sensor de sécurité</t>
  </si>
  <si>
    <t>Chambre froide</t>
  </si>
  <si>
    <t>Devis 268</t>
  </si>
  <si>
    <t>Total</t>
  </si>
  <si>
    <t>Frimabec</t>
  </si>
  <si>
    <t>Inspection</t>
  </si>
  <si>
    <t>6  oct.,2024</t>
  </si>
  <si>
    <t>Frigo-Spec-CKS</t>
  </si>
  <si>
    <t>Montnat</t>
  </si>
  <si>
    <t>évalué</t>
  </si>
  <si>
    <t>N82145</t>
  </si>
  <si>
    <t>Pas de facture</t>
  </si>
  <si>
    <t>Frigo-Spec-Remplacemet</t>
  </si>
  <si>
    <t>Sinco</t>
  </si>
  <si>
    <t>Estimé</t>
  </si>
  <si>
    <t>?</t>
  </si>
  <si>
    <t>Four À Pizza</t>
  </si>
  <si>
    <t>A320</t>
  </si>
  <si>
    <t>A281</t>
  </si>
  <si>
    <t>A294</t>
  </si>
  <si>
    <t>29 juillet, 2024</t>
  </si>
  <si>
    <t>A290</t>
  </si>
  <si>
    <t>A315</t>
  </si>
  <si>
    <t>22 sept,2024</t>
  </si>
  <si>
    <t>Réparation</t>
  </si>
  <si>
    <t>Installation unité AC</t>
  </si>
  <si>
    <t>A245</t>
  </si>
  <si>
    <t>26 juin,2024</t>
  </si>
  <si>
    <t>Machine Crème glacée</t>
  </si>
  <si>
    <t>A280</t>
  </si>
  <si>
    <t>15 juillet,A280</t>
  </si>
  <si>
    <t>A266</t>
  </si>
  <si>
    <t>10 juillet,2024</t>
  </si>
  <si>
    <t>Installé unité air</t>
  </si>
  <si>
    <t>Remplacement de compresseur $2,615</t>
  </si>
  <si>
    <t>recommnedation  de Frigo de remplacer</t>
  </si>
  <si>
    <t>Auger</t>
  </si>
  <si>
    <t>18 avril,2024</t>
  </si>
  <si>
    <t>Avant la date de perte</t>
  </si>
  <si>
    <t>Moins franchise</t>
  </si>
  <si>
    <t>Moins paiement provisoire no.1</t>
  </si>
  <si>
    <t>En suspens</t>
  </si>
  <si>
    <t>Estimation</t>
  </si>
  <si>
    <t>Moins paiement provisoire no.2</t>
  </si>
  <si>
    <t>Selon assuré nil</t>
  </si>
  <si>
    <t xml:space="preserve"> CKS a fait le travail pour $6,700.68</t>
  </si>
  <si>
    <t>Attends facture et nous avons besoin</t>
  </si>
  <si>
    <t>les commenatires du techicien.</t>
  </si>
  <si>
    <t>Voir commenatires de l'assuré</t>
  </si>
  <si>
    <t>Compresseur attends la facture</t>
  </si>
  <si>
    <t>Kurig</t>
  </si>
  <si>
    <t>Electro Freeze Electro freeze</t>
  </si>
  <si>
    <t>(creme glacé)</t>
  </si>
  <si>
    <t>Ne reclame pas dédoublement</t>
  </si>
  <si>
    <t>Machine à Slush taylor</t>
  </si>
  <si>
    <t>haut fonctionnel $5,000</t>
  </si>
  <si>
    <t>Module de gaz non fontionnel (CKS)</t>
  </si>
  <si>
    <t>Frigidaire patisserie Hydro-Coll (2)</t>
  </si>
  <si>
    <t>14A</t>
  </si>
  <si>
    <t>Conditioner heat pump plus inst.</t>
  </si>
  <si>
    <t xml:space="preserve">Attend plus d'explications </t>
  </si>
  <si>
    <t>Réserve</t>
  </si>
  <si>
    <t xml:space="preserve">Attends facturRemplacement </t>
  </si>
  <si>
    <t>allocation 80% attends rapport de WMM</t>
  </si>
  <si>
    <t>Perte Totale usagée besoin d'un rapport d'un technicien</t>
  </si>
  <si>
    <t>3 Juillet</t>
  </si>
  <si>
    <t>8 Juillet</t>
  </si>
  <si>
    <t>Indenité no.3</t>
  </si>
  <si>
    <t>2A</t>
  </si>
  <si>
    <t>2B</t>
  </si>
  <si>
    <t>Attends facture</t>
  </si>
  <si>
    <t>L'assuré réclame perte totale aucune expertise</t>
  </si>
  <si>
    <t>Choquette CKS</t>
  </si>
  <si>
    <t>Déplacements techniciens</t>
  </si>
  <si>
    <t>Aout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</si>
</sst>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2" xfId="0" applyBorder="1"/>
    <xf numFmtId="44" fontId="0" fillId="0" borderId="2" xfId="1" applyFont="1" applyBorder="1"/>
    <xf numFmtId="0" fontId="0" fillId="0" borderId="3" xfId="0" applyBorder="1"/>
    <xf numFmtId="0" fontId="3" fillId="0" borderId="4" xfId="0" applyFont="1" applyBorder="1"/>
    <xf numFmtId="44" fontId="0" fillId="0" borderId="0" xfId="1" applyFont="1" applyBorder="1"/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center"/>
    </xf>
    <xf numFmtId="44" fontId="2" fillId="0" borderId="0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44" fontId="2" fillId="0" borderId="0" xfId="1" applyFont="1" applyBorder="1"/>
    <xf numFmtId="0" fontId="0" fillId="0" borderId="6" xfId="0" applyBorder="1"/>
    <xf numFmtId="0" fontId="0" fillId="0" borderId="7" xfId="0" applyBorder="1"/>
    <xf numFmtId="44" fontId="0" fillId="0" borderId="7" xfId="1" applyFont="1" applyBorder="1"/>
    <xf numFmtId="0" fontId="0" fillId="0" borderId="8" xfId="0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44" fontId="2" fillId="0" borderId="7" xfId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0" xfId="0" applyBorder="1"/>
    <xf numFmtId="0" fontId="2" fillId="0" borderId="10" xfId="0" applyFont="1" applyBorder="1"/>
    <xf numFmtId="0" fontId="0" fillId="0" borderId="11" xfId="0" applyBorder="1"/>
    <xf numFmtId="44" fontId="0" fillId="0" borderId="9" xfId="1" applyFont="1" applyBorder="1"/>
    <xf numFmtId="44" fontId="0" fillId="0" borderId="10" xfId="1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44" fontId="2" fillId="0" borderId="11" xfId="1" applyFont="1" applyBorder="1" applyAlignment="1">
      <alignment horizontal="center"/>
    </xf>
    <xf numFmtId="44" fontId="0" fillId="0" borderId="10" xfId="1" applyFont="1" applyBorder="1"/>
    <xf numFmtId="44" fontId="2" fillId="0" borderId="10" xfId="1" applyFont="1" applyBorder="1"/>
    <xf numFmtId="44" fontId="0" fillId="0" borderId="11" xfId="1" applyFont="1" applyBorder="1"/>
    <xf numFmtId="0" fontId="2" fillId="0" borderId="5" xfId="0" applyFont="1" applyBorder="1"/>
    <xf numFmtId="44" fontId="0" fillId="0" borderId="3" xfId="1" applyFont="1" applyBorder="1"/>
    <xf numFmtId="44" fontId="0" fillId="0" borderId="5" xfId="1" applyFont="1" applyBorder="1" applyAlignment="1">
      <alignment horizontal="center"/>
    </xf>
    <xf numFmtId="44" fontId="2" fillId="0" borderId="5" xfId="1" applyFont="1" applyBorder="1" applyAlignment="1">
      <alignment horizontal="center"/>
    </xf>
    <xf numFmtId="44" fontId="2" fillId="0" borderId="8" xfId="1" applyFont="1" applyBorder="1" applyAlignment="1">
      <alignment horizontal="center"/>
    </xf>
    <xf numFmtId="44" fontId="0" fillId="0" borderId="5" xfId="1" applyFont="1" applyBorder="1"/>
    <xf numFmtId="44" fontId="2" fillId="0" borderId="5" xfId="1" applyFont="1" applyBorder="1"/>
    <xf numFmtId="44" fontId="0" fillId="0" borderId="8" xfId="1" applyFont="1" applyBorder="1"/>
    <xf numFmtId="0" fontId="0" fillId="0" borderId="5" xfId="0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46A-0910-4F34-AD96-EA088F48E629}">
  <dimension ref="A1:L77"/>
  <sheetViews>
    <sheetView tabSelected="1" topLeftCell="A20" workbookViewId="0">
      <selection activeCell="J42" sqref="J42"/>
    </sheetView>
  </sheetViews>
  <sheetFormatPr baseColWidth="10" defaultRowHeight="15" x14ac:dyDescent="0.25"/>
  <cols>
    <col min="1" max="1" width="3.85546875" customWidth="1"/>
    <col min="2" max="2" width="30.42578125" customWidth="1"/>
    <col min="3" max="3" width="24.28515625" customWidth="1"/>
    <col min="5" max="5" width="14.140625" customWidth="1"/>
    <col min="6" max="7" width="15.7109375" style="1" customWidth="1"/>
    <col min="8" max="11" width="16" style="1" customWidth="1"/>
    <col min="12" max="12" width="37.7109375" customWidth="1"/>
  </cols>
  <sheetData>
    <row r="1" spans="1:12" x14ac:dyDescent="0.25">
      <c r="B1" s="2"/>
      <c r="C1" s="3"/>
      <c r="D1" s="3"/>
      <c r="E1" s="3"/>
      <c r="F1" s="4"/>
      <c r="G1" s="4"/>
      <c r="H1" s="4"/>
      <c r="I1" s="4"/>
      <c r="J1" s="4"/>
      <c r="K1" s="4"/>
      <c r="L1" s="5"/>
    </row>
    <row r="2" spans="1:12" ht="21" x14ac:dyDescent="0.35">
      <c r="B2" s="6" t="s">
        <v>0</v>
      </c>
      <c r="F2" s="7"/>
      <c r="G2" s="7"/>
      <c r="H2" s="7"/>
      <c r="I2" s="7"/>
      <c r="J2" s="7"/>
      <c r="K2" s="7"/>
      <c r="L2" s="8"/>
    </row>
    <row r="3" spans="1:12" x14ac:dyDescent="0.25">
      <c r="B3" s="9" t="s">
        <v>1</v>
      </c>
      <c r="F3" s="7"/>
      <c r="G3" s="7"/>
      <c r="H3" s="7"/>
      <c r="I3" s="7"/>
      <c r="J3" s="7"/>
      <c r="K3" s="7"/>
      <c r="L3" s="8"/>
    </row>
    <row r="4" spans="1:12" ht="15.75" thickBot="1" x14ac:dyDescent="0.3">
      <c r="B4" s="9" t="s">
        <v>2</v>
      </c>
      <c r="F4" s="7"/>
      <c r="G4" s="7"/>
      <c r="H4" s="7"/>
      <c r="I4" s="7"/>
      <c r="J4" s="7"/>
      <c r="K4" s="7"/>
      <c r="L4" s="8"/>
    </row>
    <row r="5" spans="1:12" x14ac:dyDescent="0.25">
      <c r="B5" s="2"/>
      <c r="C5" s="27"/>
      <c r="D5" s="3"/>
      <c r="E5" s="27"/>
      <c r="F5" s="4"/>
      <c r="G5" s="34"/>
      <c r="H5" s="34"/>
      <c r="I5" s="42"/>
      <c r="J5" s="42"/>
      <c r="K5" s="42"/>
      <c r="L5" s="5"/>
    </row>
    <row r="6" spans="1:12" x14ac:dyDescent="0.25">
      <c r="B6" s="9"/>
      <c r="C6" s="28"/>
      <c r="D6" s="10"/>
      <c r="E6" s="28"/>
      <c r="F6" s="11"/>
      <c r="G6" s="35"/>
      <c r="H6" s="35"/>
      <c r="I6" s="43"/>
      <c r="J6" s="43"/>
      <c r="K6" s="43"/>
      <c r="L6" s="12"/>
    </row>
    <row r="7" spans="1:12" x14ac:dyDescent="0.25">
      <c r="B7" s="13" t="s">
        <v>3</v>
      </c>
      <c r="C7" s="29" t="s">
        <v>6</v>
      </c>
      <c r="D7" s="14" t="s">
        <v>7</v>
      </c>
      <c r="E7" s="29" t="s">
        <v>8</v>
      </c>
      <c r="F7" s="15" t="s">
        <v>9</v>
      </c>
      <c r="G7" s="36" t="s">
        <v>42</v>
      </c>
      <c r="H7" s="36" t="s">
        <v>11</v>
      </c>
      <c r="I7" s="44" t="s">
        <v>99</v>
      </c>
      <c r="J7" s="44" t="s">
        <v>100</v>
      </c>
      <c r="K7" s="44" t="s">
        <v>95</v>
      </c>
      <c r="L7" s="16" t="s">
        <v>15</v>
      </c>
    </row>
    <row r="8" spans="1:12" ht="15.75" thickBot="1" x14ac:dyDescent="0.3">
      <c r="B8" s="23"/>
      <c r="C8" s="30"/>
      <c r="D8" s="24"/>
      <c r="E8" s="30"/>
      <c r="F8" s="25" t="s">
        <v>10</v>
      </c>
      <c r="G8" s="37" t="s">
        <v>43</v>
      </c>
      <c r="H8" s="37" t="s">
        <v>12</v>
      </c>
      <c r="I8" s="45"/>
      <c r="J8" s="45"/>
      <c r="K8" s="45"/>
      <c r="L8" s="26"/>
    </row>
    <row r="9" spans="1:12" x14ac:dyDescent="0.25">
      <c r="B9" s="13"/>
      <c r="C9" s="31"/>
      <c r="E9" s="31"/>
      <c r="F9" s="7"/>
      <c r="G9" s="38"/>
      <c r="H9" s="38"/>
      <c r="I9" s="46"/>
      <c r="J9" s="46"/>
      <c r="K9" s="46"/>
      <c r="L9" s="8"/>
    </row>
    <row r="10" spans="1:12" x14ac:dyDescent="0.25">
      <c r="B10" s="9"/>
      <c r="C10" s="31"/>
      <c r="E10" s="31"/>
      <c r="F10" s="7"/>
      <c r="G10" s="38"/>
      <c r="H10" s="38"/>
      <c r="I10" s="46"/>
      <c r="J10" s="46"/>
      <c r="K10" s="46"/>
      <c r="L10" s="8"/>
    </row>
    <row r="11" spans="1:12" x14ac:dyDescent="0.25">
      <c r="B11" s="13" t="s">
        <v>5</v>
      </c>
      <c r="C11" s="31"/>
      <c r="E11" s="31"/>
      <c r="F11" s="7"/>
      <c r="G11" s="38"/>
      <c r="H11" s="38"/>
      <c r="I11" s="46"/>
      <c r="J11" s="46"/>
      <c r="K11" s="46"/>
      <c r="L11" s="8"/>
    </row>
    <row r="12" spans="1:12" x14ac:dyDescent="0.25">
      <c r="B12" s="9"/>
      <c r="C12" s="31"/>
      <c r="E12" s="31"/>
      <c r="F12" s="7"/>
      <c r="G12" s="38"/>
      <c r="H12" s="38"/>
      <c r="I12" s="46"/>
      <c r="J12" s="46"/>
      <c r="K12" s="46"/>
      <c r="L12" s="8"/>
    </row>
    <row r="13" spans="1:12" x14ac:dyDescent="0.25">
      <c r="A13">
        <v>1</v>
      </c>
      <c r="B13" s="9" t="s">
        <v>13</v>
      </c>
      <c r="C13" s="31" t="s">
        <v>18</v>
      </c>
      <c r="D13" t="s">
        <v>17</v>
      </c>
      <c r="E13" s="31" t="s">
        <v>14</v>
      </c>
      <c r="F13" s="7">
        <v>2615</v>
      </c>
      <c r="G13" s="38">
        <v>2615</v>
      </c>
      <c r="H13" s="38">
        <v>2615</v>
      </c>
      <c r="I13" s="46"/>
      <c r="J13" s="46"/>
      <c r="K13" s="46">
        <v>11500</v>
      </c>
      <c r="L13" s="8" t="s">
        <v>68</v>
      </c>
    </row>
    <row r="14" spans="1:12" x14ac:dyDescent="0.25">
      <c r="B14" s="9"/>
      <c r="C14" s="31"/>
      <c r="E14" s="31"/>
      <c r="F14" s="7">
        <v>11500</v>
      </c>
      <c r="G14" s="38"/>
      <c r="H14" s="38"/>
      <c r="I14" s="46"/>
      <c r="J14" s="46"/>
      <c r="K14" s="46"/>
      <c r="L14" s="8" t="s">
        <v>69</v>
      </c>
    </row>
    <row r="15" spans="1:12" x14ac:dyDescent="0.25">
      <c r="B15" s="9"/>
      <c r="C15" s="31"/>
      <c r="E15" s="31"/>
      <c r="F15" s="7"/>
      <c r="G15" s="38"/>
      <c r="H15" s="38"/>
      <c r="I15" s="46"/>
      <c r="J15" s="46"/>
      <c r="K15" s="46"/>
      <c r="L15" s="49" t="s">
        <v>96</v>
      </c>
    </row>
    <row r="16" spans="1:12" x14ac:dyDescent="0.25">
      <c r="B16" s="9"/>
      <c r="C16" s="31"/>
      <c r="E16" s="31"/>
      <c r="F16" s="7"/>
      <c r="G16" s="38"/>
      <c r="H16" s="38"/>
      <c r="I16" s="46"/>
      <c r="J16" s="46"/>
      <c r="K16" s="46"/>
      <c r="L16" s="8"/>
    </row>
    <row r="17" spans="1:12" x14ac:dyDescent="0.25">
      <c r="A17" t="s">
        <v>102</v>
      </c>
      <c r="B17" s="9" t="s">
        <v>20</v>
      </c>
      <c r="C17" s="31"/>
      <c r="D17" t="s">
        <v>16</v>
      </c>
      <c r="E17" s="31" t="s">
        <v>14</v>
      </c>
      <c r="F17" s="7">
        <v>1200</v>
      </c>
      <c r="G17" s="38">
        <v>1200</v>
      </c>
      <c r="H17" s="38">
        <v>1200</v>
      </c>
      <c r="I17" s="46"/>
      <c r="J17" s="46"/>
      <c r="K17" s="46"/>
      <c r="L17" s="8" t="s">
        <v>19</v>
      </c>
    </row>
    <row r="18" spans="1:12" x14ac:dyDescent="0.25">
      <c r="A18" t="s">
        <v>103</v>
      </c>
      <c r="B18" s="9" t="s">
        <v>84</v>
      </c>
      <c r="C18" s="31" t="s">
        <v>46</v>
      </c>
      <c r="E18" s="31"/>
      <c r="F18" s="7">
        <v>2690.42</v>
      </c>
      <c r="G18" s="38">
        <v>2690.42</v>
      </c>
      <c r="H18" s="38"/>
      <c r="I18" s="46"/>
      <c r="J18" s="46"/>
      <c r="K18" s="46">
        <v>2700</v>
      </c>
      <c r="L18" s="8" t="s">
        <v>104</v>
      </c>
    </row>
    <row r="19" spans="1:12" x14ac:dyDescent="0.25">
      <c r="B19" s="9"/>
      <c r="C19" s="31"/>
      <c r="E19" s="31"/>
      <c r="F19" s="7"/>
      <c r="G19" s="38"/>
      <c r="H19" s="38"/>
      <c r="I19" s="46"/>
      <c r="J19" s="46"/>
      <c r="K19" s="46"/>
      <c r="L19" s="8"/>
    </row>
    <row r="20" spans="1:12" x14ac:dyDescent="0.25">
      <c r="A20">
        <v>3</v>
      </c>
      <c r="B20" s="9" t="s">
        <v>21</v>
      </c>
      <c r="C20" s="31" t="s">
        <v>18</v>
      </c>
      <c r="D20" t="s">
        <v>55</v>
      </c>
      <c r="E20" s="31" t="s">
        <v>22</v>
      </c>
      <c r="F20" s="7">
        <v>2960</v>
      </c>
      <c r="G20" s="38">
        <v>2960</v>
      </c>
      <c r="H20" s="38">
        <v>2960</v>
      </c>
      <c r="I20" s="46"/>
      <c r="J20" s="46"/>
      <c r="K20" s="46"/>
      <c r="L20" s="8" t="s">
        <v>23</v>
      </c>
    </row>
    <row r="21" spans="1:12" x14ac:dyDescent="0.25">
      <c r="B21" s="9"/>
      <c r="C21" s="31"/>
      <c r="E21" s="31"/>
      <c r="F21" s="7"/>
      <c r="G21" s="38"/>
      <c r="H21" s="38"/>
      <c r="I21" s="46"/>
      <c r="J21" s="46"/>
      <c r="K21" s="46"/>
      <c r="L21" s="8"/>
    </row>
    <row r="22" spans="1:12" x14ac:dyDescent="0.25">
      <c r="B22" s="9" t="s">
        <v>21</v>
      </c>
      <c r="C22" s="31" t="s">
        <v>18</v>
      </c>
      <c r="D22" t="s">
        <v>65</v>
      </c>
      <c r="E22" s="31" t="s">
        <v>66</v>
      </c>
      <c r="F22" s="7">
        <v>8320</v>
      </c>
      <c r="G22" s="38">
        <v>8320</v>
      </c>
      <c r="H22" s="38">
        <v>8320</v>
      </c>
      <c r="I22" s="46"/>
      <c r="J22" s="46"/>
      <c r="K22" s="46"/>
      <c r="L22" s="8" t="s">
        <v>67</v>
      </c>
    </row>
    <row r="23" spans="1:12" x14ac:dyDescent="0.25">
      <c r="A23">
        <v>4</v>
      </c>
      <c r="B23" s="9" t="s">
        <v>24</v>
      </c>
      <c r="C23" s="31" t="s">
        <v>18</v>
      </c>
      <c r="D23" t="s">
        <v>25</v>
      </c>
      <c r="E23" s="31" t="s">
        <v>14</v>
      </c>
      <c r="F23" s="7">
        <v>4635</v>
      </c>
      <c r="G23" s="38">
        <v>4635</v>
      </c>
      <c r="H23" s="38">
        <v>4635</v>
      </c>
      <c r="I23" s="46"/>
      <c r="J23" s="46"/>
      <c r="K23" s="46">
        <v>4700</v>
      </c>
      <c r="L23" s="8" t="s">
        <v>26</v>
      </c>
    </row>
    <row r="24" spans="1:12" x14ac:dyDescent="0.25">
      <c r="B24" s="9"/>
      <c r="C24" s="31"/>
      <c r="E24" s="31"/>
      <c r="F24" s="7">
        <v>30118.46</v>
      </c>
      <c r="G24" s="38"/>
      <c r="H24" s="38"/>
      <c r="I24" s="46"/>
      <c r="J24" s="46"/>
      <c r="K24" s="46">
        <v>30000</v>
      </c>
      <c r="L24" s="49" t="s">
        <v>105</v>
      </c>
    </row>
    <row r="25" spans="1:12" x14ac:dyDescent="0.25">
      <c r="A25">
        <v>5</v>
      </c>
      <c r="B25" s="9" t="s">
        <v>27</v>
      </c>
      <c r="C25" s="31" t="s">
        <v>18</v>
      </c>
      <c r="D25" t="s">
        <v>51</v>
      </c>
      <c r="E25" s="31" t="s">
        <v>14</v>
      </c>
      <c r="F25" s="7">
        <v>1705</v>
      </c>
      <c r="G25" s="38">
        <v>1705</v>
      </c>
      <c r="H25" s="38">
        <v>1705</v>
      </c>
      <c r="I25" s="46"/>
      <c r="J25" s="46"/>
      <c r="K25" s="46"/>
      <c r="L25" s="8"/>
    </row>
    <row r="26" spans="1:12" x14ac:dyDescent="0.25">
      <c r="B26" s="9"/>
      <c r="C26" s="31"/>
      <c r="E26" s="31"/>
      <c r="F26" s="7"/>
      <c r="G26" s="38"/>
      <c r="H26" s="38"/>
      <c r="I26" s="46"/>
      <c r="J26" s="46"/>
      <c r="K26" s="46"/>
      <c r="L26" s="8"/>
    </row>
    <row r="27" spans="1:12" x14ac:dyDescent="0.25">
      <c r="A27">
        <v>6</v>
      </c>
      <c r="B27" s="9" t="s">
        <v>28</v>
      </c>
      <c r="C27" s="31" t="s">
        <v>18</v>
      </c>
      <c r="D27" t="s">
        <v>53</v>
      </c>
      <c r="E27" s="31" t="s">
        <v>54</v>
      </c>
      <c r="F27" s="7">
        <v>3850</v>
      </c>
      <c r="G27" s="38">
        <v>3850</v>
      </c>
      <c r="H27" s="38">
        <v>3850</v>
      </c>
      <c r="I27" s="46"/>
      <c r="J27" s="46"/>
      <c r="K27" s="46"/>
      <c r="L27" s="8" t="s">
        <v>29</v>
      </c>
    </row>
    <row r="28" spans="1:12" x14ac:dyDescent="0.25">
      <c r="B28" s="9"/>
      <c r="C28" s="31"/>
      <c r="E28" s="31"/>
      <c r="F28" s="7"/>
      <c r="G28" s="38"/>
      <c r="H28" s="38"/>
      <c r="I28" s="46"/>
      <c r="J28" s="46"/>
      <c r="K28" s="46"/>
      <c r="L28" s="8"/>
    </row>
    <row r="29" spans="1:12" x14ac:dyDescent="0.25">
      <c r="A29">
        <v>7</v>
      </c>
      <c r="B29" s="9" t="s">
        <v>85</v>
      </c>
      <c r="C29" s="31" t="s">
        <v>18</v>
      </c>
      <c r="D29" t="s">
        <v>30</v>
      </c>
      <c r="E29" s="31" t="s">
        <v>14</v>
      </c>
      <c r="F29" s="7">
        <v>5990</v>
      </c>
      <c r="G29" s="38">
        <v>5990</v>
      </c>
      <c r="H29" s="38">
        <v>5990</v>
      </c>
      <c r="I29" s="46"/>
      <c r="J29" s="46"/>
      <c r="K29" s="46"/>
      <c r="L29" s="8" t="s">
        <v>78</v>
      </c>
    </row>
    <row r="30" spans="1:12" x14ac:dyDescent="0.25">
      <c r="B30" s="9" t="s">
        <v>86</v>
      </c>
      <c r="C30" s="31"/>
      <c r="E30" s="31"/>
      <c r="F30" s="7"/>
      <c r="G30" s="38"/>
      <c r="H30" s="38"/>
      <c r="I30" s="46"/>
      <c r="J30" s="46"/>
      <c r="K30" s="46"/>
      <c r="L30" s="8"/>
    </row>
    <row r="31" spans="1:12" x14ac:dyDescent="0.25">
      <c r="A31">
        <v>8</v>
      </c>
      <c r="B31" s="9" t="s">
        <v>88</v>
      </c>
      <c r="C31" s="31" t="s">
        <v>18</v>
      </c>
      <c r="D31" t="s">
        <v>52</v>
      </c>
      <c r="E31" s="31" t="s">
        <v>14</v>
      </c>
      <c r="F31" s="7">
        <v>2340</v>
      </c>
      <c r="G31" s="38">
        <v>2340</v>
      </c>
      <c r="H31" s="38">
        <v>2340</v>
      </c>
      <c r="I31" s="46"/>
      <c r="J31" s="46"/>
      <c r="K31" s="46"/>
      <c r="L31" s="8" t="s">
        <v>31</v>
      </c>
    </row>
    <row r="32" spans="1:12" x14ac:dyDescent="0.25">
      <c r="B32" s="9"/>
      <c r="C32" s="31"/>
      <c r="E32" s="31"/>
      <c r="F32" s="7"/>
      <c r="G32" s="38"/>
      <c r="H32" s="38"/>
      <c r="I32" s="46"/>
      <c r="J32" s="46"/>
      <c r="K32" s="46"/>
      <c r="L32" s="8"/>
    </row>
    <row r="33" spans="1:12" x14ac:dyDescent="0.25">
      <c r="A33">
        <v>9</v>
      </c>
      <c r="B33" s="9" t="s">
        <v>32</v>
      </c>
      <c r="C33" s="31" t="s">
        <v>41</v>
      </c>
      <c r="D33" t="s">
        <v>33</v>
      </c>
      <c r="E33" s="31" t="s">
        <v>14</v>
      </c>
      <c r="F33" s="7">
        <v>6700.68</v>
      </c>
      <c r="G33" s="38">
        <v>6700.68</v>
      </c>
      <c r="H33" s="38"/>
      <c r="I33" s="46">
        <v>6700.68</v>
      </c>
      <c r="J33" s="46"/>
      <c r="K33" s="46"/>
      <c r="L33" s="8" t="s">
        <v>34</v>
      </c>
    </row>
    <row r="34" spans="1:12" x14ac:dyDescent="0.25">
      <c r="B34" s="9"/>
      <c r="C34" s="31"/>
      <c r="D34" t="s">
        <v>44</v>
      </c>
      <c r="E34" s="31"/>
      <c r="F34" s="7"/>
      <c r="G34" s="38"/>
      <c r="H34" s="38"/>
      <c r="I34" s="46"/>
      <c r="J34" s="46"/>
      <c r="K34" s="46"/>
      <c r="L34" s="8" t="s">
        <v>89</v>
      </c>
    </row>
    <row r="35" spans="1:12" x14ac:dyDescent="0.25">
      <c r="B35" s="9"/>
      <c r="C35" s="31"/>
      <c r="E35" s="31"/>
      <c r="F35" s="7"/>
      <c r="G35" s="38"/>
      <c r="H35" s="38"/>
      <c r="I35" s="46"/>
      <c r="J35" s="46"/>
      <c r="K35" s="46"/>
      <c r="L35" s="8" t="s">
        <v>79</v>
      </c>
    </row>
    <row r="36" spans="1:12" x14ac:dyDescent="0.25">
      <c r="B36" s="9"/>
      <c r="C36" s="31"/>
      <c r="E36" s="31"/>
      <c r="F36" s="7"/>
      <c r="G36" s="38"/>
      <c r="H36" s="38"/>
      <c r="I36" s="46"/>
      <c r="J36" s="46"/>
      <c r="K36" s="46"/>
      <c r="L36" s="8" t="s">
        <v>45</v>
      </c>
    </row>
    <row r="37" spans="1:12" x14ac:dyDescent="0.25">
      <c r="B37" s="9"/>
      <c r="C37" s="31" t="s">
        <v>70</v>
      </c>
      <c r="D37">
        <v>12786</v>
      </c>
      <c r="E37" s="31" t="s">
        <v>71</v>
      </c>
      <c r="F37" s="7">
        <v>308.75</v>
      </c>
      <c r="G37" s="38">
        <v>308.75</v>
      </c>
      <c r="H37" s="38">
        <v>0</v>
      </c>
      <c r="I37" s="46"/>
      <c r="J37" s="46"/>
      <c r="K37" s="46"/>
      <c r="L37" s="8" t="s">
        <v>72</v>
      </c>
    </row>
    <row r="38" spans="1:12" x14ac:dyDescent="0.25">
      <c r="B38" s="9"/>
      <c r="C38" s="31"/>
      <c r="E38" s="31"/>
      <c r="F38" s="7"/>
      <c r="G38" s="38"/>
      <c r="H38" s="38"/>
      <c r="I38" s="46"/>
      <c r="J38" s="46"/>
      <c r="K38" s="46"/>
      <c r="L38" s="8"/>
    </row>
    <row r="39" spans="1:12" x14ac:dyDescent="0.25">
      <c r="A39">
        <v>10</v>
      </c>
      <c r="B39" s="9" t="s">
        <v>62</v>
      </c>
      <c r="C39" s="31" t="s">
        <v>18</v>
      </c>
      <c r="D39" t="s">
        <v>63</v>
      </c>
      <c r="E39" s="31" t="s">
        <v>64</v>
      </c>
      <c r="F39" s="7">
        <v>5990</v>
      </c>
      <c r="G39" s="38">
        <v>0</v>
      </c>
      <c r="H39" s="38">
        <v>0</v>
      </c>
      <c r="I39" s="46"/>
      <c r="J39" s="46"/>
      <c r="K39" s="46"/>
      <c r="L39" s="49" t="s">
        <v>87</v>
      </c>
    </row>
    <row r="40" spans="1:12" x14ac:dyDescent="0.25">
      <c r="A40">
        <v>11</v>
      </c>
      <c r="B40" s="9" t="s">
        <v>50</v>
      </c>
      <c r="C40" s="31" t="s">
        <v>48</v>
      </c>
      <c r="E40" s="31"/>
      <c r="F40" s="7">
        <v>29472.240000000002</v>
      </c>
      <c r="G40" s="38" t="s">
        <v>75</v>
      </c>
      <c r="H40" s="38"/>
      <c r="I40" s="46" t="s">
        <v>75</v>
      </c>
      <c r="J40" s="46"/>
      <c r="K40" s="46">
        <v>30000</v>
      </c>
      <c r="L40" s="49" t="s">
        <v>98</v>
      </c>
    </row>
    <row r="41" spans="1:12" x14ac:dyDescent="0.25">
      <c r="B41" s="9"/>
      <c r="C41" s="31"/>
      <c r="E41" s="31"/>
      <c r="F41" s="7"/>
      <c r="G41" s="38"/>
      <c r="H41" s="38"/>
      <c r="I41" s="46"/>
      <c r="J41" s="46"/>
      <c r="K41" s="46"/>
      <c r="L41" s="8" t="s">
        <v>90</v>
      </c>
    </row>
    <row r="42" spans="1:12" x14ac:dyDescent="0.25">
      <c r="B42" s="9"/>
      <c r="C42" s="31" t="s">
        <v>18</v>
      </c>
      <c r="D42" t="s">
        <v>56</v>
      </c>
      <c r="E42" s="31" t="s">
        <v>57</v>
      </c>
      <c r="F42" s="7">
        <v>7900</v>
      </c>
      <c r="G42" s="38">
        <v>7900</v>
      </c>
      <c r="H42" s="38">
        <v>7900</v>
      </c>
      <c r="I42" s="46"/>
      <c r="J42" s="46"/>
      <c r="K42" s="46"/>
      <c r="L42" s="8" t="s">
        <v>58</v>
      </c>
    </row>
    <row r="43" spans="1:12" x14ac:dyDescent="0.25">
      <c r="B43" s="9"/>
      <c r="C43" s="31"/>
      <c r="E43" s="31"/>
      <c r="F43" s="7"/>
      <c r="G43" s="38"/>
      <c r="H43" s="38"/>
      <c r="I43" s="46"/>
      <c r="J43" s="46"/>
      <c r="K43" s="46"/>
      <c r="L43" s="8"/>
    </row>
    <row r="44" spans="1:12" x14ac:dyDescent="0.25">
      <c r="A44">
        <v>12</v>
      </c>
      <c r="B44" s="9" t="s">
        <v>91</v>
      </c>
      <c r="C44" s="31" t="s">
        <v>47</v>
      </c>
      <c r="D44" t="s">
        <v>48</v>
      </c>
      <c r="E44" s="31" t="s">
        <v>49</v>
      </c>
      <c r="F44" s="7">
        <v>15933</v>
      </c>
      <c r="G44" s="38" t="s">
        <v>75</v>
      </c>
      <c r="H44" s="38"/>
      <c r="I44" s="46"/>
      <c r="J44" s="46"/>
      <c r="K44" s="46">
        <v>16000</v>
      </c>
      <c r="L44" s="49" t="s">
        <v>80</v>
      </c>
    </row>
    <row r="45" spans="1:12" x14ac:dyDescent="0.25">
      <c r="B45" s="9"/>
      <c r="C45" s="31"/>
      <c r="E45" s="31"/>
      <c r="F45" s="7"/>
      <c r="G45" s="38"/>
      <c r="H45" s="38"/>
      <c r="I45" s="46"/>
      <c r="J45" s="46"/>
      <c r="K45" s="46"/>
      <c r="L45" s="49" t="s">
        <v>81</v>
      </c>
    </row>
    <row r="46" spans="1:12" x14ac:dyDescent="0.25">
      <c r="A46">
        <v>13</v>
      </c>
      <c r="B46" s="9" t="s">
        <v>35</v>
      </c>
      <c r="C46" s="31" t="s">
        <v>18</v>
      </c>
      <c r="D46" t="s">
        <v>36</v>
      </c>
      <c r="E46" s="31" t="s">
        <v>14</v>
      </c>
      <c r="F46" s="7">
        <v>1700</v>
      </c>
      <c r="G46" s="38">
        <v>1700</v>
      </c>
      <c r="H46" s="38">
        <v>0</v>
      </c>
      <c r="I46" s="46"/>
      <c r="J46" s="46">
        <v>1700</v>
      </c>
      <c r="K46" s="46">
        <v>1700</v>
      </c>
      <c r="L46" s="49" t="s">
        <v>83</v>
      </c>
    </row>
    <row r="47" spans="1:12" x14ac:dyDescent="0.25">
      <c r="B47" s="9"/>
      <c r="C47" s="31"/>
      <c r="E47" s="31"/>
      <c r="F47" s="7"/>
      <c r="G47" s="38"/>
      <c r="H47" s="38"/>
      <c r="I47" s="46"/>
      <c r="J47" s="46"/>
      <c r="K47" s="46"/>
      <c r="L47" s="8"/>
    </row>
    <row r="48" spans="1:12" x14ac:dyDescent="0.25">
      <c r="A48">
        <v>14</v>
      </c>
      <c r="B48" s="9" t="s">
        <v>59</v>
      </c>
      <c r="C48" s="31" t="s">
        <v>18</v>
      </c>
      <c r="D48" t="s">
        <v>60</v>
      </c>
      <c r="E48" s="31" t="s">
        <v>61</v>
      </c>
      <c r="F48" s="7">
        <v>1145</v>
      </c>
      <c r="G48" s="38">
        <v>1145</v>
      </c>
      <c r="H48" s="38">
        <v>1145</v>
      </c>
      <c r="I48" s="46"/>
      <c r="J48" s="46"/>
      <c r="K48" s="46"/>
      <c r="L48" s="8" t="s">
        <v>82</v>
      </c>
    </row>
    <row r="49" spans="1:12" x14ac:dyDescent="0.25">
      <c r="B49" s="9"/>
      <c r="C49" s="31"/>
      <c r="E49" s="31"/>
      <c r="F49" s="7"/>
      <c r="G49" s="38"/>
      <c r="H49" s="38"/>
      <c r="I49" s="46"/>
      <c r="J49" s="46"/>
      <c r="K49" s="46"/>
      <c r="L49" s="8"/>
    </row>
    <row r="50" spans="1:12" x14ac:dyDescent="0.25">
      <c r="A50" t="s">
        <v>92</v>
      </c>
      <c r="B50" s="9" t="s">
        <v>93</v>
      </c>
      <c r="C50" s="31" t="s">
        <v>76</v>
      </c>
      <c r="E50" s="31"/>
      <c r="F50" s="7">
        <v>5009.99</v>
      </c>
      <c r="G50" s="38">
        <v>5009.99</v>
      </c>
      <c r="H50" s="38">
        <v>5009.99</v>
      </c>
      <c r="I50" s="46"/>
      <c r="J50" s="46"/>
      <c r="K50" s="46"/>
      <c r="L50" s="8" t="s">
        <v>94</v>
      </c>
    </row>
    <row r="51" spans="1:12" x14ac:dyDescent="0.25">
      <c r="B51" s="9"/>
      <c r="C51" s="31"/>
      <c r="E51" s="31"/>
      <c r="F51" s="7"/>
      <c r="G51" s="38"/>
      <c r="H51" s="38"/>
      <c r="I51" s="46"/>
      <c r="J51" s="46"/>
      <c r="K51" s="46"/>
      <c r="L51" s="8"/>
    </row>
    <row r="52" spans="1:12" x14ac:dyDescent="0.25">
      <c r="A52">
        <v>16</v>
      </c>
      <c r="B52" s="9" t="s">
        <v>39</v>
      </c>
      <c r="C52" s="31" t="s">
        <v>38</v>
      </c>
      <c r="D52">
        <v>6371</v>
      </c>
      <c r="E52" s="31" t="s">
        <v>40</v>
      </c>
      <c r="F52" s="7">
        <v>408.16</v>
      </c>
      <c r="G52" s="38">
        <v>408.16</v>
      </c>
      <c r="H52" s="38">
        <v>408.16</v>
      </c>
      <c r="I52" s="46"/>
      <c r="J52" s="46"/>
      <c r="K52" s="46"/>
      <c r="L52" s="8"/>
    </row>
    <row r="53" spans="1:12" x14ac:dyDescent="0.25">
      <c r="B53" s="9" t="s">
        <v>107</v>
      </c>
      <c r="C53" s="31" t="s">
        <v>106</v>
      </c>
      <c r="E53" s="31" t="s">
        <v>108</v>
      </c>
      <c r="F53" s="7">
        <v>7704.1</v>
      </c>
      <c r="G53" s="38">
        <v>7704.1</v>
      </c>
      <c r="H53" s="38">
        <v>7704.1</v>
      </c>
      <c r="I53" s="46"/>
      <c r="J53" s="46"/>
      <c r="K53" s="46">
        <v>0</v>
      </c>
      <c r="L53" s="8"/>
    </row>
    <row r="54" spans="1:12" x14ac:dyDescent="0.25">
      <c r="B54" s="9"/>
      <c r="C54" s="31"/>
      <c r="E54" s="31"/>
      <c r="F54" s="7"/>
      <c r="G54" s="38"/>
      <c r="H54" s="38"/>
      <c r="I54" s="46"/>
      <c r="J54" s="46"/>
      <c r="K54" s="46"/>
      <c r="L54" s="8"/>
    </row>
    <row r="55" spans="1:12" x14ac:dyDescent="0.25">
      <c r="B55" s="13" t="s">
        <v>37</v>
      </c>
      <c r="C55" s="32"/>
      <c r="D55" s="17"/>
      <c r="E55" s="32"/>
      <c r="F55" s="18">
        <f>SUM(F13:F54)</f>
        <v>160195.79999999999</v>
      </c>
      <c r="G55" s="39">
        <f>SUM(G13:G54)</f>
        <v>67182.100000000006</v>
      </c>
      <c r="H55" s="39">
        <f>SUM(H13:H54)</f>
        <v>55782.25</v>
      </c>
      <c r="I55" s="47">
        <f>SUM(I26:I54)</f>
        <v>6700.68</v>
      </c>
      <c r="J55" s="47">
        <f>SUM(J26:J54)</f>
        <v>1700</v>
      </c>
      <c r="K55" s="47">
        <f>SUM(K20:K54)</f>
        <v>82400</v>
      </c>
      <c r="L55" s="8"/>
    </row>
    <row r="56" spans="1:12" x14ac:dyDescent="0.25">
      <c r="B56" s="9"/>
      <c r="C56" s="31"/>
      <c r="E56" s="31"/>
      <c r="F56" s="7"/>
      <c r="G56" s="38"/>
      <c r="H56" s="38"/>
      <c r="I56" s="46"/>
      <c r="J56" s="46"/>
      <c r="K56" s="46"/>
      <c r="L56" s="8"/>
    </row>
    <row r="57" spans="1:12" x14ac:dyDescent="0.25">
      <c r="B57" s="9"/>
      <c r="C57" s="31"/>
      <c r="E57" s="31"/>
      <c r="F57" s="7"/>
      <c r="G57" s="38"/>
      <c r="H57" s="38"/>
      <c r="I57" s="46"/>
      <c r="J57" s="46"/>
      <c r="K57" s="46"/>
      <c r="L57" s="8"/>
    </row>
    <row r="58" spans="1:12" x14ac:dyDescent="0.25">
      <c r="B58" s="9"/>
      <c r="C58" s="31"/>
      <c r="E58" s="31"/>
      <c r="F58" s="7"/>
      <c r="G58" s="38"/>
      <c r="H58" s="38"/>
      <c r="I58" s="46"/>
      <c r="J58" s="46"/>
      <c r="K58" s="46"/>
      <c r="L58" s="8"/>
    </row>
    <row r="59" spans="1:12" x14ac:dyDescent="0.25">
      <c r="B59" s="9"/>
      <c r="C59" s="31"/>
      <c r="E59" s="31"/>
      <c r="F59" s="7"/>
      <c r="G59" s="38"/>
      <c r="H59" s="38"/>
      <c r="I59" s="46"/>
      <c r="J59" s="46"/>
      <c r="K59" s="46"/>
      <c r="L59" s="8"/>
    </row>
    <row r="60" spans="1:12" x14ac:dyDescent="0.25">
      <c r="B60" s="13" t="s">
        <v>4</v>
      </c>
      <c r="C60" s="31"/>
      <c r="E60" s="31"/>
      <c r="F60" s="18">
        <v>31420.080000000002</v>
      </c>
      <c r="G60" s="39">
        <v>25136.06</v>
      </c>
      <c r="H60" s="39">
        <v>25136.06</v>
      </c>
      <c r="I60" s="47"/>
      <c r="J60" s="47"/>
      <c r="K60" s="47"/>
      <c r="L60" s="8" t="s">
        <v>97</v>
      </c>
    </row>
    <row r="61" spans="1:12" x14ac:dyDescent="0.25">
      <c r="B61" s="9"/>
      <c r="C61" s="31"/>
      <c r="E61" s="31"/>
      <c r="F61" s="7"/>
      <c r="G61" s="38"/>
      <c r="H61" s="38"/>
      <c r="I61" s="46"/>
      <c r="J61" s="46"/>
      <c r="K61" s="46"/>
      <c r="L61" s="8"/>
    </row>
    <row r="62" spans="1:12" x14ac:dyDescent="0.25">
      <c r="B62" s="9"/>
      <c r="C62" s="31"/>
      <c r="E62" s="31"/>
      <c r="F62" s="7"/>
      <c r="G62" s="38"/>
      <c r="H62" s="38"/>
      <c r="I62" s="46"/>
      <c r="J62" s="46"/>
      <c r="K62" s="46"/>
      <c r="L62" s="8"/>
    </row>
    <row r="63" spans="1:12" x14ac:dyDescent="0.25">
      <c r="B63" s="13" t="s">
        <v>37</v>
      </c>
      <c r="C63" s="32"/>
      <c r="D63" s="17"/>
      <c r="E63" s="32"/>
      <c r="F63" s="18">
        <f>SUM(F55:F62)</f>
        <v>191615.88</v>
      </c>
      <c r="G63" s="39">
        <f>SUM(G55:G62)</f>
        <v>92318.16</v>
      </c>
      <c r="H63" s="39">
        <f>SUM(H55:H62)</f>
        <v>80918.31</v>
      </c>
      <c r="I63" s="47">
        <f>SUM(I55:I62)</f>
        <v>6700.68</v>
      </c>
      <c r="J63" s="47">
        <f>SUM(J55:J62)</f>
        <v>1700</v>
      </c>
      <c r="K63" s="47"/>
      <c r="L63" s="8"/>
    </row>
    <row r="64" spans="1:12" x14ac:dyDescent="0.25">
      <c r="B64" s="9"/>
      <c r="C64" s="31"/>
      <c r="E64" s="31"/>
      <c r="F64" s="7"/>
      <c r="G64" s="38"/>
      <c r="H64" s="38"/>
      <c r="I64" s="46"/>
      <c r="J64" s="46"/>
      <c r="K64" s="46"/>
      <c r="L64" s="8"/>
    </row>
    <row r="65" spans="2:12" x14ac:dyDescent="0.25">
      <c r="B65" s="9" t="s">
        <v>73</v>
      </c>
      <c r="C65" s="31"/>
      <c r="E65" s="31"/>
      <c r="F65" s="7"/>
      <c r="G65" s="38"/>
      <c r="H65" s="38">
        <v>-1000</v>
      </c>
      <c r="I65" s="46">
        <v>-1000</v>
      </c>
      <c r="J65" s="46">
        <v>-1000</v>
      </c>
      <c r="K65" s="46"/>
      <c r="L65" s="8"/>
    </row>
    <row r="66" spans="2:12" x14ac:dyDescent="0.25">
      <c r="B66" s="9"/>
      <c r="C66" s="31"/>
      <c r="E66" s="31"/>
      <c r="F66" s="7"/>
      <c r="G66" s="38"/>
      <c r="H66" s="38"/>
      <c r="I66" s="46"/>
      <c r="J66" s="46"/>
      <c r="K66" s="46"/>
      <c r="L66" s="8"/>
    </row>
    <row r="67" spans="2:12" x14ac:dyDescent="0.25">
      <c r="B67" s="13" t="s">
        <v>37</v>
      </c>
      <c r="C67" s="31"/>
      <c r="E67" s="31"/>
      <c r="F67" s="7"/>
      <c r="G67" s="38"/>
      <c r="H67" s="39">
        <f>SUM(H63:H66)</f>
        <v>79918.31</v>
      </c>
      <c r="I67" s="47">
        <f>SUM(I63:I66)</f>
        <v>5700.68</v>
      </c>
      <c r="J67" s="47">
        <f>SUM(J63:J66)</f>
        <v>700</v>
      </c>
      <c r="K67" s="47"/>
      <c r="L67" s="8"/>
    </row>
    <row r="68" spans="2:12" x14ac:dyDescent="0.25">
      <c r="B68" s="9"/>
      <c r="C68" s="31"/>
      <c r="E68" s="31"/>
      <c r="F68" s="7"/>
      <c r="G68" s="38"/>
      <c r="H68" s="38"/>
      <c r="I68" s="46"/>
      <c r="J68" s="46"/>
      <c r="K68" s="46"/>
      <c r="L68" s="8"/>
    </row>
    <row r="69" spans="2:12" x14ac:dyDescent="0.25">
      <c r="B69" s="9" t="s">
        <v>74</v>
      </c>
      <c r="C69" s="31"/>
      <c r="E69" s="31"/>
      <c r="F69" s="7"/>
      <c r="G69" s="38"/>
      <c r="H69" s="38">
        <v>-24136.06</v>
      </c>
      <c r="I69" s="46"/>
      <c r="J69" s="46"/>
      <c r="K69" s="46"/>
      <c r="L69" s="8"/>
    </row>
    <row r="70" spans="2:12" x14ac:dyDescent="0.25">
      <c r="B70" s="9"/>
      <c r="C70" s="31"/>
      <c r="E70" s="31"/>
      <c r="F70" s="7"/>
      <c r="G70" s="38"/>
      <c r="H70" s="38"/>
      <c r="I70" s="46"/>
      <c r="J70" s="46"/>
      <c r="K70" s="46"/>
      <c r="L70" s="8"/>
    </row>
    <row r="71" spans="2:12" x14ac:dyDescent="0.25">
      <c r="B71" s="9" t="s">
        <v>77</v>
      </c>
      <c r="C71" s="31"/>
      <c r="E71" s="31"/>
      <c r="F71" s="7"/>
      <c r="G71" s="38"/>
      <c r="H71" s="39">
        <v>-37288.160000000003</v>
      </c>
      <c r="I71" s="47"/>
      <c r="J71" s="47"/>
      <c r="K71" s="47"/>
      <c r="L71" s="41"/>
    </row>
    <row r="72" spans="2:12" x14ac:dyDescent="0.25">
      <c r="B72" s="13"/>
      <c r="C72" s="31"/>
      <c r="E72" s="31"/>
      <c r="F72" s="7"/>
      <c r="G72" s="38"/>
      <c r="H72" s="39"/>
      <c r="I72" s="47"/>
      <c r="J72" s="47"/>
      <c r="K72" s="47"/>
      <c r="L72" s="41"/>
    </row>
    <row r="73" spans="2:12" x14ac:dyDescent="0.25">
      <c r="B73" s="9" t="s">
        <v>101</v>
      </c>
      <c r="C73" s="31"/>
      <c r="E73" s="31"/>
      <c r="F73" s="7"/>
      <c r="G73" s="38"/>
      <c r="H73" s="39">
        <f>SUM(H67:H72)</f>
        <v>18494.089999999997</v>
      </c>
      <c r="I73" s="47">
        <f>SUM(I67:I72)</f>
        <v>5700.68</v>
      </c>
      <c r="J73" s="47">
        <f>SUM(J67:J72)</f>
        <v>700</v>
      </c>
      <c r="K73" s="47">
        <f>SUM(K55:K72)</f>
        <v>82400</v>
      </c>
      <c r="L73" s="41"/>
    </row>
    <row r="74" spans="2:12" x14ac:dyDescent="0.25">
      <c r="B74" s="9"/>
      <c r="C74" s="31"/>
      <c r="E74" s="31"/>
      <c r="F74" s="7"/>
      <c r="G74" s="38"/>
      <c r="H74" s="39"/>
      <c r="I74" s="47"/>
      <c r="J74" s="47"/>
      <c r="K74" s="47"/>
      <c r="L74" s="41"/>
    </row>
    <row r="75" spans="2:12" x14ac:dyDescent="0.25">
      <c r="B75" s="9"/>
      <c r="C75" s="31"/>
      <c r="E75" s="31"/>
      <c r="F75" s="7"/>
      <c r="G75" s="38"/>
      <c r="H75" s="39"/>
      <c r="I75" s="47"/>
      <c r="J75" s="47"/>
      <c r="K75" s="47"/>
      <c r="L75" s="41"/>
    </row>
    <row r="76" spans="2:12" x14ac:dyDescent="0.25">
      <c r="B76" s="9"/>
      <c r="C76" s="31"/>
      <c r="E76" s="31"/>
      <c r="F76" s="7"/>
      <c r="G76" s="38"/>
      <c r="H76" s="39"/>
      <c r="I76" s="47"/>
      <c r="J76" s="47"/>
      <c r="K76" s="47"/>
      <c r="L76" s="41"/>
    </row>
    <row r="77" spans="2:12" ht="15.75" thickBot="1" x14ac:dyDescent="0.3">
      <c r="B77" s="19"/>
      <c r="C77" s="33"/>
      <c r="D77" s="20"/>
      <c r="E77" s="33"/>
      <c r="F77" s="21"/>
      <c r="G77" s="40"/>
      <c r="H77" s="40"/>
      <c r="I77" s="48"/>
      <c r="J77" s="48"/>
      <c r="K77" s="48"/>
      <c r="L77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Dubois</dc:creator>
  <cp:lastModifiedBy>Joey Dubois</cp:lastModifiedBy>
  <dcterms:created xsi:type="dcterms:W3CDTF">2024-07-25T14:42:04Z</dcterms:created>
  <dcterms:modified xsi:type="dcterms:W3CDTF">2025-04-23T11:29:53Z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3eafb0-5f3b-4431-a370-adff4bb5f0bb_Enabled">
    <vt:lpwstr>true</vt:lpwstr>
  </property>
  <property fmtid="{D5CDD505-2E9C-101B-9397-08002B2CF9AE}" pid="3" name="MSIP_Label_d03eafb0-5f3b-4431-a370-adff4bb5f0bb_SetDate">
    <vt:lpwstr>2024-07-25T14:42:04Z</vt:lpwstr>
  </property>
  <property fmtid="{D5CDD505-2E9C-101B-9397-08002B2CF9AE}" pid="4" name="MSIP_Label_d03eafb0-5f3b-4431-a370-adff4bb5f0bb_Method">
    <vt:lpwstr>Standard</vt:lpwstr>
  </property>
  <property fmtid="{D5CDD505-2E9C-101B-9397-08002B2CF9AE}" pid="5" name="MSIP_Label_d03eafb0-5f3b-4431-a370-adff4bb5f0bb_Name">
    <vt:lpwstr>defa4170-0d19-0005-0002-bc88714345d2</vt:lpwstr>
  </property>
  <property fmtid="{D5CDD505-2E9C-101B-9397-08002B2CF9AE}" pid="6" name="MSIP_Label_d03eafb0-5f3b-4431-a370-adff4bb5f0bb_SiteId">
    <vt:lpwstr>fa82ae0a-0f77-4e32-9c40-c3def0a2730f</vt:lpwstr>
  </property>
  <property fmtid="{D5CDD505-2E9C-101B-9397-08002B2CF9AE}" pid="7" name="MSIP_Label_d03eafb0-5f3b-4431-a370-adff4bb5f0bb_ActionId">
    <vt:lpwstr>77ba5c88-3251-4d07-b561-11e4a0106104</vt:lpwstr>
  </property>
  <property fmtid="{D5CDD505-2E9C-101B-9397-08002B2CF9AE}" pid="8" name="MSIP_Label_d03eafb0-5f3b-4431-a370-adff4bb5f0bb_ContentBits">
    <vt:lpwstr>0</vt:lpwstr>
  </property>
</Properties>
</file>