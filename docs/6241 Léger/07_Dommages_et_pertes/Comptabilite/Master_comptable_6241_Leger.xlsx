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d0fe3f9b6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73da6c725e0b44db"/>
    <x:sheet xmlns:r="http://schemas.openxmlformats.org/officeDocument/2006/relationships" name="Pertes nouvelles" sheetId="2" r:id="R8bf48835d1c04e01"/>
    <x:sheet xmlns:r="http://schemas.openxmlformats.org/officeDocument/2006/relationships" name="Exploitation" sheetId="3" r:id="R81517eb2cb0b4ee2"/>
    <x:sheet xmlns:r="http://schemas.openxmlformats.org/officeDocument/2006/relationships" name="Factures et devis" sheetId="4" r:id="R4ffde9afab134125"/>
    <x:sheet xmlns:r="http://schemas.openxmlformats.org/officeDocument/2006/relationships" name="Indemnites" sheetId="5" r:id="R4dcb14ee54a44505"/>
    <x:sheet xmlns:r="http://schemas.openxmlformats.org/officeDocument/2006/relationships" name="Ventes" sheetId="6" r:id="Ra04d831e03bf4a4a"/>
    <x:sheet xmlns:r="http://schemas.openxmlformats.org/officeDocument/2006/relationships" name="Grand livre" sheetId="7" r:id="Ref15cb7f4e9e44d6"/>
    <x:sheet xmlns:r="http://schemas.openxmlformats.org/officeDocument/2006/relationships" name="Hadmo avril" sheetId="8" r:id="R7b0925e07a0040dc"/>
    <x:sheet xmlns:r="http://schemas.openxmlformats.org/officeDocument/2006/relationships" name="Controles" sheetId="9" r:id="R0f43e51050b240db"/>
    <x:sheet xmlns:r="http://schemas.openxmlformats.org/officeDocument/2006/relationships" name="Methode" sheetId="10" r:id="R719dc0467482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;(#,##0.00);&quot;-&quot;"/>
    <x:numFmt numFmtId="202" formatCode="mmm-yy"/>
    <x:numFmt numFmtId="203" formatCode="0.0%"/>
    <x:numFmt numFmtId="204" formatCode="0.00;(0.00);0.00"/>
  </x:numFmts>
  <x:fonts count="7">
    <x:font>
      <x:sz val="11"/>
      <x:name val="Carlito"/>
    </x:font>
    <x:font>
      <x:sz val="10"/>
      <x:color rgb="FF202D3A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1"/>
      <x:color rgb="FF16703B"/>
      <x:name val="Carlito"/>
    </x:font>
    <x:font>
      <x:sz val="10"/>
      <x:color rgb="FF16703B"/>
      <x:name val="Arial"/>
    </x:font>
    <x:font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0" fontId="5" fillId="0" borderId="0" xfId="0" applyNumberFormat="1" applyFont="1" applyFill="1" applyBorder="1"/>
    <x:xf numFmtId="201" fontId="1" fillId="3" borderId="0" xfId="0" applyNumberFormat="1" applyFont="1" applyFill="1" applyBorder="1"/>
    <x:xf numFmtId="201" fontId="5" fillId="0" borderId="0" xfId="0" applyNumberFormat="1" applyFont="1" applyFill="1" applyBorder="1"/>
    <x:xf numFmtId="203" fontId="1" fillId="3" borderId="0" xfId="0" applyNumberFormat="1" applyFont="1" applyFill="1" applyBorder="1"/>
    <x:xf numFmtId="201" fontId="6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A61C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ec987e0e04e1b" /><Relationship Type="http://schemas.openxmlformats.org/officeDocument/2006/relationships/theme" Target="/xl/theme/theme1.xml" Id="R65299f8b7c3e43b7" /><Relationship Type="http://schemas.openxmlformats.org/officeDocument/2006/relationships/sharedStrings" Target="/xl/sharedStrings.xml" Id="R751d17d120dd45aa" /><Relationship Type="http://schemas.openxmlformats.org/officeDocument/2006/relationships/worksheet" Target="/xl/worksheets/sheet1.xml" Id="R73da6c725e0b44db" /><Relationship Type="http://schemas.openxmlformats.org/officeDocument/2006/relationships/worksheet" Target="/xl/worksheets/sheet2.xml" Id="R8bf48835d1c04e01" /><Relationship Type="http://schemas.openxmlformats.org/officeDocument/2006/relationships/worksheet" Target="/xl/worksheets/sheet3.xml" Id="R81517eb2cb0b4ee2" /><Relationship Type="http://schemas.openxmlformats.org/officeDocument/2006/relationships/worksheet" Target="/xl/worksheets/sheet4.xml" Id="R4ffde9afab134125" /><Relationship Type="http://schemas.openxmlformats.org/officeDocument/2006/relationships/worksheet" Target="/xl/worksheets/sheet5.xml" Id="R4dcb14ee54a44505" /><Relationship Type="http://schemas.openxmlformats.org/officeDocument/2006/relationships/worksheet" Target="/xl/worksheets/sheet6.xml" Id="Ra04d831e03bf4a4a" /><Relationship Type="http://schemas.openxmlformats.org/officeDocument/2006/relationships/worksheet" Target="/xl/worksheets/sheet7.xml" Id="Ref15cb7f4e9e44d6" /><Relationship Type="http://schemas.openxmlformats.org/officeDocument/2006/relationships/worksheet" Target="/xl/worksheets/sheet8.xml" Id="R7b0925e07a0040dc" /><Relationship Type="http://schemas.openxmlformats.org/officeDocument/2006/relationships/worksheet" Target="/xl/worksheets/sheet9.xml" Id="R0f43e51050b240db" /><Relationship Type="http://schemas.openxmlformats.org/officeDocument/2006/relationships/worksheet" Target="/xl/worksheets/sheet10.xml" Id="R719dc046748244d9" /></Relationships>
</file>

<file path=xl/tables/table1.xml><?xml version="1.0" encoding="utf-8"?>
<x:table xmlns:x="http://schemas.openxmlformats.org/spreadsheetml/2006/main" id="8" name="Registre1" displayName="Registre1" ref="A5:C15" headerRowCount="1" totalsRowCount="0" totalsRowShown="0">
  <x:tableColumns count="3">
    <x:tableColumn id="1" name="Mesure"/>
    <x:tableColumn id="2" name="Montant ($)"/>
    <x:tableColumn id="3" name="Porté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Registre2" displayName="Registre2" ref="A5:M32" headerRowCount="1" totalsRowCount="0" totalsRowShown="0">
  <x:tableColumns count="13">
    <x:tableColumn id="1" name="Rubrique"/>
    <x:tableColumn id="2" name="Bien / groupe"/>
    <x:tableColumn id="3" name="Méthode retenue"/>
    <x:tableColumn id="4" name="Coût justifié HT"/>
    <x:tableColumn id="5" name="Taxes non récup."/>
    <x:tableColumn id="6" name="Recouvrement affecté"/>
    <x:tableColumn id="7" name="Valeur résiduelle"/>
    <x:tableColumn id="8" name="Perte nette"/>
    <x:tableColumn id="9" name="État du dossier"/>
    <x:tableColumn id="10" name="Pièce justificative"/>
    <x:tableColumn id="11" name="Vérification requise"/>
    <x:tableColumn id="12" name="Column12"/>
    <x:tableColumn id="13" name="Source de dépar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Registre3" displayName="Registre3" ref="A5:H6" headerRowCount="1" totalsRowCount="0" totalsRowShown="0">
  <x:tableColumns count="8">
    <x:tableColumn id="1" name="Période"/>
    <x:tableColumn id="2" name="Ventes de référence"/>
    <x:tableColumn id="3" name="Ventes réalisées"/>
    <x:tableColumn id="4" name="Marge contributive"/>
    <x:tableColumn id="5" name="Frais supplémentaires"/>
    <x:tableColumn id="6" name="Recouvrements affectés"/>
    <x:tableColumn id="7" name="Pièces / méthode"/>
    <x:tableColumn id="8" name="Perte calculé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re4" displayName="Registre4" ref="A5:N30" headerRowCount="1" totalsRowCount="0" totalsRowShown="0">
  <x:tableColumns count="14">
    <x:tableColumn id="1" name="Pièce"/>
    <x:tableColumn id="2" name="Date"/>
    <x:tableColumn id="3" name="Nature"/>
    <x:tableColumn id="4" name="Objet"/>
    <x:tableColumn id="5" name="Hors taxes"/>
    <x:tableColumn id="6" name="TPS"/>
    <x:tableColumn id="7" name="TVQ"/>
    <x:tableColumn id="8" name="Total pièce"/>
    <x:tableColumn id="9" name="Écart taxes"/>
    <x:tableColumn id="10" name="Groupe / doublon"/>
    <x:tableColumn id="11" name="Statut"/>
    <x:tableColumn id="12" name="Column12"/>
    <x:tableColumn id="13" name="Source dans archive"/>
    <x:tableColumn id="14" name="Point à rapproch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re5" displayName="Registre5" ref="A5:J10" headerRowCount="1" totalsRowCount="0" totalsRowShown="0">
  <x:tableColumns count="10">
    <x:tableColumn id="1" name="ID"/>
    <x:tableColumn id="2" name="Date repère"/>
    <x:tableColumn id="3" name="Objet"/>
    <x:tableColumn id="4" name="Montant mentionné"/>
    <x:tableColumn id="5" name="Statut de preuve"/>
    <x:tableColumn id="6" name="Encaissé confirmé"/>
    <x:tableColumn id="7" name="Référence bancaire"/>
    <x:tableColumn id="8" name="Column8"/>
    <x:tableColumn id="9" name="Source"/>
    <x:tableColumn id="10" name="Affectation / 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Registre6" displayName="Registre6" ref="A5:H19" headerRowCount="1" totalsRowCount="0" totalsRowShown="0">
  <x:tableColumns count="8">
    <x:tableColumn id="1" name="Mois"/>
    <x:tableColumn id="2" name="Uber ($)"/>
    <x:tableColumn id="3" name="DoorDash ($)"/>
    <x:tableColumn id="4" name="Grand livre 4200 ($)"/>
    <x:tableColumn id="5" name="Column5"/>
    <x:tableColumn id="6" name="Source Uber"/>
    <x:tableColumn id="7" name="Source DoorDash"/>
    <x:tableColumn id="8" name="Source grand liv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Registre7" displayName="Registre7" ref="A5:K577" headerRowCount="1" totalsRowCount="0" totalsRowShown="0">
  <x:tableColumns count="11">
    <x:tableColumn id="1" name="Compte"/>
    <x:tableColumn id="2" name="Intitulé"/>
    <x:tableColumn id="3" name="Date comptable"/>
    <x:tableColumn id="4" name="Description"/>
    <x:tableColumn id="5" name="Source comptable"/>
    <x:tableColumn id="6" name="Journal"/>
    <x:tableColumn id="7" name="Débit ($)"/>
    <x:tableColumn id="8" name="Crédit ($)"/>
    <x:tableColumn id="9" name="Ligne source"/>
    <x:tableColumn id="10" name="Column10"/>
    <x:tableColumn id="11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Registre8" displayName="Registre8" ref="A5:M29" headerRowCount="1" totalsRowCount="0" totalsRowShown="0">
  <x:tableColumns count="13">
    <x:tableColumn id="1" name="Ligne"/>
    <x:tableColumn id="2" name="Item"/>
    <x:tableColumn id="3" name="Description"/>
    <x:tableColumn id="4" name="Pièce"/>
    <x:tableColumn id="5" name="Réclamé ($)"/>
    <x:tableColumn id="6" name="Évalué ($)"/>
    <x:tableColumn id="7" name="Alloué ($)"/>
    <x:tableColumn id="8" name="3 juillet ($)"/>
    <x:tableColumn id="9" name="8 juillet ($)"/>
    <x:tableColumn id="10" name="Réserve ($)"/>
    <x:tableColumn id="11" name="Commentaire source"/>
    <x:tableColumn id="12" name="Column12"/>
    <x:tableColumn id="13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gistre9" displayName="Registre9" ref="A5:E13" headerRowCount="1" totalsRowCount="0" totalsRowShown="0">
  <x:tableColumns count="5">
    <x:tableColumn id="1" name="Contrôle"/>
    <x:tableColumn id="2" name="Recalculé"/>
    <x:tableColumn id="3" name="Source / référence"/>
    <x:tableColumn id="4" name="Écart"/>
    <x:tableColumn id="5" name="Ex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gistre10" displayName="Registre10" ref="A5:B20" headerRowCount="1" totalsRowCount="0" totalsRowShown="0">
  <x:tableColumns count="2">
    <x:tableColumn id="1" name="Sujet"/>
    <x:tableColumn id="2" name="Règ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8ce265808146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a5361e7a3a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80641922a747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fc786579d24a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186b1df9314f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e3dd09ce2e4a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9f9cf3b29841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2423a517c549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74e256382ac49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e57bd65f590468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95" hidden="0" customWidth="1"/>
  </x:cols>
  <x:sheetData>
    <x:row r="1" ht="22" customHeight="1">
      <x:c r="A1" s="1"/>
      <x:c r="B1" s="1"/>
      <x:c r="C1" s="1"/>
    </x:row>
    <x:row r="2" ht="22" customHeight="1">
      <x:c r="A2" s="2" t="str">
        <x:v>6241 boulevard Léger — master comptable</x:v>
      </x:c>
      <x:c r="B2" s="1"/>
      <x:c r="C2" s="1"/>
    </x:row>
    <x:row r="3" ht="22" customHeight="1">
      <x:c r="A3" s="1" t="str">
        <x:v>État au 21 octobre 2026. Aucune addition globale des sources ni perte finale annoncée.</x:v>
      </x:c>
      <x:c r="B3" s="1"/>
      <x:c r="C3" s="1"/>
    </x:row>
    <x:row r="4" ht="22" customHeight="1">
      <x:c r="A4" s="1"/>
      <x:c r="B4" s="1"/>
      <x:c r="C4" s="1"/>
    </x:row>
    <x:row r="5" ht="34" customHeight="1">
      <x:c r="A5" s="6" t="str">
        <x:v>Mesure</x:v>
      </x:c>
      <x:c r="B5" s="6" t="str">
        <x:v>Montant ($)</x:v>
      </x:c>
      <x:c r="C5" s="6" t="str">
        <x:v>Portée</x:v>
      </x:c>
    </x:row>
    <x:row r="6" ht="22" customHeight="1">
      <x:c r="A6" s="1" t="str">
        <x:v>Ventes du grand livre</x:v>
      </x:c>
      <x:c r="B6" s="23" t="n">
        <x:f>SUMIFS('Grand livre'!H6:H577,'Grand livre'!A6:A577,"4200")</x:f>
        <x:v>77995.44</x:v>
      </x:c>
      <x:c r="C6" s="1" t="str">
        <x:v>Juillet 2024 à avril 2025. Mai et juin non renseignés.</x:v>
      </x:c>
    </x:row>
    <x:row r="7" ht="22" customHeight="1">
      <x:c r="A7" s="1" t="str">
        <x:v>Réparations comptabilisées</x:v>
      </x:c>
      <x:c r="B7" s="23" t="n">
        <x:f>SUMIFS('Grand livre'!G6:G577,'Grand livre'!A6:A577,"5765")</x:f>
        <x:v>57842.6</x:v>
      </x:c>
      <x:c r="C7" s="1" t="str">
        <x:v>64 écritures au compte 5765; factures et banque à rapprocher.</x:v>
      </x:c>
    </x:row>
    <x:row r="8" ht="22" customHeight="1">
      <x:c r="A8" s="1" t="str">
        <x:v>Primes d’assurance comptabilisées</x:v>
      </x:c>
      <x:c r="B8" s="23" t="n">
        <x:f>SUMIFS('Grand livre'!G6:G577,'Grand livre'!A6:A577,"5685")</x:f>
        <x:v>6469.71</x:v>
      </x:c>
      <x:c r="C8" s="1" t="str">
        <x:v>Charges du compte 5685; ce ne sont pas des indemnités.</x:v>
      </x:c>
    </x:row>
    <x:row r="9" ht="22" customHeight="1">
      <x:c r="A9" s="1" t="str">
        <x:v>Uber : ventes couvertes</x:v>
      </x:c>
      <x:c r="B9" s="23" t="n">
        <x:f>'Ventes'!B21</x:f>
        <x:v>55609.85</x:v>
      </x:c>
      <x:c r="C9" s="1" t="str">
        <x:v>Mars à décembre 2024. Définition et entité à confirmer.</x:v>
      </x:c>
    </x:row>
    <x:row r="10" ht="22" customHeight="1">
      <x:c r="A10" s="1" t="str">
        <x:v>DoorDash : ventes couvertes</x:v>
      </x:c>
      <x:c r="B10" s="23" t="n">
        <x:f>'Ventes'!C21</x:f>
        <x:v>22774.339999999997</x:v>
      </x:c>
      <x:c r="C10" s="1" t="str">
        <x:v>Avril à décembre 2024. Ne pas ajouter au grand livre.</x:v>
      </x:c>
    </x:row>
    <x:row r="11" ht="22" customHeight="1">
      <x:c r="A11" s="1" t="str">
        <x:v>Hadmo : réclamé, copie avril</x:v>
      </x:c>
      <x:c r="B11" s="23" t="n">
        <x:f>'Hadmo avril'!B33</x:f>
        <x:v>191615.88</x:v>
      </x:c>
      <x:c r="C11" s="1" t="str">
        <x:v>Sommaire historique; options et doublons à réconcilier.</x:v>
      </x:c>
    </x:row>
    <x:row r="12" ht="22" customHeight="1">
      <x:c r="A12" s="1" t="str">
        <x:v>Hadmo : alloué, copie avril</x:v>
      </x:c>
      <x:c r="B12" s="23" t="n">
        <x:f>'Hadmo avril'!D33</x:f>
        <x:v>80918.31</x:v>
      </x:c>
      <x:c r="C12" s="1" t="str">
        <x:v>Avant franchise; ne prouve pas un encaissement.</x:v>
      </x:c>
    </x:row>
    <x:row r="13" ht="22" customHeight="1">
      <x:c r="A13" s="1" t="str">
        <x:v>Indemnités encaissées documentées</x:v>
      </x:c>
      <x:c r="B13" s="23" t="str">
        <x:f>'Indemnites'!F12</x:f>
        <x:v>n.d.</x:v>
      </x:c>
      <x:c r="C13" s="1" t="str">
        <x:v>Aucun montant rapproché à un crédit bancaire dans ce master.</x:v>
      </x:c>
    </x:row>
    <x:row r="14" ht="22" customHeight="1">
      <x:c r="A14" s="1" t="str">
        <x:v>Pertes nouvelles : total validé</x:v>
      </x:c>
      <x:c r="B14" s="23" t="str">
        <x:f>IF(COUNT('Pertes nouvelles'!H6:H32)=27,SUM('Pertes nouvelles'!H6:H32),"n.d.")</x:f>
        <x:v>n.d.</x:v>
      </x:c>
      <x:c r="C14" s="1" t="str">
        <x:v>Indisponible tant que les 27 rubriques ne sont pas traitées.</x:v>
      </x:c>
    </x:row>
    <x:row r="15" ht="22" customHeight="1">
      <x:c r="A15" s="1" t="str">
        <x:v>Perte d’exploitation calculée</x:v>
      </x:c>
      <x:c r="B15" s="23" t="str">
        <x:f>'Exploitation'!H6</x:f>
        <x:v>n.d.</x:v>
      </x:c>
      <x:c r="C15" s="1" t="str">
        <x:v>Période, marge, frais et recouvrements à documenter.</x:v>
      </x:c>
    </x:row>
  </x:sheetData>
  <x:pageMargins left="0.7" right="0.7" top="0.75" bottom="0.75" header="0.3" footer="0.3"/>
  <x:tableParts count="1">
    <x:tablePart xmlns:r="http://schemas.openxmlformats.org/officeDocument/2006/relationships" r:id="Rff8ce265808146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44" hidden="0" customWidth="1"/>
    <x:col min="3" max="3" width="24" hidden="0" customWidth="1"/>
    <x:col min="4" max="4" width="23" hidden="0" customWidth="1"/>
    <x:col min="5" max="5" width="23" hidden="0" customWidth="1"/>
    <x:col min="6" max="6" width="25" hidden="0" customWidth="1"/>
    <x:col min="7" max="7" width="23" hidden="0" customWidth="1"/>
    <x:col min="8" max="8" width="24" hidden="0" customWidth="1"/>
    <x:col min="9" max="9" width="30" hidden="0" customWidth="1"/>
    <x:col min="10" max="10" width="45" hidden="0" customWidth="1"/>
    <x:col min="11" max="11" width="75" hidden="0" customWidth="1"/>
    <x:col min="12" max="12" width="3" hidden="0" customWidth="1"/>
    <x:col min="13" max="13" width="5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2" customHeight="1">
      <x:c r="A2" s="2" t="str">
        <x:v>Dommages allégués liés au déménagement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 t="str">
        <x:v>Une base par bien : réparation OU remplacement. Zéro doit être documenté; vide signifie information manquante.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6" t="str">
        <x:v>Rubrique</x:v>
      </x:c>
      <x:c r="B5" s="6" t="str">
        <x:v>Bien / groupe</x:v>
      </x:c>
      <x:c r="C5" s="6" t="str">
        <x:v>Méthode retenue</x:v>
      </x:c>
      <x:c r="D5" s="6" t="str">
        <x:v>Coût justifié HT</x:v>
      </x:c>
      <x:c r="E5" s="6" t="str">
        <x:v>Taxes non récup.</x:v>
      </x:c>
      <x:c r="F5" s="6" t="str">
        <x:v>Recouvrement affecté</x:v>
      </x:c>
      <x:c r="G5" s="6" t="str">
        <x:v>Valeur résiduelle</x:v>
      </x:c>
      <x:c r="H5" s="6" t="str">
        <x:v>Perte nette</x:v>
      </x:c>
      <x:c r="I5" s="6" t="str">
        <x:v>État du dossier</x:v>
      </x:c>
      <x:c r="J5" s="6" t="str">
        <x:v>Pièce justificative</x:v>
      </x:c>
      <x:c r="K5" s="6" t="str">
        <x:v>Vérification requise</x:v>
      </x:c>
      <x:c r="L5" s="6" t="str"/>
      <x:c r="M5" s="6" t="str">
        <x:v>Source de départ</x:v>
      </x:c>
    </x:row>
    <x:row r="6" ht="22" customHeight="1">
      <x:c r="A6" s="1" t="str">
        <x:v>ANN-01</x:v>
      </x:c>
      <x:c r="B6" s="1" t="str">
        <x:v>Frigo commercial deux portes</x:v>
      </x:c>
      <x:c r="C6" s="18"/>
      <x:c r="D6" s="17"/>
      <x:c r="E6" s="17"/>
      <x:c r="F6" s="17"/>
      <x:c r="G6" s="17"/>
      <x:c r="H6" s="16" t="str">
        <x:f>IF(OR(C6="",COUNT(D6:G6)&lt;4,J6="",I6&lt;&gt;"Validé"),"n.d.",D6+E6-F6-G6)</x:f>
        <x:v>n.d.</x:v>
      </x:c>
      <x:c r="I6" s="1" t="str">
        <x:v>À documenter</x:v>
      </x:c>
      <x:c r="J6" s="1"/>
      <x:c r="K6" s="1" t="str">
        <x:v>Identifier celui auquel se rapportent portes et charnières signalées</x:v>
      </x:c>
      <x:c r="L6" s="1"/>
      <x:c r="M6" s="1" t="str">
        <x:v>REGISTRE-EQUIPEMENTS.csv, ANN-01</x:v>
      </x:c>
    </x:row>
    <x:row r="7" ht="22" customHeight="1">
      <x:c r="A7" s="1" t="str">
        <x:v>ANN-02</x:v>
      </x:c>
      <x:c r="B7" s="1" t="str">
        <x:v>Congélateur commercial trois portes</x:v>
      </x:c>
      <x:c r="C7" s="18"/>
      <x:c r="D7" s="17"/>
      <x:c r="E7" s="17"/>
      <x:c r="F7" s="17"/>
      <x:c r="G7" s="17"/>
      <x:c r="H7" s="16" t="str">
        <x:f>IF(OR(C7="",COUNT(D7:G7)&lt;4,J7="",I7&lt;&gt;"Validé"),"n.d.",D7+E7-F7-G7)</x:f>
        <x:v>n.d.</x:v>
      </x:c>
      <x:c r="I7" s="1" t="str">
        <x:v>À documenter</x:v>
      </x:c>
      <x:c r="J7" s="1"/>
      <x:c r="K7" s="1" t="str">
        <x:v>Impacts dans l’inox signalés dans le courriel du 24 décembre</x:v>
      </x:c>
      <x:c r="L7" s="1"/>
      <x:c r="M7" s="1" t="str">
        <x:v>REGISTRE-EQUIPEMENTS.csv, ANN-02</x:v>
      </x:c>
    </x:row>
    <x:row r="8" ht="22" customHeight="1">
      <x:c r="A8" s="1" t="str">
        <x:v>ANN-03</x:v>
      </x:c>
      <x:c r="B8" s="1" t="str">
        <x:v>Four à pizza double</x:v>
      </x:c>
      <x:c r="C8" s="18"/>
      <x:c r="D8" s="17"/>
      <x:c r="E8" s="17"/>
      <x:c r="F8" s="17"/>
      <x:c r="G8" s="17"/>
      <x:c r="H8" s="16" t="str">
        <x:f>IF(OR(C8="",COUNT(D8:G8)&lt;4,J8="",I8&lt;&gt;"Validé"),"n.d.",D8+E8-F8-G8)</x:f>
        <x:v>n.d.</x:v>
      </x:c>
      <x:c r="I8" s="1" t="str">
        <x:v>À documenter</x:v>
      </x:c>
      <x:c r="J8" s="1"/>
      <x:c r="K8" s="1" t="str">
        <x:v>Lier aux deux PS360WB, Joey 9/11, unités/étages et four resté sur place</x:v>
      </x:c>
      <x:c r="L8" s="1"/>
      <x:c r="M8" s="1" t="str">
        <x:v>REGISTRE-EQUIPEMENTS.csv, ANN-03</x:v>
      </x:c>
    </x:row>
    <x:row r="9" ht="22" customHeight="1">
      <x:c r="A9" s="1" t="str">
        <x:v>ANN-04</x:v>
      </x:c>
      <x:c r="B9" s="1" t="str">
        <x:v>Friteuse électrique double cuve</x:v>
      </x:c>
      <x:c r="C9" s="18"/>
      <x:c r="D9" s="17"/>
      <x:c r="E9" s="17"/>
      <x:c r="F9" s="17"/>
      <x:c r="G9" s="17"/>
      <x:c r="H9" s="16" t="str">
        <x:f>IF(OR(C9="",COUNT(D9:G9)&lt;4,J9="",I9&lt;&gt;"Validé"),"n.d.",D9+E9-F9-G9)</x:f>
        <x:v>n.d.</x:v>
      </x:c>
      <x:c r="I9" s="1" t="str">
        <x:v>À documenter</x:v>
      </x:c>
      <x:c r="J9" s="1"/>
      <x:c r="K9" s="1" t="str">
        <x:v>Constat individuel et alimentation à vérifier</x:v>
      </x:c>
      <x:c r="L9" s="1"/>
      <x:c r="M9" s="1" t="str">
        <x:v>REGISTRE-EQUIPEMENTS.csv, ANN-04</x:v>
      </x:c>
    </x:row>
    <x:row r="10" ht="22" customHeight="1">
      <x:c r="A10" s="1" t="str">
        <x:v>ANN-05</x:v>
      </x:c>
      <x:c r="B10" s="1" t="str">
        <x:v>Friteuse gaz</x:v>
      </x:c>
      <x:c r="C10" s="18"/>
      <x:c r="D10" s="17"/>
      <x:c r="E10" s="17"/>
      <x:c r="F10" s="17"/>
      <x:c r="G10" s="17"/>
      <x:c r="H10" s="16" t="str">
        <x:f>IF(OR(C10="",COUNT(D10:G10)&lt;4,J10="",I10&lt;&gt;"Validé"),"n.d.",D10+E10-F10-G10)</x:f>
        <x:v>n.d.</x:v>
      </x:c>
      <x:c r="I10" s="1" t="str">
        <x:v>À documenter</x:v>
      </x:c>
      <x:c r="J10" s="1"/>
      <x:c r="K10" s="1" t="str">
        <x:v>Constat individuel et sécurité gaz à vérifier</x:v>
      </x:c>
      <x:c r="L10" s="1"/>
      <x:c r="M10" s="1" t="str">
        <x:v>REGISTRE-EQUIPEMENTS.csv, ANN-05</x:v>
      </x:c>
    </x:row>
    <x:row r="11" ht="22" customHeight="1">
      <x:c r="A11" s="1" t="str">
        <x:v>ANN-06</x:v>
      </x:c>
      <x:c r="B11" s="1" t="str">
        <x:v>Deux shawarmas Shish Taro</x:v>
      </x:c>
      <x:c r="C11" s="18"/>
      <x:c r="D11" s="17"/>
      <x:c r="E11" s="17"/>
      <x:c r="F11" s="17"/>
      <x:c r="G11" s="17"/>
      <x:c r="H11" s="16" t="str">
        <x:f>IF(OR(C11="",COUNT(D11:G11)&lt;4,J11="",I11&lt;&gt;"Validé"),"n.d.",D11+E11-F11-G11)</x:f>
        <x:v>n.d.</x:v>
      </x:c>
      <x:c r="I11" s="1" t="str">
        <x:v>À documenter</x:v>
      </x:c>
      <x:c r="J11" s="1"/>
      <x:c r="K11" s="1" t="str">
        <x:v>Deux objets à identifier séparément</x:v>
      </x:c>
      <x:c r="L11" s="1"/>
      <x:c r="M11" s="1" t="str">
        <x:v>REGISTRE-EQUIPEMENTS.csv, ANN-06</x:v>
      </x:c>
    </x:row>
    <x:row r="12" ht="22" customHeight="1">
      <x:c r="A12" s="1" t="str">
        <x:v>ANN-07</x:v>
      </x:c>
      <x:c r="B12" s="1" t="str">
        <x:v>Table inox</x:v>
      </x:c>
      <x:c r="C12" s="18"/>
      <x:c r="D12" s="17"/>
      <x:c r="E12" s="17"/>
      <x:c r="F12" s="17"/>
      <x:c r="G12" s="17"/>
      <x:c r="H12" s="16" t="str">
        <x:f>IF(OR(C12="",COUNT(D12:G12)&lt;4,J12="",I12&lt;&gt;"Validé"),"n.d.",D12+E12-F12-G12)</x:f>
        <x:v>n.d.</x:v>
      </x:c>
      <x:c r="I12" s="1" t="str">
        <x:v>À documenter</x:v>
      </x:c>
      <x:c r="J12" s="1"/>
      <x:c r="K12" s="1" t="str">
        <x:v>Carcasse, pieds, soudures à documenter</x:v>
      </x:c>
      <x:c r="L12" s="1"/>
      <x:c r="M12" s="1" t="str">
        <x:v>REGISTRE-EQUIPEMENTS.csv, ANN-07</x:v>
      </x:c>
    </x:row>
    <x:row r="13" ht="22" customHeight="1">
      <x:c r="A13" s="1" t="str">
        <x:v>ANN-08</x:v>
      </x:c>
      <x:c r="B13" s="1" t="str">
        <x:v>Table pizza double et comptoir réfrigéré</x:v>
      </x:c>
      <x:c r="C13" s="18"/>
      <x:c r="D13" s="17"/>
      <x:c r="E13" s="17"/>
      <x:c r="F13" s="17"/>
      <x:c r="G13" s="17"/>
      <x:c r="H13" s="16" t="str">
        <x:f>IF(OR(C13="",COUNT(D13:G13)&lt;4,J13="",I13&lt;&gt;"Validé"),"n.d.",D13+E13-F13-G13)</x:f>
        <x:v>n.d.</x:v>
      </x:c>
      <x:c r="I13" s="1" t="str">
        <x:v>À documenter</x:v>
      </x:c>
      <x:c r="J13" s="1"/>
      <x:c r="K13" s="1" t="str">
        <x:v>Rapprochement avec comptoirs couchés et compresseurs signalés</x:v>
      </x:c>
      <x:c r="L13" s="1"/>
      <x:c r="M13" s="1" t="str">
        <x:v>REGISTRE-EQUIPEMENTS.csv, ANN-08</x:v>
      </x:c>
    </x:row>
    <x:row r="14" ht="22" customHeight="1">
      <x:c r="A14" s="1" t="str">
        <x:v>ANN-09</x:v>
      </x:c>
      <x:c r="B14" s="1" t="str">
        <x:v>Micro-ondes commercial</x:v>
      </x:c>
      <x:c r="C14" s="18"/>
      <x:c r="D14" s="17"/>
      <x:c r="E14" s="17"/>
      <x:c r="F14" s="17"/>
      <x:c r="G14" s="17"/>
      <x:c r="H14" s="16" t="str">
        <x:f>IF(OR(C14="",COUNT(D14:G14)&lt;4,J14="",I14&lt;&gt;"Validé"),"n.d.",D14+E14-F14-G14)</x:f>
        <x:v>n.d.</x:v>
      </x:c>
      <x:c r="I14" s="1" t="str">
        <x:v>À documenter</x:v>
      </x:c>
      <x:c r="J14" s="1"/>
      <x:c r="K14" s="1" t="str">
        <x:v>Signalé manquant dans le récit de décembre</x:v>
      </x:c>
      <x:c r="L14" s="1"/>
      <x:c r="M14" s="1" t="str">
        <x:v>REGISTRE-EQUIPEMENTS.csv, ANN-09</x:v>
      </x:c>
    </x:row>
    <x:row r="15" ht="22" customHeight="1">
      <x:c r="A15" s="1" t="str">
        <x:v>ANN-10</x:v>
      </x:c>
      <x:c r="B15" s="1" t="str">
        <x:v>Pétrin / mélangeur industriel</x:v>
      </x:c>
      <x:c r="C15" s="18"/>
      <x:c r="D15" s="17"/>
      <x:c r="E15" s="17"/>
      <x:c r="F15" s="17"/>
      <x:c r="G15" s="17"/>
      <x:c r="H15" s="16" t="str">
        <x:f>IF(OR(C15="",COUNT(D15:G15)&lt;4,J15="",I15&lt;&gt;"Validé"),"n.d.",D15+E15-F15-G15)</x:f>
        <x:v>n.d.</x:v>
      </x:c>
      <x:c r="I15" s="1" t="str">
        <x:v>À documenter</x:v>
      </x:c>
      <x:c r="J15" s="1"/>
      <x:c r="K15" s="1" t="str">
        <x:v>Identification, présence et contrôle technique</x:v>
      </x:c>
      <x:c r="L15" s="1"/>
      <x:c r="M15" s="1" t="str">
        <x:v>REGISTRE-EQUIPEMENTS.csv, ANN-10</x:v>
      </x:c>
    </x:row>
    <x:row r="16" ht="22" customHeight="1">
      <x:c r="A16" s="1" t="str">
        <x:v>ANN-11</x:v>
      </x:c>
      <x:c r="B16" s="1" t="str">
        <x:v>Évier double inox</x:v>
      </x:c>
      <x:c r="C16" s="18"/>
      <x:c r="D16" s="17"/>
      <x:c r="E16" s="17"/>
      <x:c r="F16" s="17"/>
      <x:c r="G16" s="17"/>
      <x:c r="H16" s="16" t="str">
        <x:f>IF(OR(C16="",COUNT(D16:G16)&lt;4,J16="",I16&lt;&gt;"Validé"),"n.d.",D16+E16-F16-G16)</x:f>
        <x:v>n.d.</x:v>
      </x:c>
      <x:c r="I16" s="1" t="str">
        <x:v>À documenter</x:v>
      </x:c>
      <x:c r="J16" s="1"/>
      <x:c r="K16" s="1" t="str">
        <x:v>Présence et état de structure</x:v>
      </x:c>
      <x:c r="L16" s="1"/>
      <x:c r="M16" s="1" t="str">
        <x:v>REGISTRE-EQUIPEMENTS.csv, ANN-11</x:v>
      </x:c>
    </x:row>
    <x:row r="17" ht="22" customHeight="1">
      <x:c r="A17" s="1" t="str">
        <x:v>ANN-12</x:v>
      </x:c>
      <x:c r="B17" s="1" t="str">
        <x:v>Table hamburger avec comptoir réfrigéré</x:v>
      </x:c>
      <x:c r="C17" s="18"/>
      <x:c r="D17" s="17"/>
      <x:c r="E17" s="17"/>
      <x:c r="F17" s="17"/>
      <x:c r="G17" s="17"/>
      <x:c r="H17" s="16" t="str">
        <x:f>IF(OR(C17="",COUNT(D17:G17)&lt;4,J17="",I17&lt;&gt;"Validé"),"n.d.",D17+E17-F17-G17)</x:f>
        <x:v>n.d.</x:v>
      </x:c>
      <x:c r="I17" s="1" t="str">
        <x:v>À documenter</x:v>
      </x:c>
      <x:c r="J17" s="1"/>
      <x:c r="K17" s="1" t="str">
        <x:v>Rapprochement avec comptoirs couchés, portes et compresseurs</x:v>
      </x:c>
      <x:c r="L17" s="1"/>
      <x:c r="M17" s="1" t="str">
        <x:v>REGISTRE-EQUIPEMENTS.csv, ANN-12</x:v>
      </x:c>
    </x:row>
    <x:row r="18" ht="22" customHeight="1">
      <x:c r="A18" s="1" t="str">
        <x:v>ANN-13</x:v>
      </x:c>
      <x:c r="B18" s="1" t="str">
        <x:v>Deux frigos à bière</x:v>
      </x:c>
      <x:c r="C18" s="18"/>
      <x:c r="D18" s="17"/>
      <x:c r="E18" s="17"/>
      <x:c r="F18" s="17"/>
      <x:c r="G18" s="17"/>
      <x:c r="H18" s="16" t="str">
        <x:f>IF(OR(C18="",COUNT(D18:G18)&lt;4,J18="",I18&lt;&gt;"Validé"),"n.d.",D18+E18-F18-G18)</x:f>
        <x:v>n.d.</x:v>
      </x:c>
      <x:c r="I18" s="1" t="str">
        <x:v>À documenter</x:v>
      </x:c>
      <x:c r="J18" s="1"/>
      <x:c r="K18" s="1" t="str">
        <x:v>Ne pas les confondre automatiquement avec les frigos Coca-Cola</x:v>
      </x:c>
      <x:c r="L18" s="1"/>
      <x:c r="M18" s="1" t="str">
        <x:v>REGISTRE-EQUIPEMENTS.csv, ANN-13</x:v>
      </x:c>
    </x:row>
    <x:row r="19" ht="22" customHeight="1">
      <x:c r="A19" s="1" t="str">
        <x:v>ANN-14</x:v>
      </x:c>
      <x:c r="B19" s="1" t="str">
        <x:v>Comptoir sous-marins réfrigéré</x:v>
      </x:c>
      <x:c r="C19" s="18"/>
      <x:c r="D19" s="17"/>
      <x:c r="E19" s="17"/>
      <x:c r="F19" s="17"/>
      <x:c r="G19" s="17"/>
      <x:c r="H19" s="16" t="str">
        <x:f>IF(OR(C19="",COUNT(D19:G19)&lt;4,J19="",I19&lt;&gt;"Validé"),"n.d.",D19+E19-F19-G19)</x:f>
        <x:v>n.d.</x:v>
      </x:c>
      <x:c r="I19" s="1" t="str">
        <x:v>À documenter</x:v>
      </x:c>
      <x:c r="J19" s="1"/>
      <x:c r="K19" s="1" t="str">
        <x:v>Rapprochement avec dommages aux comptoirs; unité à identifier</x:v>
      </x:c>
      <x:c r="L19" s="1"/>
      <x:c r="M19" s="1" t="str">
        <x:v>REGISTRE-EQUIPEMENTS.csv, ANN-14</x:v>
      </x:c>
    </x:row>
    <x:row r="20" ht="22" customHeight="1">
      <x:c r="A20" s="1" t="str">
        <x:v>ANN-15</x:v>
      </x:c>
      <x:c r="B20" s="1" t="str">
        <x:v>Convoyeurs, doigts et tapis PS360</x:v>
      </x:c>
      <x:c r="C20" s="18"/>
      <x:c r="D20" s="17"/>
      <x:c r="E20" s="17"/>
      <x:c r="F20" s="17"/>
      <x:c r="G20" s="17"/>
      <x:c r="H20" s="16" t="str">
        <x:f>IF(OR(C20="",COUNT(D20:G20)&lt;4,J20="",I20&lt;&gt;"Validé"),"n.d.",D20+E20-F20-G20)</x:f>
        <x:v>n.d.</x:v>
      </x:c>
      <x:c r="I20" s="1" t="str">
        <x:v>À documenter</x:v>
      </x:c>
      <x:c r="J20" s="1"/>
      <x:c r="K20" s="1" t="str">
        <x:v>Pièces essentielles à relier aux fours; absence alléguée à vérifier</x:v>
      </x:c>
      <x:c r="L20" s="1"/>
      <x:c r="M20" s="1" t="str">
        <x:v>REGISTRE-EQUIPEMENTS.csv, ANN-15</x:v>
      </x:c>
    </x:row>
    <x:row r="21" ht="22" customHeight="1">
      <x:c r="A21" s="1" t="str">
        <x:v>ANN-16</x:v>
      </x:c>
      <x:c r="B21" s="1" t="str">
        <x:v>Grande plaque commerciale</x:v>
      </x:c>
      <x:c r="C21" s="18"/>
      <x:c r="D21" s="17"/>
      <x:c r="E21" s="17"/>
      <x:c r="F21" s="17"/>
      <x:c r="G21" s="17"/>
      <x:c r="H21" s="16" t="str">
        <x:f>IF(OR(C21="",COUNT(D21:G21)&lt;4,J21="",I21&lt;&gt;"Validé"),"n.d.",D21+E21-F21-G21)</x:f>
        <x:v>n.d.</x:v>
      </x:c>
      <x:c r="I21" s="1" t="str">
        <x:v>À documenter</x:v>
      </x:c>
      <x:c r="J21" s="1"/>
      <x:c r="K21" s="1" t="str">
        <x:v>Présence, carcasse et alimentation</x:v>
      </x:c>
      <x:c r="L21" s="1"/>
      <x:c r="M21" s="1" t="str">
        <x:v>REGISTRE-EQUIPEMENTS.csv, ANN-16</x:v>
      </x:c>
    </x:row>
    <x:row r="22" ht="22" customHeight="1">
      <x:c r="A22" s="1" t="str">
        <x:v>ANN-17</x:v>
      </x:c>
      <x:c r="B22" s="1" t="str">
        <x:v>Petite plaque commerciale</x:v>
      </x:c>
      <x:c r="C22" s="18"/>
      <x:c r="D22" s="17"/>
      <x:c r="E22" s="17"/>
      <x:c r="F22" s="17"/>
      <x:c r="G22" s="17"/>
      <x:c r="H22" s="16" t="str">
        <x:f>IF(OR(C22="",COUNT(D22:G22)&lt;4,J22="",I22&lt;&gt;"Validé"),"n.d.",D22+E22-F22-G22)</x:f>
        <x:v>n.d.</x:v>
      </x:c>
      <x:c r="I22" s="1" t="str">
        <x:v>À documenter</x:v>
      </x:c>
      <x:c r="J22" s="1"/>
      <x:c r="K22" s="1" t="str">
        <x:v>Même contrôle séparé</x:v>
      </x:c>
      <x:c r="L22" s="1"/>
      <x:c r="M22" s="1" t="str">
        <x:v>REGISTRE-EQUIPEMENTS.csv, ANN-17</x:v>
      </x:c>
    </x:row>
    <x:row r="23" ht="22" customHeight="1">
      <x:c r="A23" s="1" t="str">
        <x:v>ANN-18</x:v>
      </x:c>
      <x:c r="B23" s="1" t="str">
        <x:v>Deux frigos verticaux Coca-Cola</x:v>
      </x:c>
      <x:c r="C23" s="18"/>
      <x:c r="D23" s="17"/>
      <x:c r="E23" s="17"/>
      <x:c r="F23" s="17"/>
      <x:c r="G23" s="17"/>
      <x:c r="H23" s="16" t="str">
        <x:f>IF(OR(C23="",COUNT(D23:G23)&lt;4,J23="",I23&lt;&gt;"Validé"),"n.d.",D23+E23-F23-G23)</x:f>
        <x:v>n.d.</x:v>
      </x:c>
      <x:c r="I23" s="1" t="str">
        <x:v>À documenter</x:v>
      </x:c>
      <x:c r="J23" s="1"/>
      <x:c r="K23" s="1" t="str">
        <x:v>Deux frigos à breuvages signalés non localisés en décembre; rattachement à confirmer</x:v>
      </x:c>
      <x:c r="L23" s="1"/>
      <x:c r="M23" s="1" t="str">
        <x:v>REGISTRE-EQUIPEMENTS.csv, ANN-18</x:v>
      </x:c>
    </x:row>
    <x:row r="24" ht="22" customHeight="1">
      <x:c r="A24" s="1" t="str">
        <x:v>ANN-19</x:v>
      </x:c>
      <x:c r="B24" s="1" t="str">
        <x:v>Table chaude et bacs GN</x:v>
      </x:c>
      <x:c r="C24" s="18"/>
      <x:c r="D24" s="17"/>
      <x:c r="E24" s="17"/>
      <x:c r="F24" s="17"/>
      <x:c r="G24" s="17"/>
      <x:c r="H24" s="16" t="str">
        <x:f>IF(OR(C24="",COUNT(D24:G24)&lt;4,J24="",I24&lt;&gt;"Validé"),"n.d.",D24+E24-F24-G24)</x:f>
        <x:v>n.d.</x:v>
      </x:c>
      <x:c r="I24" s="1" t="str">
        <x:v>À documenter</x:v>
      </x:c>
      <x:c r="J24" s="1"/>
      <x:c r="K24" s="1" t="str">
        <x:v>Structure et éléments électriques</x:v>
      </x:c>
      <x:c r="L24" s="1"/>
      <x:c r="M24" s="1" t="str">
        <x:v>REGISTRE-EQUIPEMENTS.csv, ANN-19</x:v>
      </x:c>
    </x:row>
    <x:row r="25" ht="22" customHeight="1">
      <x:c r="A25" s="1" t="str">
        <x:v>ANN-20</x:v>
      </x:c>
      <x:c r="B25" s="1" t="str">
        <x:v>Toasteur rotatif double</x:v>
      </x:c>
      <x:c r="C25" s="18"/>
      <x:c r="D25" s="17"/>
      <x:c r="E25" s="17"/>
      <x:c r="F25" s="17"/>
      <x:c r="G25" s="17"/>
      <x:c r="H25" s="16" t="str">
        <x:f>IF(OR(C25="",COUNT(D25:G25)&lt;4,J25="",I25&lt;&gt;"Validé"),"n.d.",D25+E25-F25-G25)</x:f>
        <x:v>n.d.</x:v>
      </x:c>
      <x:c r="I25" s="1" t="str">
        <x:v>À documenter</x:v>
      </x:c>
      <x:c r="J25" s="1"/>
      <x:c r="K25" s="1" t="str">
        <x:v>Toasteur signalé manquant dans le récit de décembre</x:v>
      </x:c>
      <x:c r="L25" s="1"/>
      <x:c r="M25" s="1" t="str">
        <x:v>REGISTRE-EQUIPEMENTS.csv, ANN-20</x:v>
      </x:c>
    </x:row>
    <x:row r="26" ht="22" customHeight="1">
      <x:c r="A26" s="1" t="str">
        <x:v>ANN-21</x:v>
      </x:c>
      <x:c r="B26" s="1" t="str">
        <x:v>Bac à frites inox</x:v>
      </x:c>
      <x:c r="C26" s="18"/>
      <x:c r="D26" s="17"/>
      <x:c r="E26" s="17"/>
      <x:c r="F26" s="17"/>
      <x:c r="G26" s="17"/>
      <x:c r="H26" s="16" t="str">
        <x:f>IF(OR(C26="",COUNT(D26:G26)&lt;4,J26="",I26&lt;&gt;"Validé"),"n.d.",D26+E26-F26-G26)</x:f>
        <x:v>n.d.</x:v>
      </x:c>
      <x:c r="I26" s="1" t="str">
        <x:v>À documenter</x:v>
      </x:c>
      <x:c r="J26" s="1"/>
      <x:c r="K26" s="1" t="str">
        <x:v>Présence et état</x:v>
      </x:c>
      <x:c r="L26" s="1"/>
      <x:c r="M26" s="1" t="str">
        <x:v>REGISTRE-EQUIPEMENTS.csv, ANN-21</x:v>
      </x:c>
    </x:row>
    <x:row r="27" ht="22" customHeight="1">
      <x:c r="A27" s="1" t="str">
        <x:v>ANN-22</x:v>
      </x:c>
      <x:c r="B27" s="1" t="str">
        <x:v>Café Bon’s</x:v>
      </x:c>
      <x:c r="C27" s="18"/>
      <x:c r="D27" s="17"/>
      <x:c r="E27" s="17"/>
      <x:c r="F27" s="17"/>
      <x:c r="G27" s="17"/>
      <x:c r="H27" s="16" t="str">
        <x:f>IF(OR(C27="",COUNT(D27:G27)&lt;4,J27="",I27&lt;&gt;"Validé"),"n.d.",D27+E27-F27-G27)</x:f>
        <x:v>n.d.</x:v>
      </x:c>
      <x:c r="I27" s="1" t="str">
        <x:v>À documenter</x:v>
      </x:c>
      <x:c r="J27" s="1"/>
      <x:c r="K27" s="1" t="str">
        <x:v>Ne pas confondre avec Curtis/Keurig du dossier Joey</x:v>
      </x:c>
      <x:c r="L27" s="1"/>
      <x:c r="M27" s="1" t="str">
        <x:v>REGISTRE-EQUIPEMENTS.csv, ANN-22</x:v>
      </x:c>
    </x:row>
    <x:row r="28" ht="22" customHeight="1">
      <x:c r="A28" s="1" t="str">
        <x:v>ANN-23</x:v>
      </x:c>
      <x:c r="B28" s="1" t="str">
        <x:v>Trois tables de travail</x:v>
      </x:c>
      <x:c r="C28" s="18"/>
      <x:c r="D28" s="17"/>
      <x:c r="E28" s="17"/>
      <x:c r="F28" s="17"/>
      <x:c r="G28" s="17"/>
      <x:c r="H28" s="16" t="str">
        <x:f>IF(OR(C28="",COUNT(D28:G28)&lt;4,J28="",I28&lt;&gt;"Validé"),"n.d.",D28+E28-F28-G28)</x:f>
        <x:v>n.d.</x:v>
      </x:c>
      <x:c r="I28" s="1" t="str">
        <x:v>À documenter</x:v>
      </x:c>
      <x:c r="J28" s="1"/>
      <x:c r="K28" s="1" t="str">
        <x:v>Trois objets à identifier séparément</x:v>
      </x:c>
      <x:c r="L28" s="1"/>
      <x:c r="M28" s="1" t="str">
        <x:v>REGISTRE-EQUIPEMENTS.csv, ANN-23</x:v>
      </x:c>
    </x:row>
    <x:row r="29" ht="22" customHeight="1">
      <x:c r="A29" s="1" t="str">
        <x:v>ANN-24</x:v>
      </x:c>
      <x:c r="B29" s="1" t="str">
        <x:v>Deux fours Tim Hortons</x:v>
      </x:c>
      <x:c r="C29" s="18"/>
      <x:c r="D29" s="17"/>
      <x:c r="E29" s="17"/>
      <x:c r="F29" s="17"/>
      <x:c r="G29" s="17"/>
      <x:c r="H29" s="16" t="str">
        <x:f>IF(OR(C29="",COUNT(D29:G29)&lt;4,J29="",I29&lt;&gt;"Validé"),"n.d.",D29+E29-F29-G29)</x:f>
        <x:v>n.d.</x:v>
      </x:c>
      <x:c r="I29" s="1" t="str">
        <x:v>À documenter</x:v>
      </x:c>
      <x:c r="J29" s="1"/>
      <x:c r="K29" s="1" t="str">
        <x:v>Rapprocher Joey item 4 et diagnostics avant/après</x:v>
      </x:c>
      <x:c r="L29" s="1"/>
      <x:c r="M29" s="1" t="str">
        <x:v>REGISTRE-EQUIPEMENTS.csv, ANN-24</x:v>
      </x:c>
    </x:row>
    <x:row r="30" ht="22" customHeight="1">
      <x:c r="A30" s="1" t="str">
        <x:v>ANN-25</x:v>
      </x:c>
      <x:c r="B30" s="1" t="str">
        <x:v>Trois étagères inox</x:v>
      </x:c>
      <x:c r="C30" s="18"/>
      <x:c r="D30" s="17"/>
      <x:c r="E30" s="17"/>
      <x:c r="F30" s="17"/>
      <x:c r="G30" s="17"/>
      <x:c r="H30" s="16" t="str">
        <x:f>IF(OR(C30="",COUNT(D30:G30)&lt;4,J30="",I30&lt;&gt;"Validé"),"n.d.",D30+E30-F30-G30)</x:f>
        <x:v>n.d.</x:v>
      </x:c>
      <x:c r="I30" s="1" t="str">
        <x:v>À documenter</x:v>
      </x:c>
      <x:c r="J30" s="1"/>
      <x:c r="K30" s="1" t="str">
        <x:v>Trois objets à identifier séparément</x:v>
      </x:c>
      <x:c r="L30" s="1"/>
      <x:c r="M30" s="1" t="str">
        <x:v>REGISTRE-EQUIPEMENTS.csv, ANN-25</x:v>
      </x:c>
    </x:row>
    <x:row r="31" ht="22" customHeight="1">
      <x:c r="A31" s="1" t="str">
        <x:v>ANN-26</x:v>
      </x:c>
      <x:c r="B31" s="1" t="str">
        <x:v>Rack à étagères</x:v>
      </x:c>
      <x:c r="C31" s="18"/>
      <x:c r="D31" s="17"/>
      <x:c r="E31" s="17"/>
      <x:c r="F31" s="17"/>
      <x:c r="G31" s="17"/>
      <x:c r="H31" s="16" t="str">
        <x:f>IF(OR(C31="",COUNT(D31:G31)&lt;4,J31="",I31&lt;&gt;"Validé"),"n.d.",D31+E31-F31-G31)</x:f>
        <x:v>n.d.</x:v>
      </x:c>
      <x:c r="I31" s="1" t="str">
        <x:v>À documenter</x:v>
      </x:c>
      <x:c r="J31" s="1"/>
      <x:c r="K31" s="1" t="str">
        <x:v>Présence et état</x:v>
      </x:c>
      <x:c r="L31" s="1"/>
      <x:c r="M31" s="1" t="str">
        <x:v>REGISTRE-EQUIPEMENTS.csv, ANN-26</x:v>
      </x:c>
    </x:row>
    <x:row r="32" ht="22" customHeight="1">
      <x:c r="A32" s="1" t="str">
        <x:v>ANN-27</x:v>
      </x:c>
      <x:c r="B32" s="1" t="str">
        <x:v>Ustensiles et accessoires pizzeria</x:v>
      </x:c>
      <x:c r="C32" s="18"/>
      <x:c r="D32" s="17"/>
      <x:c r="E32" s="17"/>
      <x:c r="F32" s="17"/>
      <x:c r="G32" s="17"/>
      <x:c r="H32" s="16" t="str">
        <x:f>IF(OR(C32="",COUNT(D32:G32)&lt;4,J32="",I32&lt;&gt;"Validé"),"n.d.",D32+E32-F32-G32)</x:f>
        <x:v>n.d.</x:v>
      </x:c>
      <x:c r="I32" s="1" t="str">
        <x:v>À documenter</x:v>
      </x:c>
      <x:c r="J32" s="1"/>
      <x:c r="K32" s="1" t="str">
        <x:v>Pelles, coupe-pizzas, paniers, tamis, spatules, pinces, couteaux, GN, grilles, filets, plaques, bacs et plateaux : décompte détaillé nécessaire</x:v>
      </x:c>
      <x:c r="L32" s="1"/>
      <x:c r="M32" s="1" t="str">
        <x:v>REGISTRE-EQUIPEMENTS.csv, ANN-27</x:v>
      </x:c>
    </x:row>
  </x:sheetData>
  <x:dataValidations count="2">
    <x:dataValidation type="list" sqref="C6:C32">
      <x:formula1>"Réparation,Remplacement,Autre justifié"</x:formula1>
    </x:dataValidation>
    <x:dataValidation type="list" sqref="I6:I32">
      <x:formula1>"À documenter,Validé,Exclu"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5361e7a3a45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7" hidden="0" customWidth="1"/>
    <x:col min="6" max="6" width="29" hidden="0" customWidth="1"/>
    <x:col min="7" max="7" width="55" hidden="0" customWidth="1"/>
    <x:col min="8" max="8" width="2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Perte d’exploitation : calcul à documenter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Renseigner une période justifiée et une marge après charges variables évitées. Les ventes seules ne mesurent pas la perte.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6" t="str">
        <x:v>Période</x:v>
      </x:c>
      <x:c r="B5" s="6" t="str">
        <x:v>Ventes de référence</x:v>
      </x:c>
      <x:c r="C5" s="6" t="str">
        <x:v>Ventes réalisées</x:v>
      </x:c>
      <x:c r="D5" s="6" t="str">
        <x:v>Marge contributive</x:v>
      </x:c>
      <x:c r="E5" s="6" t="str">
        <x:v>Frais supplémentaires</x:v>
      </x:c>
      <x:c r="F5" s="6" t="str">
        <x:v>Recouvrements affectés</x:v>
      </x:c>
      <x:c r="G5" s="6" t="str">
        <x:v>Pièces / méthode</x:v>
      </x:c>
      <x:c r="H5" s="6" t="str">
        <x:v>Perte calculée</x:v>
      </x:c>
    </x:row>
    <x:row r="6" ht="22" customHeight="1">
      <x:c r="A6" s="1" t="str">
        <x:v>Période à définir</x:v>
      </x:c>
      <x:c r="B6" s="17"/>
      <x:c r="C6" s="17"/>
      <x:c r="D6" s="22"/>
      <x:c r="E6" s="17"/>
      <x:c r="F6" s="17"/>
      <x:c r="G6" s="18"/>
      <x:c r="H6" s="16" t="str">
        <x:f>IF(OR(COUNT(B6:F6)&lt;5,G6="",A6="Période à définir"),"n.d.",(B6-C6)*D6+E6-F6)</x:f>
        <x:v>n.d.</x:v>
      </x:c>
    </x:row>
  </x:sheetData>
  <x:pageMargins left="0.7" right="0.7" top="0.75" bottom="0.75" header="0.3" footer="0.3"/>
  <x:tableParts count="1">
    <x:tablePart xmlns:r="http://schemas.openxmlformats.org/officeDocument/2006/relationships" r:id="R8a80641922a747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29" hidden="0" customWidth="1"/>
    <x:col min="4" max="4" width="34" hidden="0" customWidth="1"/>
    <x:col min="5" max="5" width="18" hidden="0" customWidth="1"/>
    <x:col min="6" max="6" width="17" hidden="0" customWidth="1"/>
    <x:col min="7" max="7" width="17" hidden="0" customWidth="1"/>
    <x:col min="8" max="8" width="19" hidden="0" customWidth="1"/>
    <x:col min="9" max="9" width="16" hidden="0" customWidth="1"/>
    <x:col min="10" max="10" width="27" hidden="0" customWidth="1"/>
    <x:col min="11" max="11" width="43" hidden="0" customWidth="1"/>
    <x:col min="12" max="12" width="3" hidden="0" customWidth="1"/>
    <x:col min="13" max="13" width="75" hidden="0" customWidth="1"/>
    <x:col min="14" max="14" width="8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Registre des factures et devis vérifiés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Montants des pièces, non cumulables en l’état. Taxes récupérables et affectations à chaque sinistre restent à établir.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6" t="str">
        <x:v>Pièce</x:v>
      </x:c>
      <x:c r="B5" s="6" t="str">
        <x:v>Date</x:v>
      </x:c>
      <x:c r="C5" s="6" t="str">
        <x:v>Nature</x:v>
      </x:c>
      <x:c r="D5" s="6" t="str">
        <x:v>Objet</x:v>
      </x:c>
      <x:c r="E5" s="6" t="str">
        <x:v>Hors taxes</x:v>
      </x:c>
      <x:c r="F5" s="6" t="str">
        <x:v>TPS</x:v>
      </x:c>
      <x:c r="G5" s="6" t="str">
        <x:v>TVQ</x:v>
      </x:c>
      <x:c r="H5" s="6" t="str">
        <x:v>Total pièce</x:v>
      </x:c>
      <x:c r="I5" s="6" t="str">
        <x:v>Écart taxes</x:v>
      </x:c>
      <x:c r="J5" s="6" t="str">
        <x:v>Groupe / doublon</x:v>
      </x:c>
      <x:c r="K5" s="6" t="str">
        <x:v>Statut</x:v>
      </x:c>
      <x:c r="L5" s="6" t="str"/>
      <x:c r="M5" s="6" t="str">
        <x:v>Source dans archive</x:v>
      </x:c>
      <x:c r="N5" s="6" t="str">
        <x:v>Point à rapprocher</x:v>
      </x:c>
    </x:row>
    <x:row r="6" ht="22" customHeight="1">
      <x:c r="A6" s="1" t="str">
        <x:v>CWIQUWOL-0001</x:v>
      </x:c>
      <x:c r="B6" s="7" t="d">
        <x:v>2025-06-12T12:00:00.000Z</x:v>
      </x:c>
      <x:c r="C6" s="1" t="str">
        <x:v>Facture déménagement</x:v>
      </x:c>
      <x:c r="D6" s="1" t="str">
        <x:v>CWIQUWOL-0001</x:v>
      </x:c>
      <x:c r="E6" s="9" t="n">
        <x:v>3915</x:v>
      </x:c>
      <x:c r="F6" s="9" t="n">
        <x:v>195.75</x:v>
      </x:c>
      <x:c r="G6" s="9" t="n">
        <x:v>390.52</x:v>
      </x:c>
      <x:c r="H6" s="9" t="n">
        <x:v>4501.27</x:v>
      </x:c>
      <x:c r="I6" s="16" t="n">
        <x:f>ROUND(H6-SUM(E6:G6),2)</x:f>
        <x:v>0</x:v>
      </x:c>
      <x:c r="J6" s="1" t="str">
        <x:v>HARMONY-12JUIN</x:v>
      </x:c>
      <x:c r="K6" s="1" t="str">
        <x:v>Annulée par version ultérieure</x:v>
      </x:c>
      <x:c r="L6" s="1"/>
      <x:c r="M6" s="1" t="str">
        <x:v>sources/Invoice-CWIQUWOL-0001 (4).pdf</x:v>
      </x:c>
      <x:c r="N6" s="1" t="str">
        <x:v>Même prestation; versions à ne pas additionner. Dernière version du lot, dette/solde à confirmer.</x:v>
      </x:c>
    </x:row>
    <x:row r="7" ht="22" customHeight="1">
      <x:c r="A7" s="1" t="str">
        <x:v>CWIQUWOL-0002</x:v>
      </x:c>
      <x:c r="B7" s="7" t="d">
        <x:v>2025-06-12T12:00:00.000Z</x:v>
      </x:c>
      <x:c r="C7" s="1" t="str">
        <x:v>Facture déménagement</x:v>
      </x:c>
      <x:c r="D7" s="1" t="str">
        <x:v>CWIQUWOL-0002</x:v>
      </x:c>
      <x:c r="E7" s="9" t="n">
        <x:v>4365</x:v>
      </x:c>
      <x:c r="F7" s="9" t="n">
        <x:v>218.25</x:v>
      </x:c>
      <x:c r="G7" s="9" t="n">
        <x:v>435.41</x:v>
      </x:c>
      <x:c r="H7" s="9" t="n">
        <x:v>5018.66</x:v>
      </x:c>
      <x:c r="I7" s="16" t="n">
        <x:f>ROUND(H7-SUM(E7:G7),2)</x:f>
        <x:v>0</x:v>
      </x:c>
      <x:c r="J7" s="1" t="str">
        <x:v>HARMONY-12JUIN</x:v>
      </x:c>
      <x:c r="K7" s="1" t="str">
        <x:v>Annulée par version ultérieure</x:v>
      </x:c>
      <x:c r="L7" s="1"/>
      <x:c r="M7" s="1" t="str">
        <x:v>sources/Invoice-CWIQUWOL-0002 (3).pdf</x:v>
      </x:c>
      <x:c r="N7" s="1" t="str">
        <x:v>Même prestation; versions à ne pas additionner. Dernière version du lot, dette/solde à confirmer.</x:v>
      </x:c>
    </x:row>
    <x:row r="8" ht="22" customHeight="1">
      <x:c r="A8" s="1" t="str">
        <x:v>CWIQUWOL-0003</x:v>
      </x:c>
      <x:c r="B8" s="7" t="d">
        <x:v>2025-07-22T12:00:00.000Z</x:v>
      </x:c>
      <x:c r="C8" s="1" t="str">
        <x:v>Facture déménagement</x:v>
      </x:c>
      <x:c r="D8" s="1" t="str">
        <x:v>CWIQUWOL-0003</x:v>
      </x:c>
      <x:c r="E8" s="9" t="n">
        <x:v>3200</x:v>
      </x:c>
      <x:c r="F8" s="9" t="n">
        <x:v>160</x:v>
      </x:c>
      <x:c r="G8" s="9" t="n">
        <x:v>319.2</x:v>
      </x:c>
      <x:c r="H8" s="9" t="n">
        <x:v>3679.2</x:v>
      </x:c>
      <x:c r="I8" s="16" t="n">
        <x:f>ROUND(H8-SUM(E8:G8),2)</x:f>
        <x:v>0</x:v>
      </x:c>
      <x:c r="J8" s="1" t="str">
        <x:v>HARMONY-12JUIN</x:v>
      </x:c>
      <x:c r="K8" s="1" t="str">
        <x:v>Annulée par version 0004</x:v>
      </x:c>
      <x:c r="L8" s="1"/>
      <x:c r="M8" s="1" t="str">
        <x:v>sources/Invoice-CWIQUWOL-0003 (4).pdf</x:v>
      </x:c>
      <x:c r="N8" s="1" t="str">
        <x:v>Même prestation; versions à ne pas additionner. Dernière version du lot, dette/solde à confirmer.</x:v>
      </x:c>
    </x:row>
    <x:row r="9" ht="22" customHeight="1">
      <x:c r="A9" s="1" t="str">
        <x:v>CWIQUWOL-0004</x:v>
      </x:c>
      <x:c r="B9" s="7" t="d">
        <x:v>2025-08-15T12:00:00.000Z</x:v>
      </x:c>
      <x:c r="C9" s="1" t="str">
        <x:v>Facture déménagement</x:v>
      </x:c>
      <x:c r="D9" s="1" t="str">
        <x:v>CWIQUWOL-0004</x:v>
      </x:c>
      <x:c r="E9" s="9" t="n">
        <x:v>4200</x:v>
      </x:c>
      <x:c r="F9" s="9" t="n">
        <x:v>210</x:v>
      </x:c>
      <x:c r="G9" s="9" t="n">
        <x:v>418.95</x:v>
      </x:c>
      <x:c r="H9" s="9" t="n">
        <x:v>4828.95</x:v>
      </x:c>
      <x:c r="I9" s="16" t="n">
        <x:f>ROUND(H9-SUM(E9:G9),2)</x:f>
        <x:v>0</x:v>
      </x:c>
      <x:c r="J9" s="1" t="str">
        <x:v>HARMONY-12JUIN</x:v>
      </x:c>
      <x:c r="K9" s="1" t="str">
        <x:v>Version remplacée à rapprocher</x:v>
      </x:c>
      <x:c r="L9" s="1"/>
      <x:c r="M9" s="1" t="str">
        <x:v>sources/Invoice-CWIQUWOL-0004.pdf</x:v>
      </x:c>
      <x:c r="N9" s="1" t="str">
        <x:v>Même prestation; versions à ne pas additionner. Dernière version du lot, dette/solde à confirmer.</x:v>
      </x:c>
    </x:row>
    <x:row r="10" ht="22" customHeight="1">
      <x:c r="A10" s="1" t="str">
        <x:v>CWIQUWOL-0005</x:v>
      </x:c>
      <x:c r="B10" s="7" t="d">
        <x:v>2025-09-19T12:00:00.000Z</x:v>
      </x:c>
      <x:c r="C10" s="1" t="str">
        <x:v>Facture déménagement</x:v>
      </x:c>
      <x:c r="D10" s="1" t="str">
        <x:v>CWIQUWOL-0005</x:v>
      </x:c>
      <x:c r="E10" s="9" t="n">
        <x:v>3915</x:v>
      </x:c>
      <x:c r="F10" s="9" t="n">
        <x:v>195.75</x:v>
      </x:c>
      <x:c r="G10" s="9" t="n">
        <x:v>390.52</x:v>
      </x:c>
      <x:c r="H10" s="9" t="n">
        <x:v>4501.27</x:v>
      </x:c>
      <x:c r="I10" s="16" t="n">
        <x:f>ROUND(H10-SUM(E10:G10),2)</x:f>
        <x:v>0</x:v>
      </x:c>
      <x:c r="J10" s="1" t="str">
        <x:v>HARMONY-12JUIN</x:v>
      </x:c>
      <x:c r="K10" s="1" t="str">
        <x:v>Facture réclamée, paiement non vérifié</x:v>
      </x:c>
      <x:c r="L10" s="1"/>
      <x:c r="M10" s="1" t="str">
        <x:v>sources/Invoice-CWIQUWOL-0005 (1).pdf</x:v>
      </x:c>
      <x:c r="N10" s="1" t="str">
        <x:v>Même prestation; versions à ne pas additionner. Dernière version du lot, dette/solde à confirmer.</x:v>
      </x:c>
    </x:row>
    <x:row r="11" ht="22" customHeight="1">
      <x:c r="A11" s="1" t="str">
        <x:v>A320</x:v>
      </x:c>
      <x:c r="B11" s="7" t="d">
        <x:v>2024-10-03T12:00:00.000Z</x:v>
      </x:c>
      <x:c r="C11" s="1" t="str">
        <x:v>Réparation historique</x:v>
      </x:c>
      <x:c r="D11" s="1" t="str">
        <x:v>Frigo sous-sol</x:v>
      </x:c>
      <x:c r="E11" s="9" t="n">
        <x:v>1705</x:v>
      </x:c>
      <x:c r="F11" s="9" t="n">
        <x:v>85.25</x:v>
      </x:c>
      <x:c r="G11" s="9" t="n">
        <x:v>170.07</x:v>
      </x:c>
      <x:c r="H11" s="9" t="n">
        <x:v>1960.32</x:v>
      </x:c>
      <x:c r="I11" s="16" t="n">
        <x:f>ROUND(H11-SUM(E11:G11),2)</x:f>
        <x:v>0</x:v>
      </x:c>
      <x:c r="J11" s="1" t="str">
        <x:v>A320</x:v>
      </x:c>
      <x:c r="K11" s="1" t="str">
        <x:v>Facture lue, règlement non établi</x:v>
      </x:c>
      <x:c r="L11" s="1"/>
      <x:c r="M11" s="1" t="str">
        <x:v>photos-reparations-janvier2025/1000069199.jpg</x:v>
      </x:c>
      <x:c r="N11" s="1" t="str">
        <x:v>Rapprocher Hadmo A320 daté juillet.</x:v>
      </x:c>
    </x:row>
    <x:row r="12" ht="22" customHeight="1">
      <x:c r="A12" s="1" t="str">
        <x:v>A315</x:v>
      </x:c>
      <x:c r="B12" s="7" t="d">
        <x:v>2024-09-22T12:00:00.000Z</x:v>
      </x:c>
      <x:c r="C12" s="1" t="str">
        <x:v>Réparation historique</x:v>
      </x:c>
      <x:c r="D12" s="1" t="str">
        <x:v>Four à pizza</x:v>
      </x:c>
      <x:c r="E12" s="9" t="n">
        <x:v>7900</x:v>
      </x:c>
      <x:c r="F12" s="9" t="n">
        <x:v>395</x:v>
      </x:c>
      <x:c r="G12" s="9" t="n">
        <x:v>788.03</x:v>
      </x:c>
      <x:c r="H12" s="9" t="n">
        <x:v>9083.03</x:v>
      </x:c>
      <x:c r="I12" s="16" t="n">
        <x:f>ROUND(H12-SUM(E12:G12),2)</x:f>
        <x:v>0</x:v>
      </x:c>
      <x:c r="J12" s="1" t="str">
        <x:v>A315</x:v>
      </x:c>
      <x:c r="K12" s="1" t="str">
        <x:v>Facture lue, règlement non établi</x:v>
      </x:c>
      <x:c r="L12" s="1"/>
      <x:c r="M12" s="1" t="str">
        <x:v>photos-reparations-janvier2025/1000069200.jpg</x:v>
      </x:c>
      <x:c r="N12" s="1" t="str">
        <x:v>Four/étage à identifier; version photographiée une seule fois.</x:v>
      </x:c>
    </x:row>
    <x:row r="13" ht="22" customHeight="1">
      <x:c r="A13" s="1" t="str">
        <x:v>A281</x:v>
      </x:c>
      <x:c r="B13" s="7" t="d">
        <x:v>2024-07-17T12:00:00.000Z</x:v>
      </x:c>
      <x:c r="C13" s="1" t="str">
        <x:v>Réparation historique</x:v>
      </x:c>
      <x:c r="D13" s="1" t="str">
        <x:v>Slush BUNN CDS2</x:v>
      </x:c>
      <x:c r="E13" s="9" t="n">
        <x:v>2340</x:v>
      </x:c>
      <x:c r="F13" s="9" t="n">
        <x:v>117</x:v>
      </x:c>
      <x:c r="G13" s="9" t="n">
        <x:v>233.42</x:v>
      </x:c>
      <x:c r="H13" s="9" t="n">
        <x:v>2690.42</x:v>
      </x:c>
      <x:c r="I13" s="16" t="n">
        <x:f>ROUND(H13-SUM(E13:G13),2)</x:f>
        <x:v>0</x:v>
      </x:c>
      <x:c r="J13" s="1" t="str">
        <x:v>BUNN-A281-A290</x:v>
      </x:c>
      <x:c r="K13" s="1" t="str">
        <x:v>Facture lue, règlement non établi</x:v>
      </x:c>
      <x:c r="L13" s="1"/>
      <x:c r="M13" s="1" t="str">
        <x:v>photos-reparations-janvier2025/1000069201.jpg</x:v>
      </x:c>
      <x:c r="N13" s="1" t="str">
        <x:v>A281/A290 : possible doublon à résoudre.</x:v>
      </x:c>
    </x:row>
    <x:row r="14" ht="22" customHeight="1">
      <x:c r="A14" s="1" t="str">
        <x:v>A294</x:v>
      </x:c>
      <x:c r="B14" s="7" t="d">
        <x:v>2024-07-29T12:00:00.000Z</x:v>
      </x:c>
      <x:c r="C14" s="1" t="str">
        <x:v>Réparation historique</x:v>
      </x:c>
      <x:c r="D14" s="1" t="str">
        <x:v>Cocktail TAYLOR</x:v>
      </x:c>
      <x:c r="E14" s="9" t="n">
        <x:v>3850</x:v>
      </x:c>
      <x:c r="F14" s="9" t="n">
        <x:v>192.5</x:v>
      </x:c>
      <x:c r="G14" s="9" t="n">
        <x:v>384.04</x:v>
      </x:c>
      <x:c r="H14" s="9" t="n">
        <x:v>4426.54</x:v>
      </x:c>
      <x:c r="I14" s="16" t="n">
        <x:f>ROUND(H14-SUM(E14:G14),2)</x:f>
        <x:v>0</x:v>
      </x:c>
      <x:c r="J14" s="1" t="str">
        <x:v>A294</x:v>
      </x:c>
      <x:c r="K14" s="1" t="str">
        <x:v>Facture lue, règlement non établi</x:v>
      </x:c>
      <x:c r="L14" s="1"/>
      <x:c r="M14" s="1" t="str">
        <x:v>photos-reparations-janvier2025/1000069202.jpg</x:v>
      </x:c>
      <x:c r="N14" s="1" t="str">
        <x:v>Date et montant lus sur facture.</x:v>
      </x:c>
    </x:row>
    <x:row r="15" ht="22" customHeight="1">
      <x:c r="A15" s="1" t="str">
        <x:v>A267</x:v>
      </x:c>
      <x:c r="B15" s="7" t="d">
        <x:v>2024-07-13T12:00:00.000Z</x:v>
      </x:c>
      <x:c r="C15" s="1" t="str">
        <x:v>Réparation historique</x:v>
      </x:c>
      <x:c r="D15" s="1" t="str">
        <x:v>Chambre froide</x:v>
      </x:c>
      <x:c r="E15" s="9" t="n">
        <x:v>2960</x:v>
      </x:c>
      <x:c r="F15" s="9" t="n">
        <x:v>148</x:v>
      </x:c>
      <x:c r="G15" s="9" t="n">
        <x:v>295.26</x:v>
      </x:c>
      <x:c r="H15" s="9" t="n">
        <x:v>3403.26</x:v>
      </x:c>
      <x:c r="I15" s="16" t="n">
        <x:f>ROUND(H15-SUM(E15:G15),2)</x:f>
        <x:v>0</x:v>
      </x:c>
      <x:c r="J15" s="1" t="str">
        <x:v>A267</x:v>
      </x:c>
      <x:c r="K15" s="1" t="str">
        <x:v>Facture lue, règlement non établi</x:v>
      </x:c>
      <x:c r="L15" s="1"/>
      <x:c r="M15" s="1" t="str">
        <x:v>photos-reparations-janvier2025/1000069203.jpg</x:v>
      </x:c>
      <x:c r="N15" s="1" t="str">
        <x:v>En-tête A290 en arrière-plan, facture principale A267.</x:v>
      </x:c>
    </x:row>
    <x:row r="16" ht="22" customHeight="1">
      <x:c r="A16" s="1" t="str">
        <x:v>A290</x:v>
      </x:c>
      <x:c r="B16" s="7" t="d">
        <x:v>2024-07-22T12:00:00.000Z</x:v>
      </x:c>
      <x:c r="C16" s="1" t="str">
        <x:v>Réparation historique</x:v>
      </x:c>
      <x:c r="D16" s="1" t="str">
        <x:v>Slush BUNN</x:v>
      </x:c>
      <x:c r="E16" s="9" t="n">
        <x:v>2340</x:v>
      </x:c>
      <x:c r="F16" s="9" t="n">
        <x:v>117</x:v>
      </x:c>
      <x:c r="G16" s="9" t="n">
        <x:v>233.42</x:v>
      </x:c>
      <x:c r="H16" s="9" t="n">
        <x:v>2690.42</x:v>
      </x:c>
      <x:c r="I16" s="16" t="n">
        <x:f>ROUND(H16-SUM(E16:G16),2)</x:f>
        <x:v>0</x:v>
      </x:c>
      <x:c r="J16" s="1" t="str">
        <x:v>BUNN-A281-A290</x:v>
      </x:c>
      <x:c r="K16" s="1" t="str">
        <x:v>Facture lue, règlement non établi</x:v>
      </x:c>
      <x:c r="L16" s="1"/>
      <x:c r="M16" s="1" t="str">
        <x:v>photos-reparations-janvier2025/1000069204.jpg</x:v>
      </x:c>
      <x:c r="N16" s="1" t="str">
        <x:v>A281/A290 : possible doublon à résoudre.</x:v>
      </x:c>
    </x:row>
    <x:row r="17" ht="22" customHeight="1">
      <x:c r="A17" s="1" t="str">
        <x:v>A245</x:v>
      </x:c>
      <x:c r="B17" s="7" t="d">
        <x:v>2024-06-25T12:00:00.000Z</x:v>
      </x:c>
      <x:c r="C17" s="1" t="str">
        <x:v>Réparation historique</x:v>
      </x:c>
      <x:c r="D17" s="1" t="str">
        <x:v>Installation climatisation</x:v>
      </x:c>
      <x:c r="E17" s="9" t="n">
        <x:v>1145</x:v>
      </x:c>
      <x:c r="F17" s="9" t="n">
        <x:v>57.25</x:v>
      </x:c>
      <x:c r="G17" s="9" t="n">
        <x:v>114.21</x:v>
      </x:c>
      <x:c r="H17" s="9" t="n">
        <x:v>1316.46</x:v>
      </x:c>
      <x:c r="I17" s="16" t="n">
        <x:f>ROUND(H17-SUM(E17:G17),2)</x:f>
        <x:v>0</x:v>
      </x:c>
      <x:c r="J17" s="1" t="str">
        <x:v>A245</x:v>
      </x:c>
      <x:c r="K17" s="1" t="str">
        <x:v>Facture lue, règlement non établi</x:v>
      </x:c>
      <x:c r="L17" s="1"/>
      <x:c r="M17" s="1" t="str">
        <x:v>photos-reparations-janvier2025/1000069205.jpg</x:v>
      </x:c>
      <x:c r="N17" s="1" t="str">
        <x:v>Avant sinistre juillet; ne pas attribuer au déménagement.</x:v>
      </x:c>
    </x:row>
    <x:row r="18" ht="22" customHeight="1">
      <x:c r="A18" s="1" t="str">
        <x:v>A280</x:v>
      </x:c>
      <x:c r="B18" s="7" t="d">
        <x:v>2024-07-15T12:00:00.000Z</x:v>
      </x:c>
      <x:c r="C18" s="1" t="str">
        <x:v>Réparation historique</x:v>
      </x:c>
      <x:c r="D18" s="1" t="str">
        <x:v>Crème glacée</x:v>
      </x:c>
      <x:c r="E18" s="9" t="n">
        <x:v>5990</x:v>
      </x:c>
      <x:c r="F18" s="9" t="n">
        <x:v>299.5</x:v>
      </x:c>
      <x:c r="G18" s="9" t="n">
        <x:v>597.5</x:v>
      </x:c>
      <x:c r="H18" s="9" t="n">
        <x:v>6887</x:v>
      </x:c>
      <x:c r="I18" s="16" t="n">
        <x:f>ROUND(H18-SUM(E18:G18),2)</x:f>
        <x:v>0</x:v>
      </x:c>
      <x:c r="J18" s="1" t="str">
        <x:v>A280</x:v>
      </x:c>
      <x:c r="K18" s="1" t="str">
        <x:v>Facture lue, règlement non établi</x:v>
      </x:c>
      <x:c r="L18" s="1"/>
      <x:c r="M18" s="1" t="str">
        <x:v>photos-reparations-janvier2025/1000069206.jpg</x:v>
      </x:c>
      <x:c r="N18" s="1" t="str">
        <x:v>Hadmo avril mentionne un dédoublement.</x:v>
      </x:c>
    </x:row>
    <x:row r="19" ht="22" customHeight="1">
      <x:c r="A19" s="1" t="str">
        <x:v>A266</x:v>
      </x:c>
      <x:c r="B19" s="7" t="d">
        <x:v>2024-07-10T12:00:00.000Z</x:v>
      </x:c>
      <x:c r="C19" s="1" t="str">
        <x:v>Réparation historique</x:v>
      </x:c>
      <x:c r="D19" s="1" t="str">
        <x:v>Chambre congélateur</x:v>
      </x:c>
      <x:c r="E19" s="9" t="n">
        <x:v>8320</x:v>
      </x:c>
      <x:c r="F19" s="9" t="n">
        <x:v>416</x:v>
      </x:c>
      <x:c r="G19" s="9" t="n">
        <x:v>829.92</x:v>
      </x:c>
      <x:c r="H19" s="9" t="n">
        <x:v>9565.92</x:v>
      </x:c>
      <x:c r="I19" s="16" t="n">
        <x:f>ROUND(H19-SUM(E19:G19),2)</x:f>
        <x:v>0</x:v>
      </x:c>
      <x:c r="J19" s="1" t="str">
        <x:v>A266</x:v>
      </x:c>
      <x:c r="K19" s="1" t="str">
        <x:v>Facture lue, règlement non établi</x:v>
      </x:c>
      <x:c r="L19" s="1"/>
      <x:c r="M19" s="1" t="str">
        <x:v>photos-reparations-janvier2025/1000069207.jpg</x:v>
      </x:c>
      <x:c r="N19" s="1" t="str">
        <x:v>À rapprocher devis 261 et grand livre.</x:v>
      </x:c>
    </x:row>
    <x:row r="20" ht="22" customHeight="1">
      <x:c r="A20" s="1" t="str">
        <x:v>N82145</x:v>
      </x:c>
      <x:c r="B20" s="7" t="d">
        <x:v>2024-11-26T12:00:00.000Z</x:v>
      </x:c>
      <x:c r="C20" s="1" t="str">
        <x:v>Estimation marquée payée</x:v>
      </x:c>
      <x:c r="D20" s="1" t="str">
        <x:v>Four PS360WB</x:v>
      </x:c>
      <x:c r="E20" s="9" t="n">
        <x:v>6700.68</x:v>
      </x:c>
      <x:c r="F20" s="9" t="n">
        <x:v>335.03</x:v>
      </x:c>
      <x:c r="G20" s="9" t="n">
        <x:v>668.39</x:v>
      </x:c>
      <x:c r="H20" s="9" t="n">
        <x:v>7704.1</x:v>
      </x:c>
      <x:c r="I20" s="16" t="n">
        <x:f>ROUND(H20-SUM(E20:G20),2)</x:f>
        <x:v>0</x:v>
      </x:c>
      <x:c r="J20" s="1" t="str">
        <x:v>CKS-FOUR</x:v>
      </x:c>
      <x:c r="K20" s="1" t="str">
        <x:v>Tampon payé; banque non rapprochée</x:v>
      </x:c>
      <x:c r="L20" s="1"/>
      <x:c r="M20" s="1" t="str">
        <x:v>photos-reparations-janvier2025/1000069214.jpg</x:v>
      </x:c>
      <x:c r="N20" s="1" t="str">
        <x:v>Dépôt 700 et payé 7 004,10 = 7 704,10. Recommandation de remplacement, livraison non établie.</x:v>
      </x:c>
    </x:row>
    <x:row r="21" ht="22" customHeight="1">
      <x:c r="A21" s="1" t="str">
        <x:v>L-1027-A</x:v>
      </x:c>
      <x:c r="B21" s="7" t="d">
        <x:v>2025-08-04T12:00:00.000Z</x:v>
      </x:c>
      <x:c r="C21" s="1" t="str">
        <x:v>Facture entreposage</x:v>
      </x:c>
      <x:c r="D21" s="1" t="str">
        <x:v>Location conteneur</x:v>
      </x:c>
      <x:c r="E21" s="9" t="n">
        <x:v>200</x:v>
      </x:c>
      <x:c r="F21" s="9" t="n">
        <x:v>10</x:v>
      </x:c>
      <x:c r="G21" s="9" t="n">
        <x:v>19.95</x:v>
      </x:c>
      <x:c r="H21" s="9" t="n">
        <x:v>229.95</x:v>
      </x:c>
      <x:c r="I21" s="16" t="n">
        <x:f>ROUND(H21-SUM(E21:G21),2)</x:f>
        <x:v>0</x:v>
      </x:c>
      <x:c r="J21" s="1" t="str">
        <x:v>CONTENEUR-L1027</x:v>
      </x:c>
      <x:c r="K21" s="1" t="str">
        <x:v>Montant payé sur facture, solde 0</x:v>
      </x:c>
      <x:c r="L21" s="1"/>
      <x:c r="M21" s="1" t="str">
        <x:v>pieces-facturation-oct2025/facture CQC_L-1027-A.pdf</x:v>
      </x:c>
      <x:c r="N21" s="1" t="str">
        <x:v>Date 04/08/2025 transcrite au format jour/mois. Paiement banque non rapproché.</x:v>
      </x:c>
    </x:row>
    <x:row r="22" ht="22" customHeight="1">
      <x:c r="A22" s="1" t="str">
        <x:v>DEV-259</x:v>
      </x:c>
      <x:c r="B22" s="7" t="d">
        <x:v>2024-07-07T12:00:00.000Z</x:v>
      </x:c>
      <x:c r="C22" s="1" t="str">
        <x:v>Devis historique</x:v>
      </x:c>
      <x:c r="D22" s="1" t="str">
        <x:v>Frigo IFI</x:v>
      </x:c>
      <x:c r="E22" s="9" t="n">
        <x:v>2615</x:v>
      </x:c>
      <x:c r="F22" s="9" t="n">
        <x:v>130.75</x:v>
      </x:c>
      <x:c r="G22" s="9" t="n">
        <x:v>260.85</x:v>
      </x:c>
      <x:c r="H22" s="9" t="n">
        <x:v>3006.6</x:v>
      </x:c>
      <x:c r="I22" s="16" t="n">
        <x:f>ROUND(H22-SUM(E22:G22),2)</x:f>
        <x:v>0</x:v>
      </x:c>
      <x:c r="J22" s="1" t="str">
        <x:v>DEV-259</x:v>
      </x:c>
      <x:c r="K22" s="1" t="str">
        <x:v>Proposition; exécution non établie</x:v>
      </x:c>
      <x:c r="L22" s="1"/>
      <x:c r="M22" s="1" t="str">
        <x:v>photos-assurance-2024/Devis N� _ 259.pdf</x:v>
      </x:c>
      <x:c r="N22" s="1" t="str">
        <x:v>Ne pas additionner au remplacement/réparation du même bien.</x:v>
      </x:c>
    </x:row>
    <x:row r="23" ht="22" customHeight="1">
      <x:c r="A23" s="1" t="str">
        <x:v>DEV-260</x:v>
      </x:c>
      <x:c r="B23" s="7" t="d">
        <x:v>2024-07-07T12:00:00.000Z</x:v>
      </x:c>
      <x:c r="C23" s="1" t="str">
        <x:v>Devis historique</x:v>
      </x:c>
      <x:c r="D23" s="1" t="str">
        <x:v>Machine à café Curtis</x:v>
      </x:c>
      <x:c r="E23" s="9" t="n">
        <x:v>1485</x:v>
      </x:c>
      <x:c r="F23" s="9" t="n">
        <x:v>74.25</x:v>
      </x:c>
      <x:c r="G23" s="9" t="n">
        <x:v>148.13</x:v>
      </x:c>
      <x:c r="H23" s="9" t="n">
        <x:v>1707.38</x:v>
      </x:c>
      <x:c r="I23" s="16" t="n">
        <x:f>ROUND(H23-SUM(E23:G23),2)</x:f>
        <x:v>0</x:v>
      </x:c>
      <x:c r="J23" s="1" t="str">
        <x:v>DEV-260</x:v>
      </x:c>
      <x:c r="K23" s="1" t="str">
        <x:v>Proposition; exécution non établie</x:v>
      </x:c>
      <x:c r="L23" s="1"/>
      <x:c r="M23" s="1" t="str">
        <x:v>photos-assurance-2024/Devis N� _ 260.pdf</x:v>
      </x:c>
      <x:c r="N23" s="1" t="str">
        <x:v>Ne pas additionner au remplacement/réparation du même bien.</x:v>
      </x:c>
    </x:row>
    <x:row r="24" ht="22" customHeight="1">
      <x:c r="A24" s="1" t="str">
        <x:v>DEV-261</x:v>
      </x:c>
      <x:c r="B24" s="7" t="d">
        <x:v>2024-07-07T12:00:00.000Z</x:v>
      </x:c>
      <x:c r="C24" s="1" t="str">
        <x:v>Devis historique</x:v>
      </x:c>
      <x:c r="D24" s="1" t="str">
        <x:v>Chambre de congélation</x:v>
      </x:c>
      <x:c r="E24" s="9" t="n">
        <x:v>8205</x:v>
      </x:c>
      <x:c r="F24" s="9" t="n">
        <x:v>410.25</x:v>
      </x:c>
      <x:c r="G24" s="9" t="n">
        <x:v>818.45</x:v>
      </x:c>
      <x:c r="H24" s="9" t="n">
        <x:v>9433.7</x:v>
      </x:c>
      <x:c r="I24" s="16" t="n">
        <x:f>ROUND(H24-SUM(E24:G24),2)</x:f>
        <x:v>0</x:v>
      </x:c>
      <x:c r="J24" s="1" t="str">
        <x:v>DEV-261</x:v>
      </x:c>
      <x:c r="K24" s="1" t="str">
        <x:v>Proposition; exécution non établie</x:v>
      </x:c>
      <x:c r="L24" s="1"/>
      <x:c r="M24" s="1" t="str">
        <x:v>photos-assurance-2024/Devis N� _ 261.pdf</x:v>
      </x:c>
      <x:c r="N24" s="1" t="str">
        <x:v>Ne pas additionner au remplacement/réparation du même bien.</x:v>
      </x:c>
    </x:row>
    <x:row r="25" ht="22" customHeight="1">
      <x:c r="A25" s="1" t="str">
        <x:v>DEV-262</x:v>
      </x:c>
      <x:c r="B25" s="7" t="d">
        <x:v>2024-07-07T12:00:00.000Z</x:v>
      </x:c>
      <x:c r="C25" s="1" t="str">
        <x:v>Devis historique</x:v>
      </x:c>
      <x:c r="D25" s="1" t="str">
        <x:v>Frigo sous-sol</x:v>
      </x:c>
      <x:c r="E25" s="9" t="n">
        <x:v>1650</x:v>
      </x:c>
      <x:c r="F25" s="9" t="n">
        <x:v>82.5</x:v>
      </x:c>
      <x:c r="G25" s="9" t="n">
        <x:v>164.59</x:v>
      </x:c>
      <x:c r="H25" s="9" t="n">
        <x:v>1897.09</x:v>
      </x:c>
      <x:c r="I25" s="16" t="n">
        <x:f>ROUND(H25-SUM(E25:G25),2)</x:f>
        <x:v>0</x:v>
      </x:c>
      <x:c r="J25" s="1" t="str">
        <x:v>DEV-262</x:v>
      </x:c>
      <x:c r="K25" s="1" t="str">
        <x:v>Proposition; exécution non établie</x:v>
      </x:c>
      <x:c r="L25" s="1"/>
      <x:c r="M25" s="1" t="str">
        <x:v>photos-assurance-2024/Devis N� _ 262.pdf</x:v>
      </x:c>
      <x:c r="N25" s="1" t="str">
        <x:v>Ne pas additionner au remplacement/réparation du même bien.</x:v>
      </x:c>
    </x:row>
    <x:row r="26" ht="22" customHeight="1">
      <x:c r="A26" s="1" t="str">
        <x:v>DEV-263</x:v>
      </x:c>
      <x:c r="B26" s="7" t="d">
        <x:v>2024-07-07T12:00:00.000Z</x:v>
      </x:c>
      <x:c r="C26" s="1" t="str">
        <x:v>Devis historique</x:v>
      </x:c>
      <x:c r="D26" s="1" t="str">
        <x:v>Four Tim Horton</x:v>
      </x:c>
      <x:c r="E26" s="9" t="n">
        <x:v>4635</x:v>
      </x:c>
      <x:c r="F26" s="9" t="n">
        <x:v>231.75</x:v>
      </x:c>
      <x:c r="G26" s="9" t="n">
        <x:v>462.34</x:v>
      </x:c>
      <x:c r="H26" s="9" t="n">
        <x:v>5329.09</x:v>
      </x:c>
      <x:c r="I26" s="16" t="n">
        <x:f>ROUND(H26-SUM(E26:G26),2)</x:f>
        <x:v>0</x:v>
      </x:c>
      <x:c r="J26" s="1" t="str">
        <x:v>DEV-263</x:v>
      </x:c>
      <x:c r="K26" s="1" t="str">
        <x:v>Proposition; exécution non établie</x:v>
      </x:c>
      <x:c r="L26" s="1"/>
      <x:c r="M26" s="1" t="str">
        <x:v>photos-assurance-2024/Devis N� _ 263.pdf</x:v>
      </x:c>
      <x:c r="N26" s="1" t="str">
        <x:v>Ne pas additionner au remplacement/réparation du même bien.</x:v>
      </x:c>
    </x:row>
    <x:row r="27" ht="22" customHeight="1">
      <x:c r="A27" s="1" t="str">
        <x:v>DEV-264</x:v>
      </x:c>
      <x:c r="B27" s="7" t="d">
        <x:v>2024-07-07T12:00:00.000Z</x:v>
      </x:c>
      <x:c r="C27" s="1" t="str">
        <x:v>Devis historique</x:v>
      </x:c>
      <x:c r="D27" s="1" t="str">
        <x:v>Electro-freeze</x:v>
      </x:c>
      <x:c r="E27" s="9" t="n">
        <x:v>5990</x:v>
      </x:c>
      <x:c r="F27" s="9" t="n">
        <x:v>299.5</x:v>
      </x:c>
      <x:c r="G27" s="9" t="n">
        <x:v>597.5</x:v>
      </x:c>
      <x:c r="H27" s="9" t="n">
        <x:v>6887</x:v>
      </x:c>
      <x:c r="I27" s="16" t="n">
        <x:f>ROUND(H27-SUM(E27:G27),2)</x:f>
        <x:v>0</x:v>
      </x:c>
      <x:c r="J27" s="1" t="str">
        <x:v>DEV-264</x:v>
      </x:c>
      <x:c r="K27" s="1" t="str">
        <x:v>Proposition; exécution non établie</x:v>
      </x:c>
      <x:c r="L27" s="1"/>
      <x:c r="M27" s="1" t="str">
        <x:v>photos-assurance-2024/Devis N� _ 264.pdf</x:v>
      </x:c>
      <x:c r="N27" s="1" t="str">
        <x:v>Ne pas additionner au remplacement/réparation du même bien.</x:v>
      </x:c>
    </x:row>
    <x:row r="28" ht="22" customHeight="1">
      <x:c r="A28" s="1" t="str">
        <x:v>DEV-266</x:v>
      </x:c>
      <x:c r="B28" s="7" t="d">
        <x:v>2024-07-12T12:00:00.000Z</x:v>
      </x:c>
      <x:c r="C28" s="1" t="str">
        <x:v>Devis historique</x:v>
      </x:c>
      <x:c r="D28" s="1" t="str">
        <x:v>Cocktail Taylor</x:v>
      </x:c>
      <x:c r="E28" s="9" t="n">
        <x:v>3390</x:v>
      </x:c>
      <x:c r="F28" s="9" t="n">
        <x:v>169.5</x:v>
      </x:c>
      <x:c r="G28" s="9" t="n">
        <x:v>338.15</x:v>
      </x:c>
      <x:c r="H28" s="9" t="n">
        <x:v>3897.65</x:v>
      </x:c>
      <x:c r="I28" s="16" t="n">
        <x:f>ROUND(H28-SUM(E28:G28),2)</x:f>
        <x:v>0</x:v>
      </x:c>
      <x:c r="J28" s="1" t="str">
        <x:v>DEV-266</x:v>
      </x:c>
      <x:c r="K28" s="1" t="str">
        <x:v>Proposition; exécution non établie</x:v>
      </x:c>
      <x:c r="L28" s="1"/>
      <x:c r="M28" s="1" t="str">
        <x:v>photos-assurance-2024/Devis N� _ 266.pdf</x:v>
      </x:c>
      <x:c r="N28" s="1" t="str">
        <x:v>Ne pas additionner au remplacement/réparation du même bien.</x:v>
      </x:c>
    </x:row>
    <x:row r="29" ht="22" customHeight="1">
      <x:c r="A29" s="1" t="str">
        <x:v>DEV-267</x:v>
      </x:c>
      <x:c r="B29" s="7" t="d">
        <x:v>2024-07-12T12:00:00.000Z</x:v>
      </x:c>
      <x:c r="C29" s="1" t="str">
        <x:v>Devis historique</x:v>
      </x:c>
      <x:c r="D29" s="1" t="str">
        <x:v>Slush BUNN</x:v>
      </x:c>
      <x:c r="E29" s="9" t="n">
        <x:v>2340</x:v>
      </x:c>
      <x:c r="F29" s="9" t="n">
        <x:v>117</x:v>
      </x:c>
      <x:c r="G29" s="9" t="n">
        <x:v>233.42</x:v>
      </x:c>
      <x:c r="H29" s="9" t="n">
        <x:v>2690.42</x:v>
      </x:c>
      <x:c r="I29" s="16" t="n">
        <x:f>ROUND(H29-SUM(E29:G29),2)</x:f>
        <x:v>0</x:v>
      </x:c>
      <x:c r="J29" s="1" t="str">
        <x:v>DEV-267</x:v>
      </x:c>
      <x:c r="K29" s="1" t="str">
        <x:v>Proposition; exécution non établie</x:v>
      </x:c>
      <x:c r="L29" s="1"/>
      <x:c r="M29" s="1" t="str">
        <x:v>photos-assurance-2024/Devis N� _ 267.pdf</x:v>
      </x:c>
      <x:c r="N29" s="1" t="str">
        <x:v>Ne pas additionner au remplacement/réparation du même bien.</x:v>
      </x:c>
    </x:row>
    <x:row r="30" ht="22" customHeight="1">
      <x:c r="A30" s="1" t="str">
        <x:v>DEV-268</x:v>
      </x:c>
      <x:c r="B30" s="7" t="d">
        <x:v>2024-07-12T12:00:00.000Z</x:v>
      </x:c>
      <x:c r="C30" s="1" t="str">
        <x:v>Devis historique</x:v>
      </x:c>
      <x:c r="D30" s="1" t="str">
        <x:v>Chambre froide</x:v>
      </x:c>
      <x:c r="E30" s="9" t="n">
        <x:v>1700</x:v>
      </x:c>
      <x:c r="F30" s="9" t="n">
        <x:v>85</x:v>
      </x:c>
      <x:c r="G30" s="9" t="n">
        <x:v>169.58</x:v>
      </x:c>
      <x:c r="H30" s="9" t="n">
        <x:v>1954.58</x:v>
      </x:c>
      <x:c r="I30" s="16" t="n">
        <x:f>ROUND(H30-SUM(E30:G30),2)</x:f>
        <x:v>0</x:v>
      </x:c>
      <x:c r="J30" s="1" t="str">
        <x:v>DEV-268</x:v>
      </x:c>
      <x:c r="K30" s="1" t="str">
        <x:v>Proposition; exécution non établie</x:v>
      </x:c>
      <x:c r="L30" s="1"/>
      <x:c r="M30" s="1" t="str">
        <x:v>photos-assurance-2024/Devis N� _ 268.pdf</x:v>
      </x:c>
      <x:c r="N30" s="1" t="str">
        <x:v>Ne pas additionner au remplacement/réparation du même bien.</x:v>
      </x:c>
    </x:row>
  </x:sheetData>
  <x:pageMargins left="0.7" right="0.7" top="0.75" bottom="0.75" header="0.3" footer="0.3"/>
  <x:tableParts count="1">
    <x:tablePart xmlns:r="http://schemas.openxmlformats.org/officeDocument/2006/relationships" r:id="R2efc786579d24a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32" hidden="0" customWidth="1"/>
    <x:col min="4" max="4" width="23" hidden="0" customWidth="1"/>
    <x:col min="5" max="5" width="39" hidden="0" customWidth="1"/>
    <x:col min="6" max="6" width="23" hidden="0" customWidth="1"/>
    <x:col min="7" max="7" width="32" hidden="0" customWidth="1"/>
    <x:col min="8" max="8" width="3" hidden="0" customWidth="1"/>
    <x:col min="9" max="9" width="70" hidden="0" customWidth="1"/>
    <x:col min="10" max="10" width="7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Indemnités historiques : suivi des preuves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 t="str">
        <x:v>Sinistre 2024 HSB. Aucune somme de ces mentions n’est présentée comme total encaissé.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6" t="str">
        <x:v>ID</x:v>
      </x:c>
      <x:c r="B5" s="6" t="str">
        <x:v>Date repère</x:v>
      </x:c>
      <x:c r="C5" s="6" t="str">
        <x:v>Objet</x:v>
      </x:c>
      <x:c r="D5" s="6" t="str">
        <x:v>Montant mentionné</x:v>
      </x:c>
      <x:c r="E5" s="6" t="str">
        <x:v>Statut de preuve</x:v>
      </x:c>
      <x:c r="F5" s="6" t="str">
        <x:v>Encaissé confirmé</x:v>
      </x:c>
      <x:c r="G5" s="6" t="str">
        <x:v>Référence bancaire</x:v>
      </x:c>
      <x:c r="H5" s="6" t="str"/>
      <x:c r="I5" s="6" t="str">
        <x:v>Source</x:v>
      </x:c>
      <x:c r="J5" s="6" t="str">
        <x:v>Affectation / contrôle</x:v>
      </x:c>
    </x:row>
    <x:row r="6" ht="22" customHeight="1">
      <x:c r="A6" s="1" t="str">
        <x:v>PAY-01</x:v>
      </x:c>
      <x:c r="B6" s="7" t="d">
        <x:v>2025-04-22T12:00:00.000Z</x:v>
      </x:c>
      <x:c r="C6" s="1" t="str">
        <x:v>Provisoire no 1 inscrit</x:v>
      </x:c>
      <x:c r="D6" s="9" t="n">
        <x:v>24136.06</x:v>
      </x:c>
      <x:c r="E6" s="9" t="str">
        <x:v>Inscription au chiffrier</x:v>
      </x:c>
      <x:c r="F6" s="17"/>
      <x:c r="G6" s="18"/>
      <x:c r="H6" s="1"/>
      <x:c r="I6" s="1" t="str">
        <x:v>Hadmo 22 avril 2025, H69</x:v>
      </x:c>
      <x:c r="J6" s="1" t="str">
        <x:v>Référence bancaire et affectation manquantes</x:v>
      </x:c>
    </x:row>
    <x:row r="7" ht="22" customHeight="1">
      <x:c r="A7" s="1" t="str">
        <x:v>PAY-02</x:v>
      </x:c>
      <x:c r="B7" s="7" t="d">
        <x:v>2025-02-20T12:00:00.000Z</x:v>
      </x:c>
      <x:c r="C7" s="1" t="str">
        <x:v>HSB demande no 2</x:v>
      </x:c>
      <x:c r="D7" s="9" t="n">
        <x:v>37288.16</x:v>
      </x:c>
      <x:c r="E7" s="9" t="str">
        <x:v>Paiement demandé / inscrit</x:v>
      </x:c>
      <x:c r="F7" s="17"/>
      <x:c r="G7" s="18"/>
      <x:c r="H7" s="1"/>
      <x:c r="I7" s="1" t="str">
        <x:v>Courriel 19e847d75c50497e; Hadmo H71</x:v>
      </x:c>
      <x:c r="J7" s="1" t="str">
        <x:v>Même 37 288,16 dans courriel et chiffrier; une seule ligne</x:v>
      </x:c>
    </x:row>
    <x:row r="8" ht="22" customHeight="1">
      <x:c r="A8" s="1" t="str">
        <x:v>PAY-03</x:v>
      </x:c>
      <x:c r="B8" s="7" t="d">
        <x:v>2025-02-20T12:00:00.000Z</x:v>
      </x:c>
      <x:c r="C8" s="1" t="str">
        <x:v>HSB complément demandé</x:v>
      </x:c>
      <x:c r="D8" s="9" t="n">
        <x:v>1855.68</x:v>
      </x:c>
      <x:c r="E8" s="9" t="str">
        <x:v>Paiement demandé</x:v>
      </x:c>
      <x:c r="F8" s="17"/>
      <x:c r="G8" s="18"/>
      <x:c r="H8" s="1"/>
      <x:c r="I8" s="1" t="str">
        <x:v>Courriel 19e847d75c50497e</x:v>
      </x:c>
      <x:c r="J8" s="1" t="str">
        <x:v>Ensemble annoncé : 39 143,84 avec PAY-02, pas une 3e somme</x:v>
      </x:c>
    </x:row>
    <x:row r="9" ht="22" customHeight="1">
      <x:c r="A9" s="1" t="str">
        <x:v>PAY-04</x:v>
      </x:c>
      <x:c r="B9" s="7" t="d">
        <x:v>2025-04-22T12:00:00.000Z</x:v>
      </x:c>
      <x:c r="C9" s="1" t="str">
        <x:v>Indemnité no 3 au calcul</x:v>
      </x:c>
      <x:c r="D9" s="9" t="n">
        <x:v>18494.09</x:v>
      </x:c>
      <x:c r="E9" s="9" t="str">
        <x:v>Solde calculé du chiffrier</x:v>
      </x:c>
      <x:c r="F9" s="17"/>
      <x:c r="G9" s="18"/>
      <x:c r="H9" s="1"/>
      <x:c r="I9" s="1" t="str">
        <x:v>Hadmo 22 avril 2025, H73</x:v>
      </x:c>
      <x:c r="J9" s="1" t="str">
        <x:v>Ni chèque ni crédit bancaire établis ici</x:v>
      </x:c>
    </x:row>
    <x:row r="10" ht="22" customHeight="1">
      <x:c r="A10" s="1" t="str">
        <x:v>PAY-05</x:v>
      </x:c>
      <x:c r="B10" s="7" t="d">
        <x:v>2025-10-29T12:00:00.000Z</x:v>
      </x:c>
      <x:c r="C10" s="1" t="str">
        <x:v>Chèque annoncé en octobre</x:v>
      </x:c>
      <x:c r="D10" s="9" t="n">
        <x:v>31085.3</x:v>
      </x:c>
      <x:c r="E10" s="9" t="str">
        <x:v>Reçu déclaré le 6 novembre</x:v>
      </x:c>
      <x:c r="F10" s="17"/>
      <x:c r="G10" s="18"/>
      <x:c r="H10" s="1"/>
      <x:c r="I10" s="1" t="str">
        <x:v>Courriel 19c3887029c39b3e, échanges 29 octobre / 6 novembre</x:v>
      </x:c>
      <x:c r="J10" s="1" t="str">
        <x:v>Encaissement, annulation et ventilation à vérifier</x:v>
      </x:c>
    </x:row>
    <x:row r="11">
      <x:c r="D11" s="12"/>
      <x:c r="E11" s="12"/>
      <x:c r="F11" s="12"/>
    </x:row>
    <x:row r="12">
      <x:c r="A12" t="str">
        <x:v>Encaissé documenté</x:v>
      </x:c>
      <x:c r="D12" s="12"/>
      <x:c r="E12" s="12"/>
      <x:c r="F12" s="13" t="str">
        <x:f>IF(COUNT(F6:F10)=0,"n.d.",SUM(F6:F10))</x:f>
        <x:v>n.d.</x:v>
      </x:c>
    </x:row>
    <x:row r="13">
      <x:c r="D13" s="12"/>
      <x:c r="E13" s="12"/>
      <x:c r="F13" s="12"/>
    </x:row>
    <x:row r="14">
      <x:c r="A14" t="str">
        <x:v>Les extraits bancaires doivent identifier montant, bénéficiaire, date, annulation et dommage couvert.</x:v>
      </x:c>
    </x:row>
  </x:sheetData>
  <x:pageMargins left="0.7" right="0.7" top="0.75" bottom="0.75" header="0.3" footer="0.3"/>
  <x:tableParts count="1">
    <x:tablePart xmlns:r="http://schemas.openxmlformats.org/officeDocument/2006/relationships" r:id="R8b186b1df9314f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4" hidden="0" customWidth="1"/>
    <x:col min="5" max="5" width="3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Ventes documentées par période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Périodes différentes et canaux non rapprochés. Ne pas additionner les plateformes au grand livre. Cellule vide = mois absent.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6" t="str">
        <x:v>Mois</x:v>
      </x:c>
      <x:c r="B5" s="6" t="str">
        <x:v>Uber ($)</x:v>
      </x:c>
      <x:c r="C5" s="6" t="str">
        <x:v>DoorDash ($)</x:v>
      </x:c>
      <x:c r="D5" s="6" t="str">
        <x:v>Grand livre 4200 ($)</x:v>
      </x:c>
      <x:c r="E5" s="6" t="str"/>
      <x:c r="F5" s="6" t="str">
        <x:v>Source Uber</x:v>
      </x:c>
      <x:c r="G5" s="6" t="str">
        <x:v>Source DoorDash</x:v>
      </x:c>
      <x:c r="H5" s="6" t="str">
        <x:v>Source grand livre</x:v>
      </x:c>
    </x:row>
    <x:row r="6" ht="22" customHeight="1">
      <x:c r="A6" s="10" t="d">
        <x:v>2024-03-01T12:00:00.000Z</x:v>
      </x:c>
      <x:c r="B6" s="9" t="n">
        <x:v>3687.71</x:v>
      </x:c>
      <x:c r="C6" s="9"/>
      <x:c r="D6" s="9"/>
      <x:c r="E6" s="1"/>
      <x:c r="F6" s="1" t="str">
        <x:v>Uber, Ventes total 2024!C7</x:v>
      </x:c>
      <x:c r="G6" s="1"/>
      <x:c r="H6" s="1"/>
    </x:row>
    <x:row r="7" ht="22" customHeight="1">
      <x:c r="A7" s="10" t="d">
        <x:v>2024-04-01T12:00:00.000Z</x:v>
      </x:c>
      <x:c r="B7" s="9" t="n">
        <x:v>6807.05</x:v>
      </x:c>
      <x:c r="C7" s="9" t="n">
        <x:v>711.12</x:v>
      </x:c>
      <x:c r="D7" s="9"/>
      <x:c r="E7" s="1"/>
      <x:c r="F7" s="1" t="str">
        <x:v>Uber, Ventes total 2024!C8</x:v>
      </x:c>
      <x:c r="G7" s="1" t="str">
        <x:v>DoorDash, Ventes total 2024!C6</x:v>
      </x:c>
      <x:c r="H7" s="1"/>
    </x:row>
    <x:row r="8" ht="22" customHeight="1">
      <x:c r="A8" s="10" t="d">
        <x:v>2024-05-01T12:00:00.000Z</x:v>
      </x:c>
      <x:c r="B8" s="9" t="n">
        <x:v>8922.47</x:v>
      </x:c>
      <x:c r="C8" s="9" t="n">
        <x:v>1283.56</x:v>
      </x:c>
      <x:c r="D8" s="9"/>
      <x:c r="E8" s="1"/>
      <x:c r="F8" s="1" t="str">
        <x:v>Uber, Ventes total 2024!C9</x:v>
      </x:c>
      <x:c r="G8" s="1" t="str">
        <x:v>DoorDash, Ventes total 2024!C7</x:v>
      </x:c>
      <x:c r="H8" s="1"/>
    </x:row>
    <x:row r="9" ht="22" customHeight="1">
      <x:c r="A9" s="10" t="d">
        <x:v>2024-06-01T12:00:00.000Z</x:v>
      </x:c>
      <x:c r="B9" s="9" t="n">
        <x:v>6736.5</x:v>
      </x:c>
      <x:c r="C9" s="9" t="n">
        <x:v>1108.54</x:v>
      </x:c>
      <x:c r="D9" s="9"/>
      <x:c r="E9" s="1"/>
      <x:c r="F9" s="1" t="str">
        <x:v>Uber, Ventes total 2024!C10</x:v>
      </x:c>
      <x:c r="G9" s="1" t="str">
        <x:v>DoorDash, Ventes total 2024!C8</x:v>
      </x:c>
      <x:c r="H9" s="1"/>
    </x:row>
    <x:row r="10" ht="22" customHeight="1">
      <x:c r="A10" s="10" t="d">
        <x:v>2024-07-01T12:00:00.000Z</x:v>
      </x:c>
      <x:c r="B10" s="9" t="n">
        <x:v>5754.49</x:v>
      </x:c>
      <x:c r="C10" s="9" t="n">
        <x:v>2316.89</x:v>
      </x:c>
      <x:c r="D10" s="9" t="n">
        <x:v>9907.7</x:v>
      </x:c>
      <x:c r="E10" s="1"/>
      <x:c r="F10" s="1" t="str">
        <x:v>Uber, Ventes total 2024!C11</x:v>
      </x:c>
      <x:c r="G10" s="1" t="str">
        <x:v>DoorDash, Ventes total 2024!C9</x:v>
      </x:c>
      <x:c r="H10" s="1" t="str">
        <x:v>Grand livre ligne 6</x:v>
      </x:c>
    </x:row>
    <x:row r="11" ht="22" customHeight="1">
      <x:c r="A11" s="10" t="d">
        <x:v>2024-08-01T12:00:00.000Z</x:v>
      </x:c>
      <x:c r="B11" s="9" t="n">
        <x:v>5722</x:v>
      </x:c>
      <x:c r="C11" s="9" t="n">
        <x:v>4653.24</x:v>
      </x:c>
      <x:c r="D11" s="9" t="n">
        <x:v>9927.52</x:v>
      </x:c>
      <x:c r="E11" s="1"/>
      <x:c r="F11" s="1" t="str">
        <x:v>Uber, Ventes total 2024!C12</x:v>
      </x:c>
      <x:c r="G11" s="1" t="str">
        <x:v>DoorDash, Ventes total 2024!C10</x:v>
      </x:c>
      <x:c r="H11" s="1" t="str">
        <x:v>Grand livre ligne 7</x:v>
      </x:c>
    </x:row>
    <x:row r="12" ht="22" customHeight="1">
      <x:c r="A12" s="10" t="d">
        <x:v>2024-09-01T12:00:00.000Z</x:v>
      </x:c>
      <x:c r="B12" s="9" t="n">
        <x:v>5711.48</x:v>
      </x:c>
      <x:c r="C12" s="9" t="n">
        <x:v>3774.4</x:v>
      </x:c>
      <x:c r="D12" s="9" t="n">
        <x:v>8040.16</x:v>
      </x:c>
      <x:c r="E12" s="1"/>
      <x:c r="F12" s="1" t="str">
        <x:v>Uber, Ventes total 2024!C13</x:v>
      </x:c>
      <x:c r="G12" s="1" t="str">
        <x:v>DoorDash, Ventes total 2024!C11</x:v>
      </x:c>
      <x:c r="H12" s="1" t="str">
        <x:v>Grand livre ligne 8</x:v>
      </x:c>
    </x:row>
    <x:row r="13" ht="22" customHeight="1">
      <x:c r="A13" s="10" t="d">
        <x:v>2024-10-01T12:00:00.000Z</x:v>
      </x:c>
      <x:c r="B13" s="9" t="n">
        <x:v>5287.21</x:v>
      </x:c>
      <x:c r="C13" s="9" t="n">
        <x:v>4203.32</x:v>
      </x:c>
      <x:c r="D13" s="9" t="n">
        <x:v>7402.31</x:v>
      </x:c>
      <x:c r="E13" s="1"/>
      <x:c r="F13" s="1" t="str">
        <x:v>Uber, Ventes total 2024!C14</x:v>
      </x:c>
      <x:c r="G13" s="1" t="str">
        <x:v>DoorDash, Ventes total 2024!C12</x:v>
      </x:c>
      <x:c r="H13" s="1" t="str">
        <x:v>Grand livre ligne 9</x:v>
      </x:c>
    </x:row>
    <x:row r="14" ht="22" customHeight="1">
      <x:c r="A14" s="10" t="d">
        <x:v>2024-11-01T12:00:00.000Z</x:v>
      </x:c>
      <x:c r="B14" s="9" t="n">
        <x:v>4576.8</x:v>
      </x:c>
      <x:c r="C14" s="9" t="n">
        <x:v>2397.67</x:v>
      </x:c>
      <x:c r="D14" s="9" t="n">
        <x:v>6164.95</x:v>
      </x:c>
      <x:c r="E14" s="1"/>
      <x:c r="F14" s="1" t="str">
        <x:v>Uber, Ventes total 2024!C15</x:v>
      </x:c>
      <x:c r="G14" s="1" t="str">
        <x:v>DoorDash, Ventes total 2024!C13</x:v>
      </x:c>
      <x:c r="H14" s="1" t="str">
        <x:v>Grand livre ligne 10</x:v>
      </x:c>
    </x:row>
    <x:row r="15" ht="22" customHeight="1">
      <x:c r="A15" s="10" t="d">
        <x:v>2024-12-01T12:00:00.000Z</x:v>
      </x:c>
      <x:c r="B15" s="9" t="n">
        <x:v>2404.14</x:v>
      </x:c>
      <x:c r="C15" s="9" t="n">
        <x:v>2325.6</x:v>
      </x:c>
      <x:c r="D15" s="9" t="n">
        <x:v>25289.17</x:v>
      </x:c>
      <x:c r="E15" s="1"/>
      <x:c r="F15" s="1" t="str">
        <x:v>Uber, Ventes total 2024!C16</x:v>
      </x:c>
      <x:c r="G15" s="1" t="str">
        <x:v>DoorDash, Ventes total 2024!C14</x:v>
      </x:c>
      <x:c r="H15" s="1" t="str">
        <x:v>Grand livre ligne 11</x:v>
      </x:c>
    </x:row>
    <x:row r="16" ht="22" customHeight="1">
      <x:c r="A16" s="10" t="d">
        <x:v>2025-01-01T12:00:00.000Z</x:v>
      </x:c>
      <x:c r="B16" s="9"/>
      <x:c r="C16" s="9"/>
      <x:c r="D16" s="9" t="n">
        <x:v>3643.53</x:v>
      </x:c>
      <x:c r="E16" s="1"/>
      <x:c r="F16" s="1"/>
      <x:c r="G16" s="1"/>
      <x:c r="H16" s="1" t="str">
        <x:v>Grand livre ligne 12</x:v>
      </x:c>
    </x:row>
    <x:row r="17" ht="22" customHeight="1">
      <x:c r="A17" s="10" t="d">
        <x:v>2025-02-01T12:00:00.000Z</x:v>
      </x:c>
      <x:c r="B17" s="9"/>
      <x:c r="C17" s="9"/>
      <x:c r="D17" s="9" t="n">
        <x:v>3173.35</x:v>
      </x:c>
      <x:c r="E17" s="1"/>
      <x:c r="F17" s="1"/>
      <x:c r="G17" s="1"/>
      <x:c r="H17" s="1" t="str">
        <x:v>Grand livre ligne 13</x:v>
      </x:c>
    </x:row>
    <x:row r="18" ht="22" customHeight="1">
      <x:c r="A18" s="10" t="d">
        <x:v>2025-03-01T12:00:00.000Z</x:v>
      </x:c>
      <x:c r="B18" s="9"/>
      <x:c r="C18" s="9"/>
      <x:c r="D18" s="9" t="n">
        <x:v>3906.51</x:v>
      </x:c>
      <x:c r="E18" s="1"/>
      <x:c r="F18" s="1"/>
      <x:c r="G18" s="1"/>
      <x:c r="H18" s="1" t="str">
        <x:v>Grand livre ligne 14</x:v>
      </x:c>
    </x:row>
    <x:row r="19" ht="22" customHeight="1">
      <x:c r="A19" s="10" t="d">
        <x:v>2025-04-01T12:00:00.000Z</x:v>
      </x:c>
      <x:c r="B19" s="9"/>
      <x:c r="C19" s="9"/>
      <x:c r="D19" s="9" t="n">
        <x:v>540.24</x:v>
      </x:c>
      <x:c r="E19" s="1"/>
      <x:c r="F19" s="1"/>
      <x:c r="G19" s="1"/>
      <x:c r="H19" s="1" t="str">
        <x:v>Grand livre ligne 15</x:v>
      </x:c>
    </x:row>
    <x:row r="20">
      <x:c r="B20" s="12"/>
      <x:c r="C20" s="12"/>
      <x:c r="D20" s="12"/>
    </x:row>
    <x:row r="21">
      <x:c r="A21" t="str">
        <x:v>Total couvert</x:v>
      </x:c>
      <x:c r="B21" s="13" t="n">
        <x:f>SUM(B6:B19)</x:f>
        <x:v>55609.85</x:v>
      </x:c>
      <x:c r="C21" s="13" t="n">
        <x:f>SUM(C6:C19)</x:f>
        <x:v>22774.339999999997</x:v>
      </x:c>
      <x:c r="D21" s="13" t="n">
        <x:f>SUM(D6:D19)</x:f>
        <x:v>77995.44</x:v>
      </x:c>
    </x:row>
    <x:row r="23">
      <x:c r="A23" t="str">
        <x:v>Pièces : Uber-Ventes-2024- final.xlsx et Doordash-ventes-2024-final.xlsx; original CSV du grand livre.</x:v>
      </x:c>
    </x:row>
    <x:row r="24">
      <x:c r="A24" t="str">
        <x:v>Les ventes ne sont pas des profits ni une perte d’exploitation. Taxes, enseignes et ventes en salle à rapprocher.</x:v>
      </x:c>
    </x:row>
  </x:sheetData>
  <x:pageMargins left="0.7" right="0.7" top="0.75" bottom="0.75" header="0.3" footer="0.3"/>
  <x:tableParts count="1">
    <x:tablePart xmlns:r="http://schemas.openxmlformats.org/officeDocument/2006/relationships" r:id="R86e3dd09ce2e4a7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6" hidden="0" customWidth="1"/>
    <x:col min="4" max="4" width="46" hidden="0" customWidth="1"/>
    <x:col min="5" max="5" width="23" hidden="0" customWidth="1"/>
    <x:col min="6" max="6" width="12" hidden="0" customWidth="1"/>
    <x:col min="7" max="7" width="18" hidden="0" customWidth="1"/>
    <x:col min="8" max="8" width="18" hidden="0" customWidth="1"/>
    <x:col min="9" max="9" width="15" hidden="0" customWidth="1"/>
    <x:col min="10" max="10" width="3" hidden="0" customWidth="1"/>
    <x:col min="11" max="11" width="6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Écritures du grand livre fourni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Extraction CSV de final.xls. Écritures datées avec journal J, sous-totaux exclus. Devise $ présumée CAD, à confirmer.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6" t="str">
        <x:v>Compte</x:v>
      </x:c>
      <x:c r="B5" s="6" t="str">
        <x:v>Intitulé</x:v>
      </x:c>
      <x:c r="C5" s="6" t="str">
        <x:v>Date comptable</x:v>
      </x:c>
      <x:c r="D5" s="6" t="str">
        <x:v>Description</x:v>
      </x:c>
      <x:c r="E5" s="6" t="str">
        <x:v>Source comptable</x:v>
      </x:c>
      <x:c r="F5" s="6" t="str">
        <x:v>Journal</x:v>
      </x:c>
      <x:c r="G5" s="6" t="str">
        <x:v>Débit ($)</x:v>
      </x:c>
      <x:c r="H5" s="6" t="str">
        <x:v>Crédit ($)</x:v>
      </x:c>
      <x:c r="I5" s="6" t="str">
        <x:v>Ligne source</x:v>
      </x:c>
      <x:c r="J5" s="6" t="str"/>
      <x:c r="K5" s="6" t="str">
        <x:v>Source</x:v>
      </x:c>
    </x:row>
    <x:row r="6" ht="22" customHeight="1">
      <x:c r="A6" s="1" t="str">
        <x:v>4200</x:v>
      </x:c>
      <x:c r="B6" s="1" t="str">
        <x:v>Sales</x:v>
      </x:c>
      <x:c r="C6" s="7" t="d">
        <x:v>2024-07-31T12:00:00.000Z</x:v>
      </x:c>
      <x:c r="D6" s="1" t="str">
        <x:v>2024-07, Sales</x:v>
      </x:c>
      <x:c r="E6" s="1" t="str">
        <x:v>Cash</x:v>
      </x:c>
      <x:c r="F6" s="1" t="str">
        <x:v>J800</x:v>
      </x:c>
      <x:c r="G6" s="9" t="n">
        <x:v>0</x:v>
      </x:c>
      <x:c r="H6" s="9" t="n">
        <x:v>9907.7</x:v>
      </x:c>
      <x:c r="I6" s="1" t="n">
        <x:v>6</x:v>
      </x:c>
      <x:c r="J6" s="1"/>
      <x:c r="K6" s="1" t="str">
        <x:v>GRAND-LIVRE-ORIGINAL-feuille-1.csv, ligne 6</x:v>
      </x:c>
    </x:row>
    <x:row r="7" ht="22" customHeight="1">
      <x:c r="A7" s="1" t="str">
        <x:v>4200</x:v>
      </x:c>
      <x:c r="B7" s="1" t="str">
        <x:v>Sales</x:v>
      </x:c>
      <x:c r="C7" s="7" t="d">
        <x:v>2024-08-31T12:00:00.000Z</x:v>
      </x:c>
      <x:c r="D7" s="1" t="str">
        <x:v>2024-08, Sales</x:v>
      </x:c>
      <x:c r="E7" s="1" t="str">
        <x:v>Cash</x:v>
      </x:c>
      <x:c r="F7" s="1" t="str">
        <x:v>J802</x:v>
      </x:c>
      <x:c r="G7" s="9" t="n">
        <x:v>0</x:v>
      </x:c>
      <x:c r="H7" s="9" t="n">
        <x:v>9927.52</x:v>
      </x:c>
      <x:c r="I7" s="1" t="n">
        <x:v>7</x:v>
      </x:c>
      <x:c r="J7" s="1"/>
      <x:c r="K7" s="1" t="str">
        <x:v>GRAND-LIVRE-ORIGINAL-feuille-1.csv, ligne 7</x:v>
      </x:c>
    </x:row>
    <x:row r="8" ht="22" customHeight="1">
      <x:c r="A8" s="1" t="str">
        <x:v>4200</x:v>
      </x:c>
      <x:c r="B8" s="1" t="str">
        <x:v>Sales</x:v>
      </x:c>
      <x:c r="C8" s="7" t="d">
        <x:v>2024-09-30T12:00:00.000Z</x:v>
      </x:c>
      <x:c r="D8" s="1" t="str">
        <x:v>2024-09, Sales</x:v>
      </x:c>
      <x:c r="E8" s="1" t="str">
        <x:v>Cash</x:v>
      </x:c>
      <x:c r="F8" s="1" t="str">
        <x:v>J804</x:v>
      </x:c>
      <x:c r="G8" s="9" t="n">
        <x:v>0</x:v>
      </x:c>
      <x:c r="H8" s="9" t="n">
        <x:v>8040.16</x:v>
      </x:c>
      <x:c r="I8" s="1" t="n">
        <x:v>8</x:v>
      </x:c>
      <x:c r="J8" s="1"/>
      <x:c r="K8" s="1" t="str">
        <x:v>GRAND-LIVRE-ORIGINAL-feuille-1.csv, ligne 8</x:v>
      </x:c>
    </x:row>
    <x:row r="9" ht="22" customHeight="1">
      <x:c r="A9" s="1" t="str">
        <x:v>4200</x:v>
      </x:c>
      <x:c r="B9" s="1" t="str">
        <x:v>Sales</x:v>
      </x:c>
      <x:c r="C9" s="7" t="d">
        <x:v>2024-10-31T12:00:00.000Z</x:v>
      </x:c>
      <x:c r="D9" s="1" t="str">
        <x:v>2024-10, Sales</x:v>
      </x:c>
      <x:c r="E9" s="1" t="str">
        <x:v>Cash</x:v>
      </x:c>
      <x:c r="F9" s="1" t="str">
        <x:v>J806</x:v>
      </x:c>
      <x:c r="G9" s="9" t="n">
        <x:v>0</x:v>
      </x:c>
      <x:c r="H9" s="9" t="n">
        <x:v>7402.31</x:v>
      </x:c>
      <x:c r="I9" s="1" t="n">
        <x:v>9</x:v>
      </x:c>
      <x:c r="J9" s="1"/>
      <x:c r="K9" s="1" t="str">
        <x:v>GRAND-LIVRE-ORIGINAL-feuille-1.csv, ligne 9</x:v>
      </x:c>
    </x:row>
    <x:row r="10" ht="22" customHeight="1">
      <x:c r="A10" s="1" t="str">
        <x:v>4200</x:v>
      </x:c>
      <x:c r="B10" s="1" t="str">
        <x:v>Sales</x:v>
      </x:c>
      <x:c r="C10" s="7" t="d">
        <x:v>2024-11-30T12:00:00.000Z</x:v>
      </x:c>
      <x:c r="D10" s="1" t="str">
        <x:v>2024-11, Sales</x:v>
      </x:c>
      <x:c r="E10" s="1" t="str">
        <x:v>Cash</x:v>
      </x:c>
      <x:c r="F10" s="1" t="str">
        <x:v>J808</x:v>
      </x:c>
      <x:c r="G10" s="9" t="n">
        <x:v>0</x:v>
      </x:c>
      <x:c r="H10" s="9" t="n">
        <x:v>6164.95</x:v>
      </x:c>
      <x:c r="I10" s="1" t="n">
        <x:v>10</x:v>
      </x:c>
      <x:c r="J10" s="1"/>
      <x:c r="K10" s="1" t="str">
        <x:v>GRAND-LIVRE-ORIGINAL-feuille-1.csv, ligne 10</x:v>
      </x:c>
    </x:row>
    <x:row r="11" ht="22" customHeight="1">
      <x:c r="A11" s="1" t="str">
        <x:v>4200</x:v>
      </x:c>
      <x:c r="B11" s="1" t="str">
        <x:v>Sales</x:v>
      </x:c>
      <x:c r="C11" s="7" t="d">
        <x:v>2024-12-31T12:00:00.000Z</x:v>
      </x:c>
      <x:c r="D11" s="1" t="str">
        <x:v>2024-12, Sales</x:v>
      </x:c>
      <x:c r="E11" s="1" t="str">
        <x:v>Cash</x:v>
      </x:c>
      <x:c r="F11" s="1" t="str">
        <x:v>J810</x:v>
      </x:c>
      <x:c r="G11" s="9" t="n">
        <x:v>0</x:v>
      </x:c>
      <x:c r="H11" s="9" t="n">
        <x:v>25289.17</x:v>
      </x:c>
      <x:c r="I11" s="1" t="n">
        <x:v>11</x:v>
      </x:c>
      <x:c r="J11" s="1"/>
      <x:c r="K11" s="1" t="str">
        <x:v>GRAND-LIVRE-ORIGINAL-feuille-1.csv, ligne 11</x:v>
      </x:c>
    </x:row>
    <x:row r="12" ht="22" customHeight="1">
      <x:c r="A12" s="1" t="str">
        <x:v>4200</x:v>
      </x:c>
      <x:c r="B12" s="1" t="str">
        <x:v>Sales</x:v>
      </x:c>
      <x:c r="C12" s="7" t="d">
        <x:v>2025-01-31T12:00:00.000Z</x:v>
      </x:c>
      <x:c r="D12" s="1" t="str">
        <x:v>2025-01, Sales</x:v>
      </x:c>
      <x:c r="E12" s="1" t="str">
        <x:v>Cash</x:v>
      </x:c>
      <x:c r="F12" s="1" t="str">
        <x:v>J812</x:v>
      </x:c>
      <x:c r="G12" s="9" t="n">
        <x:v>0</x:v>
      </x:c>
      <x:c r="H12" s="9" t="n">
        <x:v>3643.53</x:v>
      </x:c>
      <x:c r="I12" s="1" t="n">
        <x:v>12</x:v>
      </x:c>
      <x:c r="J12" s="1"/>
      <x:c r="K12" s="1" t="str">
        <x:v>GRAND-LIVRE-ORIGINAL-feuille-1.csv, ligne 12</x:v>
      </x:c>
    </x:row>
    <x:row r="13" ht="22" customHeight="1">
      <x:c r="A13" s="1" t="str">
        <x:v>4200</x:v>
      </x:c>
      <x:c r="B13" s="1" t="str">
        <x:v>Sales</x:v>
      </x:c>
      <x:c r="C13" s="7" t="d">
        <x:v>2025-02-28T12:00:00.000Z</x:v>
      </x:c>
      <x:c r="D13" s="1" t="str">
        <x:v>2025-02, Sales</x:v>
      </x:c>
      <x:c r="E13" s="1" t="str">
        <x:v>Cash</x:v>
      </x:c>
      <x:c r="F13" s="1" t="str">
        <x:v>J814</x:v>
      </x:c>
      <x:c r="G13" s="9" t="n">
        <x:v>0</x:v>
      </x:c>
      <x:c r="H13" s="9" t="n">
        <x:v>3173.35</x:v>
      </x:c>
      <x:c r="I13" s="1" t="n">
        <x:v>13</x:v>
      </x:c>
      <x:c r="J13" s="1"/>
      <x:c r="K13" s="1" t="str">
        <x:v>GRAND-LIVRE-ORIGINAL-feuille-1.csv, ligne 13</x:v>
      </x:c>
    </x:row>
    <x:row r="14" ht="22" customHeight="1">
      <x:c r="A14" s="1" t="str">
        <x:v>4200</x:v>
      </x:c>
      <x:c r="B14" s="1" t="str">
        <x:v>Sales</x:v>
      </x:c>
      <x:c r="C14" s="7" t="d">
        <x:v>2025-03-31T12:00:00.000Z</x:v>
      </x:c>
      <x:c r="D14" s="1" t="str">
        <x:v>2025-03, Sales</x:v>
      </x:c>
      <x:c r="E14" s="1" t="str">
        <x:v>Cash</x:v>
      </x:c>
      <x:c r="F14" s="1" t="str">
        <x:v>J816</x:v>
      </x:c>
      <x:c r="G14" s="9" t="n">
        <x:v>0</x:v>
      </x:c>
      <x:c r="H14" s="9" t="n">
        <x:v>3906.51</x:v>
      </x:c>
      <x:c r="I14" s="1" t="n">
        <x:v>14</x:v>
      </x:c>
      <x:c r="J14" s="1"/>
      <x:c r="K14" s="1" t="str">
        <x:v>GRAND-LIVRE-ORIGINAL-feuille-1.csv, ligne 14</x:v>
      </x:c>
    </x:row>
    <x:row r="15" ht="22" customHeight="1">
      <x:c r="A15" s="1" t="str">
        <x:v>4200</x:v>
      </x:c>
      <x:c r="B15" s="1" t="str">
        <x:v>Sales</x:v>
      </x:c>
      <x:c r="C15" s="7" t="d">
        <x:v>2025-04-30T12:00:00.000Z</x:v>
      </x:c>
      <x:c r="D15" s="1" t="str">
        <x:v>2025-04, Sales</x:v>
      </x:c>
      <x:c r="E15" s="1" t="str">
        <x:v>Cash</x:v>
      </x:c>
      <x:c r="F15" s="1" t="str">
        <x:v>J818</x:v>
      </x:c>
      <x:c r="G15" s="9" t="n">
        <x:v>0</x:v>
      </x:c>
      <x:c r="H15" s="9" t="n">
        <x:v>540.24</x:v>
      </x:c>
      <x:c r="I15" s="1" t="n">
        <x:v>15</x:v>
      </x:c>
      <x:c r="J15" s="1"/>
      <x:c r="K15" s="1" t="str">
        <x:v>GRAND-LIVRE-ORIGINAL-feuille-1.csv, ligne 15</x:v>
      </x:c>
    </x:row>
    <x:row r="16" ht="22" customHeight="1">
      <x:c r="A16" s="1" t="str">
        <x:v>5190</x:v>
      </x:c>
      <x:c r="B16" s="1" t="str">
        <x:v>Subcontracts</x:v>
      </x:c>
      <x:c r="C16" s="7" t="d">
        <x:v>2024-07-01T12:00:00.000Z</x:v>
      </x:c>
      <x:c r="D16" s="1" t="str">
        <x:v>Riad</x:v>
      </x:c>
      <x:c r="E16" s="1" t="str">
        <x:v>Cash</x:v>
      </x:c>
      <x:c r="F16" s="1" t="str">
        <x:v>J318</x:v>
      </x:c>
      <x:c r="G16" s="9" t="n">
        <x:v>2840</x:v>
      </x:c>
      <x:c r="H16" s="9" t="n">
        <x:v>0</x:v>
      </x:c>
      <x:c r="I16" s="1" t="n">
        <x:v>47</x:v>
      </x:c>
      <x:c r="J16" s="1"/>
      <x:c r="K16" s="1" t="str">
        <x:v>GRAND-LIVRE-ORIGINAL-feuille-1.csv, ligne 47</x:v>
      </x:c>
    </x:row>
    <x:row r="17" ht="22" customHeight="1">
      <x:c r="A17" s="1" t="str">
        <x:v>5190</x:v>
      </x:c>
      <x:c r="B17" s="1" t="str">
        <x:v>Subcontracts</x:v>
      </x:c>
      <x:c r="C17" s="7" t="d">
        <x:v>2024-08-16T12:00:00.000Z</x:v>
      </x:c>
      <x:c r="D17" s="1" t="str">
        <x:v>Riad</x:v>
      </x:c>
      <x:c r="E17" s="1" t="str">
        <x:v>Cash</x:v>
      </x:c>
      <x:c r="F17" s="1" t="str">
        <x:v>J320</x:v>
      </x:c>
      <x:c r="G17" s="9" t="n">
        <x:v>3000</x:v>
      </x:c>
      <x:c r="H17" s="9" t="n">
        <x:v>0</x:v>
      </x:c>
      <x:c r="I17" s="1" t="n">
        <x:v>48</x:v>
      </x:c>
      <x:c r="J17" s="1"/>
      <x:c r="K17" s="1" t="str">
        <x:v>GRAND-LIVRE-ORIGINAL-feuille-1.csv, ligne 48</x:v>
      </x:c>
    </x:row>
    <x:row r="18" ht="22" customHeight="1">
      <x:c r="A18" s="1" t="str">
        <x:v>5190</x:v>
      </x:c>
      <x:c r="B18" s="1" t="str">
        <x:v>Subcontracts</x:v>
      </x:c>
      <x:c r="C18" s="7" t="d">
        <x:v>2024-08-23T12:00:00.000Z</x:v>
      </x:c>
      <x:c r="D18" s="1" t="str">
        <x:v>Riad</x:v>
      </x:c>
      <x:c r="E18" s="1" t="str">
        <x:v>Cash</x:v>
      </x:c>
      <x:c r="F18" s="1" t="str">
        <x:v>J322</x:v>
      </x:c>
      <x:c r="G18" s="9" t="n">
        <x:v>1000</x:v>
      </x:c>
      <x:c r="H18" s="9" t="n">
        <x:v>0</x:v>
      </x:c>
      <x:c r="I18" s="1" t="n">
        <x:v>49</x:v>
      </x:c>
      <x:c r="J18" s="1"/>
      <x:c r="K18" s="1" t="str">
        <x:v>GRAND-LIVRE-ORIGINAL-feuille-1.csv, ligne 49</x:v>
      </x:c>
    </x:row>
    <x:row r="19" ht="22" customHeight="1">
      <x:c r="A19" s="1" t="str">
        <x:v>5190</x:v>
      </x:c>
      <x:c r="B19" s="1" t="str">
        <x:v>Subcontracts</x:v>
      </x:c>
      <x:c r="C19" s="7" t="d">
        <x:v>2024-09-03T12:00:00.000Z</x:v>
      </x:c>
      <x:c r="D19" s="1" t="str">
        <x:v>Riad</x:v>
      </x:c>
      <x:c r="E19" s="1" t="str">
        <x:v>Cash</x:v>
      </x:c>
      <x:c r="F19" s="1" t="str">
        <x:v>J324</x:v>
      </x:c>
      <x:c r="G19" s="9" t="n">
        <x:v>1800</x:v>
      </x:c>
      <x:c r="H19" s="9" t="n">
        <x:v>0</x:v>
      </x:c>
      <x:c r="I19" s="1" t="n">
        <x:v>50</x:v>
      </x:c>
      <x:c r="J19" s="1"/>
      <x:c r="K19" s="1" t="str">
        <x:v>GRAND-LIVRE-ORIGINAL-feuille-1.csv, ligne 50</x:v>
      </x:c>
    </x:row>
    <x:row r="20" ht="22" customHeight="1">
      <x:c r="A20" s="1" t="str">
        <x:v>5190</x:v>
      </x:c>
      <x:c r="B20" s="1" t="str">
        <x:v>Subcontracts</x:v>
      </x:c>
      <x:c r="C20" s="7" t="d">
        <x:v>2024-11-01T12:00:00.000Z</x:v>
      </x:c>
      <x:c r="D20" s="1" t="str">
        <x:v>Anta</x:v>
      </x:c>
      <x:c r="E20" s="1" t="str">
        <x:v>Cash</x:v>
      </x:c>
      <x:c r="F20" s="1" t="str">
        <x:v>J54</x:v>
      </x:c>
      <x:c r="G20" s="9" t="n">
        <x:v>660</x:v>
      </x:c>
      <x:c r="H20" s="9" t="n">
        <x:v>0</x:v>
      </x:c>
      <x:c r="I20" s="1" t="n">
        <x:v>51</x:v>
      </x:c>
      <x:c r="J20" s="1"/>
      <x:c r="K20" s="1" t="str">
        <x:v>GRAND-LIVRE-ORIGINAL-feuille-1.csv, ligne 51</x:v>
      </x:c>
    </x:row>
    <x:row r="21" ht="22" customHeight="1">
      <x:c r="A21" s="1" t="str">
        <x:v>5190</x:v>
      </x:c>
      <x:c r="B21" s="1" t="str">
        <x:v>Subcontracts</x:v>
      </x:c>
      <x:c r="C21" s="7" t="d">
        <x:v>2024-11-08T12:00:00.000Z</x:v>
      </x:c>
      <x:c r="D21" s="1" t="str">
        <x:v>Anta</x:v>
      </x:c>
      <x:c r="E21" s="1" t="str">
        <x:v>Cash</x:v>
      </x:c>
      <x:c r="F21" s="1" t="str">
        <x:v>J59</x:v>
      </x:c>
      <x:c r="G21" s="9" t="n">
        <x:v>450</x:v>
      </x:c>
      <x:c r="H21" s="9" t="n">
        <x:v>0</x:v>
      </x:c>
      <x:c r="I21" s="1" t="n">
        <x:v>52</x:v>
      </x:c>
      <x:c r="J21" s="1"/>
      <x:c r="K21" s="1" t="str">
        <x:v>GRAND-LIVRE-ORIGINAL-feuille-1.csv, ligne 52</x:v>
      </x:c>
    </x:row>
    <x:row r="22" ht="22" customHeight="1">
      <x:c r="A22" s="1" t="str">
        <x:v>5190</x:v>
      </x:c>
      <x:c r="B22" s="1" t="str">
        <x:v>Subcontracts</x:v>
      </x:c>
      <x:c r="C22" s="7" t="d">
        <x:v>2024-11-15T12:00:00.000Z</x:v>
      </x:c>
      <x:c r="D22" s="1" t="str">
        <x:v>Anta</x:v>
      </x:c>
      <x:c r="E22" s="1" t="str">
        <x:v>Cash</x:v>
      </x:c>
      <x:c r="F22" s="1" t="str">
        <x:v>J72</x:v>
      </x:c>
      <x:c r="G22" s="9" t="n">
        <x:v>450</x:v>
      </x:c>
      <x:c r="H22" s="9" t="n">
        <x:v>0</x:v>
      </x:c>
      <x:c r="I22" s="1" t="n">
        <x:v>53</x:v>
      </x:c>
      <x:c r="J22" s="1"/>
      <x:c r="K22" s="1" t="str">
        <x:v>GRAND-LIVRE-ORIGINAL-feuille-1.csv, ligne 53</x:v>
      </x:c>
    </x:row>
    <x:row r="23" ht="22" customHeight="1">
      <x:c r="A23" s="1" t="str">
        <x:v>5190</x:v>
      </x:c>
      <x:c r="B23" s="1" t="str">
        <x:v>Subcontracts</x:v>
      </x:c>
      <x:c r="C23" s="7" t="d">
        <x:v>2024-11-19T12:00:00.000Z</x:v>
      </x:c>
      <x:c r="D23" s="1" t="str">
        <x:v>Anas Akli</x:v>
      </x:c>
      <x:c r="E23" s="1" t="str">
        <x:v>Cash</x:v>
      </x:c>
      <x:c r="F23" s="1" t="str">
        <x:v>J73</x:v>
      </x:c>
      <x:c r="G23" s="9" t="n">
        <x:v>304.41</x:v>
      </x:c>
      <x:c r="H23" s="9" t="n">
        <x:v>0</x:v>
      </x:c>
      <x:c r="I23" s="1" t="n">
        <x:v>54</x:v>
      </x:c>
      <x:c r="J23" s="1"/>
      <x:c r="K23" s="1" t="str">
        <x:v>GRAND-LIVRE-ORIGINAL-feuille-1.csv, ligne 54</x:v>
      </x:c>
    </x:row>
    <x:row r="24" ht="22" customHeight="1">
      <x:c r="A24" s="1" t="str">
        <x:v>5190</x:v>
      </x:c>
      <x:c r="B24" s="1" t="str">
        <x:v>Subcontracts</x:v>
      </x:c>
      <x:c r="C24" s="7" t="d">
        <x:v>2024-11-25T12:00:00.000Z</x:v>
      </x:c>
      <x:c r="D24" s="1" t="str">
        <x:v>Anta</x:v>
      </x:c>
      <x:c r="E24" s="1" t="str">
        <x:v>Cash</x:v>
      </x:c>
      <x:c r="F24" s="1" t="str">
        <x:v>J79</x:v>
      </x:c>
      <x:c r="G24" s="9" t="n">
        <x:v>400</x:v>
      </x:c>
      <x:c r="H24" s="9" t="n">
        <x:v>0</x:v>
      </x:c>
      <x:c r="I24" s="1" t="n">
        <x:v>55</x:v>
      </x:c>
      <x:c r="J24" s="1"/>
      <x:c r="K24" s="1" t="str">
        <x:v>GRAND-LIVRE-ORIGINAL-feuille-1.csv, ligne 55</x:v>
      </x:c>
    </x:row>
    <x:row r="25" ht="22" customHeight="1">
      <x:c r="A25" s="1" t="str">
        <x:v>5190</x:v>
      </x:c>
      <x:c r="B25" s="1" t="str">
        <x:v>Subcontracts</x:v>
      </x:c>
      <x:c r="C25" s="7" t="d">
        <x:v>2024-12-02T12:00:00.000Z</x:v>
      </x:c>
      <x:c r="D25" s="1" t="str">
        <x:v>Anta</x:v>
      </x:c>
      <x:c r="E25" s="1" t="str">
        <x:v>Cash</x:v>
      </x:c>
      <x:c r="F25" s="1" t="str">
        <x:v>J96</x:v>
      </x:c>
      <x:c r="G25" s="9" t="n">
        <x:v>450</x:v>
      </x:c>
      <x:c r="H25" s="9" t="n">
        <x:v>0</x:v>
      </x:c>
      <x:c r="I25" s="1" t="n">
        <x:v>56</x:v>
      </x:c>
      <x:c r="J25" s="1"/>
      <x:c r="K25" s="1" t="str">
        <x:v>GRAND-LIVRE-ORIGINAL-feuille-1.csv, ligne 56</x:v>
      </x:c>
    </x:row>
    <x:row r="26" ht="22" customHeight="1">
      <x:c r="A26" s="1" t="str">
        <x:v>5190</x:v>
      </x:c>
      <x:c r="B26" s="1" t="str">
        <x:v>Subcontracts</x:v>
      </x:c>
      <x:c r="C26" s="7" t="d">
        <x:v>2024-12-02T12:00:00.000Z</x:v>
      </x:c>
      <x:c r="D26" s="1" t="str">
        <x:v>Anas Akli</x:v>
      </x:c>
      <x:c r="E26" s="1" t="str">
        <x:v>Cash</x:v>
      </x:c>
      <x:c r="F26" s="1" t="str">
        <x:v>J97</x:v>
      </x:c>
      <x:c r="G26" s="9" t="n">
        <x:v>260.92</x:v>
      </x:c>
      <x:c r="H26" s="9" t="n">
        <x:v>0</x:v>
      </x:c>
      <x:c r="I26" s="1" t="n">
        <x:v>57</x:v>
      </x:c>
      <x:c r="J26" s="1"/>
      <x:c r="K26" s="1" t="str">
        <x:v>GRAND-LIVRE-ORIGINAL-feuille-1.csv, ligne 57</x:v>
      </x:c>
    </x:row>
    <x:row r="27" ht="22" customHeight="1">
      <x:c r="A27" s="1" t="str">
        <x:v>5190</x:v>
      </x:c>
      <x:c r="B27" s="1" t="str">
        <x:v>Subcontracts</x:v>
      </x:c>
      <x:c r="C27" s="7" t="d">
        <x:v>2024-12-04T12:00:00.000Z</x:v>
      </x:c>
      <x:c r="D27" s="1" t="str">
        <x:v>Emilie</x:v>
      </x:c>
      <x:c r="E27" s="1" t="str">
        <x:v>Cash</x:v>
      </x:c>
      <x:c r="F27" s="1" t="str">
        <x:v>J102</x:v>
      </x:c>
      <x:c r="G27" s="9" t="n">
        <x:v>100</x:v>
      </x:c>
      <x:c r="H27" s="9" t="n">
        <x:v>0</x:v>
      </x:c>
      <x:c r="I27" s="1" t="n">
        <x:v>58</x:v>
      </x:c>
      <x:c r="J27" s="1"/>
      <x:c r="K27" s="1" t="str">
        <x:v>GRAND-LIVRE-ORIGINAL-feuille-1.csv, ligne 58</x:v>
      </x:c>
    </x:row>
    <x:row r="28" ht="22" customHeight="1">
      <x:c r="A28" s="1" t="str">
        <x:v>5190</x:v>
      </x:c>
      <x:c r="B28" s="1" t="str">
        <x:v>Subcontracts</x:v>
      </x:c>
      <x:c r="C28" s="7" t="d">
        <x:v>2024-12-05T12:00:00.000Z</x:v>
      </x:c>
      <x:c r="D28" s="1" t="str">
        <x:v>Emilie</x:v>
      </x:c>
      <x:c r="E28" s="1" t="str">
        <x:v>Cash</x:v>
      </x:c>
      <x:c r="F28" s="1" t="str">
        <x:v>J103</x:v>
      </x:c>
      <x:c r="G28" s="9" t="n">
        <x:v>45</x:v>
      </x:c>
      <x:c r="H28" s="9" t="n">
        <x:v>0</x:v>
      </x:c>
      <x:c r="I28" s="1" t="n">
        <x:v>59</x:v>
      </x:c>
      <x:c r="J28" s="1"/>
      <x:c r="K28" s="1" t="str">
        <x:v>GRAND-LIVRE-ORIGINAL-feuille-1.csv, ligne 59</x:v>
      </x:c>
    </x:row>
    <x:row r="29" ht="22" customHeight="1">
      <x:c r="A29" s="1" t="str">
        <x:v>5190</x:v>
      </x:c>
      <x:c r="B29" s="1" t="str">
        <x:v>Subcontracts</x:v>
      </x:c>
      <x:c r="C29" s="7" t="d">
        <x:v>2024-12-06T12:00:00.000Z</x:v>
      </x:c>
      <x:c r="D29" s="1" t="str">
        <x:v>ADJIA Karo Cyr</x:v>
      </x:c>
      <x:c r="E29" s="1" t="str">
        <x:v>Cash</x:v>
      </x:c>
      <x:c r="F29" s="1" t="str">
        <x:v>J106</x:v>
      </x:c>
      <x:c r="G29" s="9" t="n">
        <x:v>50</x:v>
      </x:c>
      <x:c r="H29" s="9" t="n">
        <x:v>0</x:v>
      </x:c>
      <x:c r="I29" s="1" t="n">
        <x:v>60</x:v>
      </x:c>
      <x:c r="J29" s="1"/>
      <x:c r="K29" s="1" t="str">
        <x:v>GRAND-LIVRE-ORIGINAL-feuille-1.csv, ligne 60</x:v>
      </x:c>
    </x:row>
    <x:row r="30" ht="22" customHeight="1">
      <x:c r="A30" s="1" t="str">
        <x:v>5190</x:v>
      </x:c>
      <x:c r="B30" s="1" t="str">
        <x:v>Subcontracts</x:v>
      </x:c>
      <x:c r="C30" s="7" t="d">
        <x:v>2024-12-06T12:00:00.000Z</x:v>
      </x:c>
      <x:c r="D30" s="1" t="str">
        <x:v>Emilie</x:v>
      </x:c>
      <x:c r="E30" s="1" t="str">
        <x:v>Cash</x:v>
      </x:c>
      <x:c r="F30" s="1" t="str">
        <x:v>J111</x:v>
      </x:c>
      <x:c r="G30" s="9" t="n">
        <x:v>40</x:v>
      </x:c>
      <x:c r="H30" s="9" t="n">
        <x:v>0</x:v>
      </x:c>
      <x:c r="I30" s="1" t="n">
        <x:v>61</x:v>
      </x:c>
      <x:c r="J30" s="1"/>
      <x:c r="K30" s="1" t="str">
        <x:v>GRAND-LIVRE-ORIGINAL-feuille-1.csv, ligne 61</x:v>
      </x:c>
    </x:row>
    <x:row r="31" ht="22" customHeight="1">
      <x:c r="A31" s="1" t="str">
        <x:v>5190</x:v>
      </x:c>
      <x:c r="B31" s="1" t="str">
        <x:v>Subcontracts</x:v>
      </x:c>
      <x:c r="C31" s="7" t="d">
        <x:v>2024-12-11T12:00:00.000Z</x:v>
      </x:c>
      <x:c r="D31" s="1" t="str">
        <x:v>Anas Akli</x:v>
      </x:c>
      <x:c r="E31" s="1" t="str">
        <x:v>Cash</x:v>
      </x:c>
      <x:c r="F31" s="1" t="str">
        <x:v>J119</x:v>
      </x:c>
      <x:c r="G31" s="9" t="n">
        <x:v>260.92</x:v>
      </x:c>
      <x:c r="H31" s="9" t="n">
        <x:v>0</x:v>
      </x:c>
      <x:c r="I31" s="1" t="n">
        <x:v>62</x:v>
      </x:c>
      <x:c r="J31" s="1"/>
      <x:c r="K31" s="1" t="str">
        <x:v>GRAND-LIVRE-ORIGINAL-feuille-1.csv, ligne 62</x:v>
      </x:c>
    </x:row>
    <x:row r="32" ht="22" customHeight="1">
      <x:c r="A32" s="1" t="str">
        <x:v>5190</x:v>
      </x:c>
      <x:c r="B32" s="1" t="str">
        <x:v>Subcontracts</x:v>
      </x:c>
      <x:c r="C32" s="7" t="d">
        <x:v>2024-12-11T12:00:00.000Z</x:v>
      </x:c>
      <x:c r="D32" s="1" t="str">
        <x:v>Anta</x:v>
      </x:c>
      <x:c r="E32" s="1" t="str">
        <x:v>Cash</x:v>
      </x:c>
      <x:c r="F32" s="1" t="str">
        <x:v>J120</x:v>
      </x:c>
      <x:c r="G32" s="9" t="n">
        <x:v>400</x:v>
      </x:c>
      <x:c r="H32" s="9" t="n">
        <x:v>0</x:v>
      </x:c>
      <x:c r="I32" s="1" t="n">
        <x:v>63</x:v>
      </x:c>
      <x:c r="J32" s="1"/>
      <x:c r="K32" s="1" t="str">
        <x:v>GRAND-LIVRE-ORIGINAL-feuille-1.csv, ligne 63</x:v>
      </x:c>
    </x:row>
    <x:row r="33" ht="22" customHeight="1">
      <x:c r="A33" s="1" t="str">
        <x:v>5190</x:v>
      </x:c>
      <x:c r="B33" s="1" t="str">
        <x:v>Subcontracts</x:v>
      </x:c>
      <x:c r="C33" s="7" t="d">
        <x:v>2024-12-11T12:00:00.000Z</x:v>
      </x:c>
      <x:c r="D33" s="1" t="str">
        <x:v>Cathy Wallace</x:v>
      </x:c>
      <x:c r="E33" s="1" t="str">
        <x:v>Cash</x:v>
      </x:c>
      <x:c r="F33" s="1" t="str">
        <x:v>J124</x:v>
      </x:c>
      <x:c r="G33" s="9" t="n">
        <x:v>1000</x:v>
      </x:c>
      <x:c r="H33" s="9" t="n">
        <x:v>0</x:v>
      </x:c>
      <x:c r="I33" s="1" t="n">
        <x:v>64</x:v>
      </x:c>
      <x:c r="J33" s="1"/>
      <x:c r="K33" s="1" t="str">
        <x:v>GRAND-LIVRE-ORIGINAL-feuille-1.csv, ligne 64</x:v>
      </x:c>
    </x:row>
    <x:row r="34" ht="22" customHeight="1">
      <x:c r="A34" s="1" t="str">
        <x:v>5190</x:v>
      </x:c>
      <x:c r="B34" s="1" t="str">
        <x:v>Subcontracts</x:v>
      </x:c>
      <x:c r="C34" s="7" t="d">
        <x:v>2024-12-12T12:00:00.000Z</x:v>
      </x:c>
      <x:c r="D34" s="1" t="str">
        <x:v>VIrginia</x:v>
      </x:c>
      <x:c r="E34" s="1" t="str">
        <x:v>Cash</x:v>
      </x:c>
      <x:c r="F34" s="1" t="str">
        <x:v>J132</x:v>
      </x:c>
      <x:c r="G34" s="9" t="n">
        <x:v>300</x:v>
      </x:c>
      <x:c r="H34" s="9" t="n">
        <x:v>0</x:v>
      </x:c>
      <x:c r="I34" s="1" t="n">
        <x:v>65</x:v>
      </x:c>
      <x:c r="J34" s="1"/>
      <x:c r="K34" s="1" t="str">
        <x:v>GRAND-LIVRE-ORIGINAL-feuille-1.csv, ligne 65</x:v>
      </x:c>
    </x:row>
    <x:row r="35" ht="22" customHeight="1">
      <x:c r="A35" s="1" t="str">
        <x:v>5190</x:v>
      </x:c>
      <x:c r="B35" s="1" t="str">
        <x:v>Subcontracts</x:v>
      </x:c>
      <x:c r="C35" s="7" t="d">
        <x:v>2024-12-12T12:00:00.000Z</x:v>
      </x:c>
      <x:c r="D35" s="1" t="str">
        <x:v>Emilie</x:v>
      </x:c>
      <x:c r="E35" s="1" t="str">
        <x:v>Cash</x:v>
      </x:c>
      <x:c r="F35" s="1" t="str">
        <x:v>J133</x:v>
      </x:c>
      <x:c r="G35" s="9" t="n">
        <x:v>100</x:v>
      </x:c>
      <x:c r="H35" s="9" t="n">
        <x:v>0</x:v>
      </x:c>
      <x:c r="I35" s="1" t="n">
        <x:v>66</x:v>
      </x:c>
      <x:c r="J35" s="1"/>
      <x:c r="K35" s="1" t="str">
        <x:v>GRAND-LIVRE-ORIGINAL-feuille-1.csv, ligne 66</x:v>
      </x:c>
    </x:row>
    <x:row r="36" ht="22" customHeight="1">
      <x:c r="A36" s="1" t="str">
        <x:v>5190</x:v>
      </x:c>
      <x:c r="B36" s="1" t="str">
        <x:v>Subcontracts</x:v>
      </x:c>
      <x:c r="C36" s="7" t="d">
        <x:v>2024-12-12T12:00:00.000Z</x:v>
      </x:c>
      <x:c r="D36" s="1" t="str">
        <x:v>Elly</x:v>
      </x:c>
      <x:c r="E36" s="1" t="str">
        <x:v>Cash</x:v>
      </x:c>
      <x:c r="F36" s="1" t="str">
        <x:v>J134</x:v>
      </x:c>
      <x:c r="G36" s="9" t="n">
        <x:v>110</x:v>
      </x:c>
      <x:c r="H36" s="9" t="n">
        <x:v>0</x:v>
      </x:c>
      <x:c r="I36" s="1" t="n">
        <x:v>67</x:v>
      </x:c>
      <x:c r="J36" s="1"/>
      <x:c r="K36" s="1" t="str">
        <x:v>GRAND-LIVRE-ORIGINAL-feuille-1.csv, ligne 67</x:v>
      </x:c>
    </x:row>
    <x:row r="37" ht="22" customHeight="1">
      <x:c r="A37" s="1" t="str">
        <x:v>5190</x:v>
      </x:c>
      <x:c r="B37" s="1" t="str">
        <x:v>Subcontracts</x:v>
      </x:c>
      <x:c r="C37" s="7" t="d">
        <x:v>2024-12-12T12:00:00.000Z</x:v>
      </x:c>
      <x:c r="D37" s="1" t="str">
        <x:v>Cathy Wallace</x:v>
      </x:c>
      <x:c r="E37" s="1" t="str">
        <x:v>Cash</x:v>
      </x:c>
      <x:c r="F37" s="1" t="str">
        <x:v>J136</x:v>
      </x:c>
      <x:c r="G37" s="9" t="n">
        <x:v>810</x:v>
      </x:c>
      <x:c r="H37" s="9" t="n">
        <x:v>0</x:v>
      </x:c>
      <x:c r="I37" s="1" t="n">
        <x:v>68</x:v>
      </x:c>
      <x:c r="J37" s="1"/>
      <x:c r="K37" s="1" t="str">
        <x:v>GRAND-LIVRE-ORIGINAL-feuille-1.csv, ligne 68</x:v>
      </x:c>
    </x:row>
    <x:row r="38" ht="22" customHeight="1">
      <x:c r="A38" s="1" t="str">
        <x:v>5190</x:v>
      </x:c>
      <x:c r="B38" s="1" t="str">
        <x:v>Subcontracts</x:v>
      </x:c>
      <x:c r="C38" s="7" t="d">
        <x:v>2024-12-19T12:00:00.000Z</x:v>
      </x:c>
      <x:c r="D38" s="1" t="str">
        <x:v>Emilie</x:v>
      </x:c>
      <x:c r="E38" s="1" t="str">
        <x:v>Cash</x:v>
      </x:c>
      <x:c r="F38" s="1" t="str">
        <x:v>J148</x:v>
      </x:c>
      <x:c r="G38" s="9" t="n">
        <x:v>100</x:v>
      </x:c>
      <x:c r="H38" s="9" t="n">
        <x:v>0</x:v>
      </x:c>
      <x:c r="I38" s="1" t="n">
        <x:v>69</x:v>
      </x:c>
      <x:c r="J38" s="1"/>
      <x:c r="K38" s="1" t="str">
        <x:v>GRAND-LIVRE-ORIGINAL-feuille-1.csv, ligne 69</x:v>
      </x:c>
    </x:row>
    <x:row r="39" ht="22" customHeight="1">
      <x:c r="A39" s="1" t="str">
        <x:v>5190</x:v>
      </x:c>
      <x:c r="B39" s="1" t="str">
        <x:v>Subcontracts</x:v>
      </x:c>
      <x:c r="C39" s="7" t="d">
        <x:v>2024-12-20T12:00:00.000Z</x:v>
      </x:c>
      <x:c r="D39" s="1" t="str">
        <x:v>Anas Akli</x:v>
      </x:c>
      <x:c r="E39" s="1" t="str">
        <x:v>Cash</x:v>
      </x:c>
      <x:c r="F39" s="1" t="str">
        <x:v>J154</x:v>
      </x:c>
      <x:c r="G39" s="9" t="n">
        <x:v>304.41</x:v>
      </x:c>
      <x:c r="H39" s="9" t="n">
        <x:v>0</x:v>
      </x:c>
      <x:c r="I39" s="1" t="n">
        <x:v>70</x:v>
      </x:c>
      <x:c r="J39" s="1"/>
      <x:c r="K39" s="1" t="str">
        <x:v>GRAND-LIVRE-ORIGINAL-feuille-1.csv, ligne 70</x:v>
      </x:c>
    </x:row>
    <x:row r="40" ht="22" customHeight="1">
      <x:c r="A40" s="1" t="str">
        <x:v>5190</x:v>
      </x:c>
      <x:c r="B40" s="1" t="str">
        <x:v>Subcontracts</x:v>
      </x:c>
      <x:c r="C40" s="7" t="d">
        <x:v>2024-12-20T12:00:00.000Z</x:v>
      </x:c>
      <x:c r="D40" s="1" t="str">
        <x:v>Anta</x:v>
      </x:c>
      <x:c r="E40" s="1" t="str">
        <x:v>Cash</x:v>
      </x:c>
      <x:c r="F40" s="1" t="str">
        <x:v>J155</x:v>
      </x:c>
      <x:c r="G40" s="9" t="n">
        <x:v>450</x:v>
      </x:c>
      <x:c r="H40" s="9" t="n">
        <x:v>0</x:v>
      </x:c>
      <x:c r="I40" s="1" t="n">
        <x:v>71</x:v>
      </x:c>
      <x:c r="J40" s="1"/>
      <x:c r="K40" s="1" t="str">
        <x:v>GRAND-LIVRE-ORIGINAL-feuille-1.csv, ligne 71</x:v>
      </x:c>
    </x:row>
    <x:row r="41" ht="22" customHeight="1">
      <x:c r="A41" s="1" t="str">
        <x:v>5190</x:v>
      </x:c>
      <x:c r="B41" s="1" t="str">
        <x:v>Subcontracts</x:v>
      </x:c>
      <x:c r="C41" s="7" t="d">
        <x:v>2024-12-25T12:00:00.000Z</x:v>
      </x:c>
      <x:c r="D41" s="1" t="str">
        <x:v>Emilie</x:v>
      </x:c>
      <x:c r="E41" s="1" t="str">
        <x:v>Cash</x:v>
      </x:c>
      <x:c r="F41" s="1" t="str">
        <x:v>J166</x:v>
      </x:c>
      <x:c r="G41" s="9" t="n">
        <x:v>50</x:v>
      </x:c>
      <x:c r="H41" s="9" t="n">
        <x:v>0</x:v>
      </x:c>
      <x:c r="I41" s="1" t="n">
        <x:v>72</x:v>
      </x:c>
      <x:c r="J41" s="1"/>
      <x:c r="K41" s="1" t="str">
        <x:v>GRAND-LIVRE-ORIGINAL-feuille-1.csv, ligne 72</x:v>
      </x:c>
    </x:row>
    <x:row r="42" ht="22" customHeight="1">
      <x:c r="A42" s="1" t="str">
        <x:v>5190</x:v>
      </x:c>
      <x:c r="B42" s="1" t="str">
        <x:v>Subcontracts</x:v>
      </x:c>
      <x:c r="C42" s="7" t="d">
        <x:v>2024-12-25T12:00:00.000Z</x:v>
      </x:c>
      <x:c r="D42" s="1" t="str">
        <x:v>Tony</x:v>
      </x:c>
      <x:c r="E42" s="1" t="str">
        <x:v>Cash</x:v>
      </x:c>
      <x:c r="F42" s="1" t="str">
        <x:v>J167</x:v>
      </x:c>
      <x:c r="G42" s="9" t="n">
        <x:v>50</x:v>
      </x:c>
      <x:c r="H42" s="9" t="n">
        <x:v>0</x:v>
      </x:c>
      <x:c r="I42" s="1" t="n">
        <x:v>73</x:v>
      </x:c>
      <x:c r="J42" s="1"/>
      <x:c r="K42" s="1" t="str">
        <x:v>GRAND-LIVRE-ORIGINAL-feuille-1.csv, ligne 73</x:v>
      </x:c>
    </x:row>
    <x:row r="43" ht="22" customHeight="1">
      <x:c r="A43" s="1" t="str">
        <x:v>5190</x:v>
      </x:c>
      <x:c r="B43" s="1" t="str">
        <x:v>Subcontracts</x:v>
      </x:c>
      <x:c r="C43" s="7" t="d">
        <x:v>2024-12-26T12:00:00.000Z</x:v>
      </x:c>
      <x:c r="D43" s="1" t="str">
        <x:v>Tony</x:v>
      </x:c>
      <x:c r="E43" s="1" t="str">
        <x:v>Cash</x:v>
      </x:c>
      <x:c r="F43" s="1" t="str">
        <x:v>J169</x:v>
      </x:c>
      <x:c r="G43" s="9" t="n">
        <x:v>50</x:v>
      </x:c>
      <x:c r="H43" s="9" t="n">
        <x:v>0</x:v>
      </x:c>
      <x:c r="I43" s="1" t="n">
        <x:v>74</x:v>
      </x:c>
      <x:c r="J43" s="1"/>
      <x:c r="K43" s="1" t="str">
        <x:v>GRAND-LIVRE-ORIGINAL-feuille-1.csv, ligne 74</x:v>
      </x:c>
    </x:row>
    <x:row r="44" ht="22" customHeight="1">
      <x:c r="A44" s="1" t="str">
        <x:v>5190</x:v>
      </x:c>
      <x:c r="B44" s="1" t="str">
        <x:v>Subcontracts</x:v>
      </x:c>
      <x:c r="C44" s="7" t="d">
        <x:v>2024-12-27T12:00:00.000Z</x:v>
      </x:c>
      <x:c r="D44" s="1" t="str">
        <x:v>Tony</x:v>
      </x:c>
      <x:c r="E44" s="1" t="str">
        <x:v>Cash</x:v>
      </x:c>
      <x:c r="F44" s="1" t="str">
        <x:v>J173</x:v>
      </x:c>
      <x:c r="G44" s="9" t="n">
        <x:v>50</x:v>
      </x:c>
      <x:c r="H44" s="9" t="n">
        <x:v>0</x:v>
      </x:c>
      <x:c r="I44" s="1" t="n">
        <x:v>75</x:v>
      </x:c>
      <x:c r="J44" s="1"/>
      <x:c r="K44" s="1" t="str">
        <x:v>GRAND-LIVRE-ORIGINAL-feuille-1.csv, ligne 75</x:v>
      </x:c>
    </x:row>
    <x:row r="45" ht="22" customHeight="1">
      <x:c r="A45" s="1" t="str">
        <x:v>5190</x:v>
      </x:c>
      <x:c r="B45" s="1" t="str">
        <x:v>Subcontracts</x:v>
      </x:c>
      <x:c r="C45" s="7" t="d">
        <x:v>2024-12-27T12:00:00.000Z</x:v>
      </x:c>
      <x:c r="D45" s="1" t="str">
        <x:v>Anta</x:v>
      </x:c>
      <x:c r="E45" s="1" t="str">
        <x:v>Cash</x:v>
      </x:c>
      <x:c r="F45" s="1" t="str">
        <x:v>J174</x:v>
      </x:c>
      <x:c r="G45" s="9" t="n">
        <x:v>450</x:v>
      </x:c>
      <x:c r="H45" s="9" t="n">
        <x:v>0</x:v>
      </x:c>
      <x:c r="I45" s="1" t="n">
        <x:v>76</x:v>
      </x:c>
      <x:c r="J45" s="1"/>
      <x:c r="K45" s="1" t="str">
        <x:v>GRAND-LIVRE-ORIGINAL-feuille-1.csv, ligne 76</x:v>
      </x:c>
    </x:row>
    <x:row r="46" ht="22" customHeight="1">
      <x:c r="A46" s="1" t="str">
        <x:v>5190</x:v>
      </x:c>
      <x:c r="B46" s="1" t="str">
        <x:v>Subcontracts</x:v>
      </x:c>
      <x:c r="C46" s="7" t="d">
        <x:v>2024-12-31T12:00:00.000Z</x:v>
      </x:c>
      <x:c r="D46" s="1" t="str">
        <x:v>Emilie</x:v>
      </x:c>
      <x:c r="E46" s="1" t="str">
        <x:v>Cash</x:v>
      </x:c>
      <x:c r="F46" s="1" t="str">
        <x:v>J185</x:v>
      </x:c>
      <x:c r="G46" s="9" t="n">
        <x:v>100</x:v>
      </x:c>
      <x:c r="H46" s="9" t="n">
        <x:v>0</x:v>
      </x:c>
      <x:c r="I46" s="1" t="n">
        <x:v>77</x:v>
      </x:c>
      <x:c r="J46" s="1"/>
      <x:c r="K46" s="1" t="str">
        <x:v>GRAND-LIVRE-ORIGINAL-feuille-1.csv, ligne 77</x:v>
      </x:c>
    </x:row>
    <x:row r="47" ht="22" customHeight="1">
      <x:c r="A47" s="1" t="str">
        <x:v>5190</x:v>
      </x:c>
      <x:c r="B47" s="1" t="str">
        <x:v>Subcontracts</x:v>
      </x:c>
      <x:c r="C47" s="7" t="d">
        <x:v>2025-01-01T12:00:00.000Z</x:v>
      </x:c>
      <x:c r="D47" s="1" t="str">
        <x:v>Tony</x:v>
      </x:c>
      <x:c r="E47" s="1" t="str">
        <x:v>Cash</x:v>
      </x:c>
      <x:c r="F47" s="1" t="str">
        <x:v>J191</x:v>
      </x:c>
      <x:c r="G47" s="9" t="n">
        <x:v>50</x:v>
      </x:c>
      <x:c r="H47" s="9" t="n">
        <x:v>0</x:v>
      </x:c>
      <x:c r="I47" s="1" t="n">
        <x:v>78</x:v>
      </x:c>
      <x:c r="J47" s="1"/>
      <x:c r="K47" s="1" t="str">
        <x:v>GRAND-LIVRE-ORIGINAL-feuille-1.csv, ligne 78</x:v>
      </x:c>
    </x:row>
    <x:row r="48" ht="22" customHeight="1">
      <x:c r="A48" s="1" t="str">
        <x:v>5190</x:v>
      </x:c>
      <x:c r="B48" s="1" t="str">
        <x:v>Subcontracts</x:v>
      </x:c>
      <x:c r="C48" s="7" t="d">
        <x:v>2025-01-02T12:00:00.000Z</x:v>
      </x:c>
      <x:c r="D48" s="1" t="str">
        <x:v>Tony</x:v>
      </x:c>
      <x:c r="E48" s="1" t="str">
        <x:v>Cash</x:v>
      </x:c>
      <x:c r="F48" s="1" t="str">
        <x:v>J193</x:v>
      </x:c>
      <x:c r="G48" s="9" t="n">
        <x:v>50</x:v>
      </x:c>
      <x:c r="H48" s="9" t="n">
        <x:v>0</x:v>
      </x:c>
      <x:c r="I48" s="1" t="n">
        <x:v>79</x:v>
      </x:c>
      <x:c r="J48" s="1"/>
      <x:c r="K48" s="1" t="str">
        <x:v>GRAND-LIVRE-ORIGINAL-feuille-1.csv, ligne 79</x:v>
      </x:c>
    </x:row>
    <x:row r="49" ht="22" customHeight="1">
      <x:c r="A49" s="1" t="str">
        <x:v>5190</x:v>
      </x:c>
      <x:c r="B49" s="1" t="str">
        <x:v>Subcontracts</x:v>
      </x:c>
      <x:c r="C49" s="7" t="d">
        <x:v>2025-01-03T12:00:00.000Z</x:v>
      </x:c>
      <x:c r="D49" s="1" t="str">
        <x:v>ADJIA Karo Cyr</x:v>
      </x:c>
      <x:c r="E49" s="1" t="str">
        <x:v>Cash</x:v>
      </x:c>
      <x:c r="F49" s="1" t="str">
        <x:v>J196</x:v>
      </x:c>
      <x:c r="G49" s="9" t="n">
        <x:v>100</x:v>
      </x:c>
      <x:c r="H49" s="9" t="n">
        <x:v>0</x:v>
      </x:c>
      <x:c r="I49" s="1" t="n">
        <x:v>80</x:v>
      </x:c>
      <x:c r="J49" s="1"/>
      <x:c r="K49" s="1" t="str">
        <x:v>GRAND-LIVRE-ORIGINAL-feuille-1.csv, ligne 80</x:v>
      </x:c>
    </x:row>
    <x:row r="50" ht="22" customHeight="1">
      <x:c r="A50" s="1" t="str">
        <x:v>5190</x:v>
      </x:c>
      <x:c r="B50" s="1" t="str">
        <x:v>Subcontracts</x:v>
      </x:c>
      <x:c r="C50" s="7" t="d">
        <x:v>2025-01-03T12:00:00.000Z</x:v>
      </x:c>
      <x:c r="D50" s="1" t="str">
        <x:v>Jessica</x:v>
      </x:c>
      <x:c r="E50" s="1" t="str">
        <x:v>Cash</x:v>
      </x:c>
      <x:c r="F50" s="1" t="str">
        <x:v>J197</x:v>
      </x:c>
      <x:c r="G50" s="9" t="n">
        <x:v>100</x:v>
      </x:c>
      <x:c r="H50" s="9" t="n">
        <x:v>0</x:v>
      </x:c>
      <x:c r="I50" s="1" t="n">
        <x:v>81</x:v>
      </x:c>
      <x:c r="J50" s="1"/>
      <x:c r="K50" s="1" t="str">
        <x:v>GRAND-LIVRE-ORIGINAL-feuille-1.csv, ligne 81</x:v>
      </x:c>
    </x:row>
    <x:row r="51" ht="22" customHeight="1">
      <x:c r="A51" s="1" t="str">
        <x:v>5190</x:v>
      </x:c>
      <x:c r="B51" s="1" t="str">
        <x:v>Subcontracts</x:v>
      </x:c>
      <x:c r="C51" s="7" t="d">
        <x:v>2025-01-03T12:00:00.000Z</x:v>
      </x:c>
      <x:c r="D51" s="1" t="str">
        <x:v>Tony</x:v>
      </x:c>
      <x:c r="E51" s="1" t="str">
        <x:v>Cash</x:v>
      </x:c>
      <x:c r="F51" s="1" t="str">
        <x:v>J198</x:v>
      </x:c>
      <x:c r="G51" s="9" t="n">
        <x:v>50</x:v>
      </x:c>
      <x:c r="H51" s="9" t="n">
        <x:v>0</x:v>
      </x:c>
      <x:c r="I51" s="1" t="n">
        <x:v>82</x:v>
      </x:c>
      <x:c r="J51" s="1"/>
      <x:c r="K51" s="1" t="str">
        <x:v>GRAND-LIVRE-ORIGINAL-feuille-1.csv, ligne 82</x:v>
      </x:c>
    </x:row>
    <x:row r="52" ht="22" customHeight="1">
      <x:c r="A52" s="1" t="str">
        <x:v>5190</x:v>
      </x:c>
      <x:c r="B52" s="1" t="str">
        <x:v>Subcontracts</x:v>
      </x:c>
      <x:c r="C52" s="7" t="d">
        <x:v>2025-01-03T12:00:00.000Z</x:v>
      </x:c>
      <x:c r="D52" s="1" t="str">
        <x:v>Anta</x:v>
      </x:c>
      <x:c r="E52" s="1" t="str">
        <x:v>Cash</x:v>
      </x:c>
      <x:c r="F52" s="1" t="str">
        <x:v>J199</x:v>
      </x:c>
      <x:c r="G52" s="9" t="n">
        <x:v>400</x:v>
      </x:c>
      <x:c r="H52" s="9" t="n">
        <x:v>0</x:v>
      </x:c>
      <x:c r="I52" s="1" t="n">
        <x:v>83</x:v>
      </x:c>
      <x:c r="J52" s="1"/>
      <x:c r="K52" s="1" t="str">
        <x:v>GRAND-LIVRE-ORIGINAL-feuille-1.csv, ligne 83</x:v>
      </x:c>
    </x:row>
    <x:row r="53" ht="22" customHeight="1">
      <x:c r="A53" s="1" t="str">
        <x:v>5190</x:v>
      </x:c>
      <x:c r="B53" s="1" t="str">
        <x:v>Subcontracts</x:v>
      </x:c>
      <x:c r="C53" s="7" t="d">
        <x:v>2025-01-03T12:00:00.000Z</x:v>
      </x:c>
      <x:c r="D53" s="1" t="str">
        <x:v>Tony</x:v>
      </x:c>
      <x:c r="E53" s="1" t="str">
        <x:v>Cash</x:v>
      </x:c>
      <x:c r="F53" s="1" t="str">
        <x:v>J205</x:v>
      </x:c>
      <x:c r="G53" s="9" t="n">
        <x:v>50</x:v>
      </x:c>
      <x:c r="H53" s="9" t="n">
        <x:v>0</x:v>
      </x:c>
      <x:c r="I53" s="1" t="n">
        <x:v>84</x:v>
      </x:c>
      <x:c r="J53" s="1"/>
      <x:c r="K53" s="1" t="str">
        <x:v>GRAND-LIVRE-ORIGINAL-feuille-1.csv, ligne 84</x:v>
      </x:c>
    </x:row>
    <x:row r="54" ht="22" customHeight="1">
      <x:c r="A54" s="1" t="str">
        <x:v>5190</x:v>
      </x:c>
      <x:c r="B54" s="1" t="str">
        <x:v>Subcontracts</x:v>
      </x:c>
      <x:c r="C54" s="7" t="d">
        <x:v>2025-01-03T12:00:00.000Z</x:v>
      </x:c>
      <x:c r="D54" s="1" t="str">
        <x:v>VIrginia</x:v>
      </x:c>
      <x:c r="E54" s="1" t="str">
        <x:v>Cash</x:v>
      </x:c>
      <x:c r="F54" s="1" t="str">
        <x:v>J210</x:v>
      </x:c>
      <x:c r="G54" s="9" t="n">
        <x:v>40</x:v>
      </x:c>
      <x:c r="H54" s="9" t="n">
        <x:v>0</x:v>
      </x:c>
      <x:c r="I54" s="1" t="n">
        <x:v>85</x:v>
      </x:c>
      <x:c r="J54" s="1"/>
      <x:c r="K54" s="1" t="str">
        <x:v>GRAND-LIVRE-ORIGINAL-feuille-1.csv, ligne 85</x:v>
      </x:c>
    </x:row>
    <x:row r="55" ht="22" customHeight="1">
      <x:c r="A55" s="1" t="str">
        <x:v>5190</x:v>
      </x:c>
      <x:c r="B55" s="1" t="str">
        <x:v>Subcontracts</x:v>
      </x:c>
      <x:c r="C55" s="7" t="d">
        <x:v>2025-01-06T12:00:00.000Z</x:v>
      </x:c>
      <x:c r="D55" s="1" t="str">
        <x:v>Tony</x:v>
      </x:c>
      <x:c r="E55" s="1" t="str">
        <x:v>Cash</x:v>
      </x:c>
      <x:c r="F55" s="1" t="str">
        <x:v>J211</x:v>
      </x:c>
      <x:c r="G55" s="9" t="n">
        <x:v>100</x:v>
      </x:c>
      <x:c r="H55" s="9" t="n">
        <x:v>0</x:v>
      </x:c>
      <x:c r="I55" s="1" t="n">
        <x:v>86</x:v>
      </x:c>
      <x:c r="J55" s="1"/>
      <x:c r="K55" s="1" t="str">
        <x:v>GRAND-LIVRE-ORIGINAL-feuille-1.csv, ligne 86</x:v>
      </x:c>
    </x:row>
    <x:row r="56" ht="22" customHeight="1">
      <x:c r="A56" s="1" t="str">
        <x:v>5190</x:v>
      </x:c>
      <x:c r="B56" s="1" t="str">
        <x:v>Subcontracts</x:v>
      </x:c>
      <x:c r="C56" s="7" t="d">
        <x:v>2025-01-08T12:00:00.000Z</x:v>
      </x:c>
      <x:c r="D56" s="1" t="str">
        <x:v>Tony</x:v>
      </x:c>
      <x:c r="E56" s="1" t="str">
        <x:v>Cash</x:v>
      </x:c>
      <x:c r="F56" s="1" t="str">
        <x:v>J223</x:v>
      </x:c>
      <x:c r="G56" s="9" t="n">
        <x:v>100</x:v>
      </x:c>
      <x:c r="H56" s="9" t="n">
        <x:v>0</x:v>
      </x:c>
      <x:c r="I56" s="1" t="n">
        <x:v>87</x:v>
      </x:c>
      <x:c r="J56" s="1"/>
      <x:c r="K56" s="1" t="str">
        <x:v>GRAND-LIVRE-ORIGINAL-feuille-1.csv, ligne 87</x:v>
      </x:c>
    </x:row>
    <x:row r="57" ht="22" customHeight="1">
      <x:c r="A57" s="1" t="str">
        <x:v>5190</x:v>
      </x:c>
      <x:c r="B57" s="1" t="str">
        <x:v>Subcontracts</x:v>
      </x:c>
      <x:c r="C57" s="7" t="d">
        <x:v>2025-01-10T12:00:00.000Z</x:v>
      </x:c>
      <x:c r="D57" s="1" t="str">
        <x:v>Tony</x:v>
      </x:c>
      <x:c r="E57" s="1" t="str">
        <x:v>Cash</x:v>
      </x:c>
      <x:c r="F57" s="1" t="str">
        <x:v>J236</x:v>
      </x:c>
      <x:c r="G57" s="9" t="n">
        <x:v>50</x:v>
      </x:c>
      <x:c r="H57" s="9" t="n">
        <x:v>0</x:v>
      </x:c>
      <x:c r="I57" s="1" t="n">
        <x:v>88</x:v>
      </x:c>
      <x:c r="J57" s="1"/>
      <x:c r="K57" s="1" t="str">
        <x:v>GRAND-LIVRE-ORIGINAL-feuille-1.csv, ligne 88</x:v>
      </x:c>
    </x:row>
    <x:row r="58" ht="22" customHeight="1">
      <x:c r="A58" s="1" t="str">
        <x:v>5190</x:v>
      </x:c>
      <x:c r="B58" s="1" t="str">
        <x:v>Subcontracts</x:v>
      </x:c>
      <x:c r="C58" s="7" t="d">
        <x:v>2025-01-10T12:00:00.000Z</x:v>
      </x:c>
      <x:c r="D58" s="1" t="str">
        <x:v>Jessica</x:v>
      </x:c>
      <x:c r="E58" s="1" t="str">
        <x:v>Cash</x:v>
      </x:c>
      <x:c r="F58" s="1" t="str">
        <x:v>J237</x:v>
      </x:c>
      <x:c r="G58" s="9" t="n">
        <x:v>100</x:v>
      </x:c>
      <x:c r="H58" s="9" t="n">
        <x:v>0</x:v>
      </x:c>
      <x:c r="I58" s="1" t="n">
        <x:v>89</x:v>
      </x:c>
      <x:c r="J58" s="1"/>
      <x:c r="K58" s="1" t="str">
        <x:v>GRAND-LIVRE-ORIGINAL-feuille-1.csv, ligne 89</x:v>
      </x:c>
    </x:row>
    <x:row r="59" ht="22" customHeight="1">
      <x:c r="A59" s="1" t="str">
        <x:v>5190</x:v>
      </x:c>
      <x:c r="B59" s="1" t="str">
        <x:v>Subcontracts</x:v>
      </x:c>
      <x:c r="C59" s="7" t="d">
        <x:v>2025-01-10T12:00:00.000Z</x:v>
      </x:c>
      <x:c r="D59" s="1" t="str">
        <x:v>Domingo</x:v>
      </x:c>
      <x:c r="E59" s="1" t="str">
        <x:v>Cash</x:v>
      </x:c>
      <x:c r="F59" s="1" t="str">
        <x:v>J238</x:v>
      </x:c>
      <x:c r="G59" s="9" t="n">
        <x:v>100</x:v>
      </x:c>
      <x:c r="H59" s="9" t="n">
        <x:v>0</x:v>
      </x:c>
      <x:c r="I59" s="1" t="n">
        <x:v>90</x:v>
      </x:c>
      <x:c r="J59" s="1"/>
      <x:c r="K59" s="1" t="str">
        <x:v>GRAND-LIVRE-ORIGINAL-feuille-1.csv, ligne 90</x:v>
      </x:c>
    </x:row>
    <x:row r="60" ht="22" customHeight="1">
      <x:c r="A60" s="1" t="str">
        <x:v>5190</x:v>
      </x:c>
      <x:c r="B60" s="1" t="str">
        <x:v>Subcontracts</x:v>
      </x:c>
      <x:c r="C60" s="7" t="d">
        <x:v>2025-01-10T12:00:00.000Z</x:v>
      </x:c>
      <x:c r="D60" s="1" t="str">
        <x:v>Tony</x:v>
      </x:c>
      <x:c r="E60" s="1" t="str">
        <x:v>Cash</x:v>
      </x:c>
      <x:c r="F60" s="1" t="str">
        <x:v>J239</x:v>
      </x:c>
      <x:c r="G60" s="9" t="n">
        <x:v>50</x:v>
      </x:c>
      <x:c r="H60" s="9" t="n">
        <x:v>0</x:v>
      </x:c>
      <x:c r="I60" s="1" t="n">
        <x:v>91</x:v>
      </x:c>
      <x:c r="J60" s="1"/>
      <x:c r="K60" s="1" t="str">
        <x:v>GRAND-LIVRE-ORIGINAL-feuille-1.csv, ligne 91</x:v>
      </x:c>
    </x:row>
    <x:row r="61" ht="22" customHeight="1">
      <x:c r="A61" s="1" t="str">
        <x:v>5190</x:v>
      </x:c>
      <x:c r="B61" s="1" t="str">
        <x:v>Subcontracts</x:v>
      </x:c>
      <x:c r="C61" s="7" t="d">
        <x:v>2025-01-10T12:00:00.000Z</x:v>
      </x:c>
      <x:c r="D61" s="1" t="str">
        <x:v>Anta</x:v>
      </x:c>
      <x:c r="E61" s="1" t="str">
        <x:v>Cash</x:v>
      </x:c>
      <x:c r="F61" s="1" t="str">
        <x:v>J240</x:v>
      </x:c>
      <x:c r="G61" s="9" t="n">
        <x:v>450</x:v>
      </x:c>
      <x:c r="H61" s="9" t="n">
        <x:v>0</x:v>
      </x:c>
      <x:c r="I61" s="1" t="n">
        <x:v>92</x:v>
      </x:c>
      <x:c r="J61" s="1"/>
      <x:c r="K61" s="1" t="str">
        <x:v>GRAND-LIVRE-ORIGINAL-feuille-1.csv, ligne 92</x:v>
      </x:c>
    </x:row>
    <x:row r="62" ht="22" customHeight="1">
      <x:c r="A62" s="1" t="str">
        <x:v>5190</x:v>
      </x:c>
      <x:c r="B62" s="1" t="str">
        <x:v>Subcontracts</x:v>
      </x:c>
      <x:c r="C62" s="7" t="d">
        <x:v>2025-01-17T12:00:00.000Z</x:v>
      </x:c>
      <x:c r="D62" s="1" t="str">
        <x:v>Jessica</x:v>
      </x:c>
      <x:c r="E62" s="1" t="str">
        <x:v>Cash</x:v>
      </x:c>
      <x:c r="F62" s="1" t="str">
        <x:v>J241</x:v>
      </x:c>
      <x:c r="G62" s="9" t="n">
        <x:v>100</x:v>
      </x:c>
      <x:c r="H62" s="9" t="n">
        <x:v>0</x:v>
      </x:c>
      <x:c r="I62" s="1" t="n">
        <x:v>93</x:v>
      </x:c>
      <x:c r="J62" s="1"/>
      <x:c r="K62" s="1" t="str">
        <x:v>GRAND-LIVRE-ORIGINAL-feuille-1.csv, ligne 93</x:v>
      </x:c>
    </x:row>
    <x:row r="63" ht="22" customHeight="1">
      <x:c r="A63" s="1" t="str">
        <x:v>5190</x:v>
      </x:c>
      <x:c r="B63" s="1" t="str">
        <x:v>Subcontracts</x:v>
      </x:c>
      <x:c r="C63" s="7" t="d">
        <x:v>2025-01-21T12:00:00.000Z</x:v>
      </x:c>
      <x:c r="D63" s="1" t="str">
        <x:v>Tony</x:v>
      </x:c>
      <x:c r="E63" s="1" t="str">
        <x:v>Cash</x:v>
      </x:c>
      <x:c r="F63" s="1" t="str">
        <x:v>J242</x:v>
      </x:c>
      <x:c r="G63" s="9" t="n">
        <x:v>100</x:v>
      </x:c>
      <x:c r="H63" s="9" t="n">
        <x:v>0</x:v>
      </x:c>
      <x:c r="I63" s="1" t="n">
        <x:v>94</x:v>
      </x:c>
      <x:c r="J63" s="1"/>
      <x:c r="K63" s="1" t="str">
        <x:v>GRAND-LIVRE-ORIGINAL-feuille-1.csv, ligne 94</x:v>
      </x:c>
    </x:row>
    <x:row r="64" ht="22" customHeight="1">
      <x:c r="A64" s="1" t="str">
        <x:v>5190</x:v>
      </x:c>
      <x:c r="B64" s="1" t="str">
        <x:v>Subcontracts</x:v>
      </x:c>
      <x:c r="C64" s="7" t="d">
        <x:v>2025-01-21T12:00:00.000Z</x:v>
      </x:c>
      <x:c r="D64" s="1" t="str">
        <x:v>Anta</x:v>
      </x:c>
      <x:c r="E64" s="1" t="str">
        <x:v>Cash</x:v>
      </x:c>
      <x:c r="F64" s="1" t="str">
        <x:v>J243</x:v>
      </x:c>
      <x:c r="G64" s="9" t="n">
        <x:v>50</x:v>
      </x:c>
      <x:c r="H64" s="9" t="n">
        <x:v>0</x:v>
      </x:c>
      <x:c r="I64" s="1" t="n">
        <x:v>95</x:v>
      </x:c>
      <x:c r="J64" s="1"/>
      <x:c r="K64" s="1" t="str">
        <x:v>GRAND-LIVRE-ORIGINAL-feuille-1.csv, ligne 95</x:v>
      </x:c>
    </x:row>
    <x:row r="65" ht="22" customHeight="1">
      <x:c r="A65" s="1" t="str">
        <x:v>5190</x:v>
      </x:c>
      <x:c r="B65" s="1" t="str">
        <x:v>Subcontracts</x:v>
      </x:c>
      <x:c r="C65" s="7" t="d">
        <x:v>2025-01-21T12:00:00.000Z</x:v>
      </x:c>
      <x:c r="D65" s="1" t="str">
        <x:v>Domingo</x:v>
      </x:c>
      <x:c r="E65" s="1" t="str">
        <x:v>Cash</x:v>
      </x:c>
      <x:c r="F65" s="1" t="str">
        <x:v>J244</x:v>
      </x:c>
      <x:c r="G65" s="9" t="n">
        <x:v>100</x:v>
      </x:c>
      <x:c r="H65" s="9" t="n">
        <x:v>0</x:v>
      </x:c>
      <x:c r="I65" s="1" t="n">
        <x:v>96</x:v>
      </x:c>
      <x:c r="J65" s="1"/>
      <x:c r="K65" s="1" t="str">
        <x:v>GRAND-LIVRE-ORIGINAL-feuille-1.csv, ligne 96</x:v>
      </x:c>
    </x:row>
    <x:row r="66" ht="22" customHeight="1">
      <x:c r="A66" s="1" t="str">
        <x:v>5190</x:v>
      </x:c>
      <x:c r="B66" s="1" t="str">
        <x:v>Subcontracts</x:v>
      </x:c>
      <x:c r="C66" s="7" t="d">
        <x:v>2025-01-28T12:00:00.000Z</x:v>
      </x:c>
      <x:c r="D66" s="1" t="str">
        <x:v>VIrginia</x:v>
      </x:c>
      <x:c r="E66" s="1" t="str">
        <x:v>Cash</x:v>
      </x:c>
      <x:c r="F66" s="1" t="str">
        <x:v>J247</x:v>
      </x:c>
      <x:c r="G66" s="9" t="n">
        <x:v>20</x:v>
      </x:c>
      <x:c r="H66" s="9" t="n">
        <x:v>0</x:v>
      </x:c>
      <x:c r="I66" s="1" t="n">
        <x:v>97</x:v>
      </x:c>
      <x:c r="J66" s="1"/>
      <x:c r="K66" s="1" t="str">
        <x:v>GRAND-LIVRE-ORIGINAL-feuille-1.csv, ligne 97</x:v>
      </x:c>
    </x:row>
    <x:row r="67" ht="22" customHeight="1">
      <x:c r="A67" s="1" t="str">
        <x:v>5190</x:v>
      </x:c>
      <x:c r="B67" s="1" t="str">
        <x:v>Subcontracts</x:v>
      </x:c>
      <x:c r="C67" s="7" t="d">
        <x:v>2025-02-05T12:00:00.000Z</x:v>
      </x:c>
      <x:c r="D67" s="1" t="str">
        <x:v>Anta</x:v>
      </x:c>
      <x:c r="E67" s="1" t="str">
        <x:v>Cash</x:v>
      </x:c>
      <x:c r="F67" s="1" t="str">
        <x:v>J276</x:v>
      </x:c>
      <x:c r="G67" s="9" t="n">
        <x:v>60</x:v>
      </x:c>
      <x:c r="H67" s="9" t="n">
        <x:v>0</x:v>
      </x:c>
      <x:c r="I67" s="1" t="n">
        <x:v>98</x:v>
      </x:c>
      <x:c r="J67" s="1"/>
      <x:c r="K67" s="1" t="str">
        <x:v>GRAND-LIVRE-ORIGINAL-feuille-1.csv, ligne 98</x:v>
      </x:c>
    </x:row>
    <x:row r="68" ht="22" customHeight="1">
      <x:c r="A68" s="1" t="str">
        <x:v>5190</x:v>
      </x:c>
      <x:c r="B68" s="1" t="str">
        <x:v>Subcontracts</x:v>
      </x:c>
      <x:c r="C68" s="7" t="d">
        <x:v>2025-02-13T12:00:00.000Z</x:v>
      </x:c>
      <x:c r="D68" s="1" t="str">
        <x:v>Anta</x:v>
      </x:c>
      <x:c r="E68" s="1" t="str">
        <x:v>Cash</x:v>
      </x:c>
      <x:c r="F68" s="1" t="str">
        <x:v>J278</x:v>
      </x:c>
      <x:c r="G68" s="9" t="n">
        <x:v>600</x:v>
      </x:c>
      <x:c r="H68" s="9" t="n">
        <x:v>0</x:v>
      </x:c>
      <x:c r="I68" s="1" t="n">
        <x:v>99</x:v>
      </x:c>
      <x:c r="J68" s="1"/>
      <x:c r="K68" s="1" t="str">
        <x:v>GRAND-LIVRE-ORIGINAL-feuille-1.csv, ligne 99</x:v>
      </x:c>
    </x:row>
    <x:row r="69" ht="22" customHeight="1">
      <x:c r="A69" s="1" t="str">
        <x:v>5190</x:v>
      </x:c>
      <x:c r="B69" s="1" t="str">
        <x:v>Subcontracts</x:v>
      </x:c>
      <x:c r="C69" s="7" t="d">
        <x:v>2025-02-13T12:00:00.000Z</x:v>
      </x:c>
      <x:c r="D69" s="1" t="str">
        <x:v>Jessica</x:v>
      </x:c>
      <x:c r="E69" s="1" t="str">
        <x:v>Cash</x:v>
      </x:c>
      <x:c r="F69" s="1" t="str">
        <x:v>J279</x:v>
      </x:c>
      <x:c r="G69" s="9" t="n">
        <x:v>100</x:v>
      </x:c>
      <x:c r="H69" s="9" t="n">
        <x:v>0</x:v>
      </x:c>
      <x:c r="I69" s="1" t="n">
        <x:v>100</x:v>
      </x:c>
      <x:c r="J69" s="1"/>
      <x:c r="K69" s="1" t="str">
        <x:v>GRAND-LIVRE-ORIGINAL-feuille-1.csv, ligne 100</x:v>
      </x:c>
    </x:row>
    <x:row r="70" ht="22" customHeight="1">
      <x:c r="A70" s="1" t="str">
        <x:v>5190</x:v>
      </x:c>
      <x:c r="B70" s="1" t="str">
        <x:v>Subcontracts</x:v>
      </x:c>
      <x:c r="C70" s="7" t="d">
        <x:v>2025-03-05T12:00:00.000Z</x:v>
      </x:c>
      <x:c r="D70" s="1" t="str">
        <x:v>Emilie</x:v>
      </x:c>
      <x:c r="E70" s="1" t="str">
        <x:v>Cash</x:v>
      </x:c>
      <x:c r="F70" s="1" t="str">
        <x:v>J284</x:v>
      </x:c>
      <x:c r="G70" s="9" t="n">
        <x:v>50</x:v>
      </x:c>
      <x:c r="H70" s="9" t="n">
        <x:v>0</x:v>
      </x:c>
      <x:c r="I70" s="1" t="n">
        <x:v>101</x:v>
      </x:c>
      <x:c r="J70" s="1"/>
      <x:c r="K70" s="1" t="str">
        <x:v>GRAND-LIVRE-ORIGINAL-feuille-1.csv, ligne 101</x:v>
      </x:c>
    </x:row>
    <x:row r="71" ht="22" customHeight="1">
      <x:c r="A71" s="1" t="str">
        <x:v>5190</x:v>
      </x:c>
      <x:c r="B71" s="1" t="str">
        <x:v>Subcontracts</x:v>
      </x:c>
      <x:c r="C71" s="7" t="d">
        <x:v>2025-03-06T12:00:00.000Z</x:v>
      </x:c>
      <x:c r="D71" s="1" t="str">
        <x:v>Emilie</x:v>
      </x:c>
      <x:c r="E71" s="1" t="str">
        <x:v>Cash</x:v>
      </x:c>
      <x:c r="F71" s="1" t="str">
        <x:v>J289</x:v>
      </x:c>
      <x:c r="G71" s="9" t="n">
        <x:v>300</x:v>
      </x:c>
      <x:c r="H71" s="9" t="n">
        <x:v>0</x:v>
      </x:c>
      <x:c r="I71" s="1" t="n">
        <x:v>102</x:v>
      </x:c>
      <x:c r="J71" s="1"/>
      <x:c r="K71" s="1" t="str">
        <x:v>GRAND-LIVRE-ORIGINAL-feuille-1.csv, ligne 102</x:v>
      </x:c>
    </x:row>
    <x:row r="72" ht="22" customHeight="1">
      <x:c r="A72" s="1" t="str">
        <x:v>5190</x:v>
      </x:c>
      <x:c r="B72" s="1" t="str">
        <x:v>Subcontracts</x:v>
      </x:c>
      <x:c r="C72" s="7" t="d">
        <x:v>2025-03-06T12:00:00.000Z</x:v>
      </x:c>
      <x:c r="D72" s="1" t="str">
        <x:v>VIrginia</x:v>
      </x:c>
      <x:c r="E72" s="1" t="str">
        <x:v>Cash</x:v>
      </x:c>
      <x:c r="F72" s="1" t="str">
        <x:v>J290</x:v>
      </x:c>
      <x:c r="G72" s="9" t="n">
        <x:v>100</x:v>
      </x:c>
      <x:c r="H72" s="9" t="n">
        <x:v>0</x:v>
      </x:c>
      <x:c r="I72" s="1" t="n">
        <x:v>103</x:v>
      </x:c>
      <x:c r="J72" s="1"/>
      <x:c r="K72" s="1" t="str">
        <x:v>GRAND-LIVRE-ORIGINAL-feuille-1.csv, ligne 103</x:v>
      </x:c>
    </x:row>
    <x:row r="73" ht="22" customHeight="1">
      <x:c r="A73" s="1" t="str">
        <x:v>5190</x:v>
      </x:c>
      <x:c r="B73" s="1" t="str">
        <x:v>Subcontracts</x:v>
      </x:c>
      <x:c r="C73" s="7" t="d">
        <x:v>2025-03-06T12:00:00.000Z</x:v>
      </x:c>
      <x:c r="D73" s="1" t="str">
        <x:v>Tony</x:v>
      </x:c>
      <x:c r="E73" s="1" t="str">
        <x:v>Cash</x:v>
      </x:c>
      <x:c r="F73" s="1" t="str">
        <x:v>J291</x:v>
      </x:c>
      <x:c r="G73" s="9" t="n">
        <x:v>20</x:v>
      </x:c>
      <x:c r="H73" s="9" t="n">
        <x:v>0</x:v>
      </x:c>
      <x:c r="I73" s="1" t="n">
        <x:v>104</x:v>
      </x:c>
      <x:c r="J73" s="1"/>
      <x:c r="K73" s="1" t="str">
        <x:v>GRAND-LIVRE-ORIGINAL-feuille-1.csv, ligne 104</x:v>
      </x:c>
    </x:row>
    <x:row r="74" ht="22" customHeight="1">
      <x:c r="A74" s="1" t="str">
        <x:v>5190</x:v>
      </x:c>
      <x:c r="B74" s="1" t="str">
        <x:v>Subcontracts</x:v>
      </x:c>
      <x:c r="C74" s="7" t="d">
        <x:v>2025-03-11T12:00:00.000Z</x:v>
      </x:c>
      <x:c r="D74" s="1" t="str">
        <x:v>Loikwesh</x:v>
      </x:c>
      <x:c r="E74" s="1" t="str">
        <x:v>Cash</x:v>
      </x:c>
      <x:c r="F74" s="1" t="str">
        <x:v>J293</x:v>
      </x:c>
      <x:c r="G74" s="9" t="n">
        <x:v>90</x:v>
      </x:c>
      <x:c r="H74" s="9" t="n">
        <x:v>0</x:v>
      </x:c>
      <x:c r="I74" s="1" t="n">
        <x:v>105</x:v>
      </x:c>
      <x:c r="J74" s="1"/>
      <x:c r="K74" s="1" t="str">
        <x:v>GRAND-LIVRE-ORIGINAL-feuille-1.csv, ligne 105</x:v>
      </x:c>
    </x:row>
    <x:row r="75" ht="22" customHeight="1">
      <x:c r="A75" s="1" t="str">
        <x:v>5190</x:v>
      </x:c>
      <x:c r="B75" s="1" t="str">
        <x:v>Subcontracts</x:v>
      </x:c>
      <x:c r="C75" s="7" t="d">
        <x:v>2025-03-11T12:00:00.000Z</x:v>
      </x:c>
      <x:c r="D75" s="1" t="str">
        <x:v>Emilie</x:v>
      </x:c>
      <x:c r="E75" s="1" t="str">
        <x:v>Cash</x:v>
      </x:c>
      <x:c r="F75" s="1" t="str">
        <x:v>J294</x:v>
      </x:c>
      <x:c r="G75" s="9" t="n">
        <x:v>30</x:v>
      </x:c>
      <x:c r="H75" s="9" t="n">
        <x:v>0</x:v>
      </x:c>
      <x:c r="I75" s="1" t="n">
        <x:v>106</x:v>
      </x:c>
      <x:c r="J75" s="1"/>
      <x:c r="K75" s="1" t="str">
        <x:v>GRAND-LIVRE-ORIGINAL-feuille-1.csv, ligne 106</x:v>
      </x:c>
    </x:row>
    <x:row r="76" ht="22" customHeight="1">
      <x:c r="A76" s="1" t="str">
        <x:v>5190</x:v>
      </x:c>
      <x:c r="B76" s="1" t="str">
        <x:v>Subcontracts</x:v>
      </x:c>
      <x:c r="C76" s="7" t="d">
        <x:v>2025-03-11T12:00:00.000Z</x:v>
      </x:c>
      <x:c r="D76" s="1" t="str">
        <x:v>Tony</x:v>
      </x:c>
      <x:c r="E76" s="1" t="str">
        <x:v>Cash</x:v>
      </x:c>
      <x:c r="F76" s="1" t="str">
        <x:v>J295</x:v>
      </x:c>
      <x:c r="G76" s="9" t="n">
        <x:v>40</x:v>
      </x:c>
      <x:c r="H76" s="9" t="n">
        <x:v>0</x:v>
      </x:c>
      <x:c r="I76" s="1" t="n">
        <x:v>107</x:v>
      </x:c>
      <x:c r="J76" s="1"/>
      <x:c r="K76" s="1" t="str">
        <x:v>GRAND-LIVRE-ORIGINAL-feuille-1.csv, ligne 107</x:v>
      </x:c>
    </x:row>
    <x:row r="77" ht="22" customHeight="1">
      <x:c r="A77" s="1" t="str">
        <x:v>5190</x:v>
      </x:c>
      <x:c r="B77" s="1" t="str">
        <x:v>Subcontracts</x:v>
      </x:c>
      <x:c r="C77" s="7" t="d">
        <x:v>2025-03-11T12:00:00.000Z</x:v>
      </x:c>
      <x:c r="D77" s="1" t="str">
        <x:v>Christine</x:v>
      </x:c>
      <x:c r="E77" s="1" t="str">
        <x:v>Cash</x:v>
      </x:c>
      <x:c r="F77" s="1" t="str">
        <x:v>J296</x:v>
      </x:c>
      <x:c r="G77" s="9" t="n">
        <x:v>50</x:v>
      </x:c>
      <x:c r="H77" s="9" t="n">
        <x:v>0</x:v>
      </x:c>
      <x:c r="I77" s="1" t="n">
        <x:v>108</x:v>
      </x:c>
      <x:c r="J77" s="1"/>
      <x:c r="K77" s="1" t="str">
        <x:v>GRAND-LIVRE-ORIGINAL-feuille-1.csv, ligne 108</x:v>
      </x:c>
    </x:row>
    <x:row r="78" ht="22" customHeight="1">
      <x:c r="A78" s="1" t="str">
        <x:v>5190</x:v>
      </x:c>
      <x:c r="B78" s="1" t="str">
        <x:v>Subcontracts</x:v>
      </x:c>
      <x:c r="C78" s="7" t="d">
        <x:v>2025-03-13T12:00:00.000Z</x:v>
      </x:c>
      <x:c r="D78" s="1" t="str">
        <x:v>Anta</x:v>
      </x:c>
      <x:c r="E78" s="1" t="str">
        <x:v>Cash</x:v>
      </x:c>
      <x:c r="F78" s="1" t="str">
        <x:v>J297</x:v>
      </x:c>
      <x:c r="G78" s="9" t="n">
        <x:v>800</x:v>
      </x:c>
      <x:c r="H78" s="9" t="n">
        <x:v>0</x:v>
      </x:c>
      <x:c r="I78" s="1" t="n">
        <x:v>109</x:v>
      </x:c>
      <x:c r="J78" s="1"/>
      <x:c r="K78" s="1" t="str">
        <x:v>GRAND-LIVRE-ORIGINAL-feuille-1.csv, ligne 109</x:v>
      </x:c>
    </x:row>
    <x:row r="79" ht="22" customHeight="1">
      <x:c r="A79" s="1" t="str">
        <x:v>5190</x:v>
      </x:c>
      <x:c r="B79" s="1" t="str">
        <x:v>Subcontracts</x:v>
      </x:c>
      <x:c r="C79" s="7" t="d">
        <x:v>2025-03-21T12:00:00.000Z</x:v>
      </x:c>
      <x:c r="D79" s="1" t="str">
        <x:v>Jessica</x:v>
      </x:c>
      <x:c r="E79" s="1" t="str">
        <x:v>Cash</x:v>
      </x:c>
      <x:c r="F79" s="1" t="str">
        <x:v>J300</x:v>
      </x:c>
      <x:c r="G79" s="9" t="n">
        <x:v>30</x:v>
      </x:c>
      <x:c r="H79" s="9" t="n">
        <x:v>0</x:v>
      </x:c>
      <x:c r="I79" s="1" t="n">
        <x:v>110</x:v>
      </x:c>
      <x:c r="J79" s="1"/>
      <x:c r="K79" s="1" t="str">
        <x:v>GRAND-LIVRE-ORIGINAL-feuille-1.csv, ligne 110</x:v>
      </x:c>
    </x:row>
    <x:row r="80" ht="22" customHeight="1">
      <x:c r="A80" s="1" t="str">
        <x:v>5190</x:v>
      </x:c>
      <x:c r="B80" s="1" t="str">
        <x:v>Subcontracts</x:v>
      </x:c>
      <x:c r="C80" s="7" t="d">
        <x:v>2025-04-10T12:00:00.000Z</x:v>
      </x:c>
      <x:c r="D80" s="1" t="str">
        <x:v>Anta</x:v>
      </x:c>
      <x:c r="E80" s="1" t="str">
        <x:v>Cash</x:v>
      </x:c>
      <x:c r="F80" s="1" t="str">
        <x:v>J306</x:v>
      </x:c>
      <x:c r="G80" s="9" t="n">
        <x:v>500</x:v>
      </x:c>
      <x:c r="H80" s="9" t="n">
        <x:v>0</x:v>
      </x:c>
      <x:c r="I80" s="1" t="n">
        <x:v>111</x:v>
      </x:c>
      <x:c r="J80" s="1"/>
      <x:c r="K80" s="1" t="str">
        <x:v>GRAND-LIVRE-ORIGINAL-feuille-1.csv, ligne 111</x:v>
      </x:c>
    </x:row>
    <x:row r="81" ht="22" customHeight="1">
      <x:c r="A81" s="1" t="str">
        <x:v>5200</x:v>
      </x:c>
      <x:c r="B81" s="1" t="str">
        <x:v>Purchases</x:v>
      </x:c>
      <x:c r="C81" s="7" t="d">
        <x:v>2024-07-01T12:00:00.000Z</x:v>
      </x:c>
      <x:c r="D81" s="1" t="str">
        <x:v>Sysco</x:v>
      </x:c>
      <x:c r="E81" s="1" t="str">
        <x:v>Cash</x:v>
      </x:c>
      <x:c r="F81" s="1" t="str">
        <x:v>J330</x:v>
      </x:c>
      <x:c r="G81" s="9" t="n">
        <x:v>8677.76</x:v>
      </x:c>
      <x:c r="H81" s="9" t="n">
        <x:v>0</x:v>
      </x:c>
      <x:c r="I81" s="1" t="n">
        <x:v>115</x:v>
      </x:c>
      <x:c r="J81" s="1"/>
      <x:c r="K81" s="1" t="str">
        <x:v>GRAND-LIVRE-ORIGINAL-feuille-1.csv, ligne 115</x:v>
      </x:c>
    </x:row>
    <x:row r="82" ht="22" customHeight="1">
      <x:c r="A82" s="1" t="str">
        <x:v>5200</x:v>
      </x:c>
      <x:c r="B82" s="1" t="str">
        <x:v>Purchases</x:v>
      </x:c>
      <x:c r="C82" s="7" t="d">
        <x:v>2024-07-01T12:00:00.000Z</x:v>
      </x:c>
      <x:c r="D82" s="1" t="str">
        <x:v>Sysco</x:v>
      </x:c>
      <x:c r="E82" s="1" t="str">
        <x:v>Cash</x:v>
      </x:c>
      <x:c r="F82" s="1" t="str">
        <x:v>J331</x:v>
      </x:c>
      <x:c r="G82" s="9" t="n">
        <x:v>6625.71</x:v>
      </x:c>
      <x:c r="H82" s="9" t="n">
        <x:v>0</x:v>
      </x:c>
      <x:c r="I82" s="1" t="n">
        <x:v>116</x:v>
      </x:c>
      <x:c r="J82" s="1"/>
      <x:c r="K82" s="1" t="str">
        <x:v>GRAND-LIVRE-ORIGINAL-feuille-1.csv, ligne 116</x:v>
      </x:c>
    </x:row>
    <x:row r="83" ht="22" customHeight="1">
      <x:c r="A83" s="1" t="str">
        <x:v>5200</x:v>
      </x:c>
      <x:c r="B83" s="1" t="str">
        <x:v>Purchases</x:v>
      </x:c>
      <x:c r="C83" s="7" t="d">
        <x:v>2024-07-01T12:00:00.000Z</x:v>
      </x:c>
      <x:c r="D83" s="1" t="str">
        <x:v>Sysco</x:v>
      </x:c>
      <x:c r="E83" s="1" t="str">
        <x:v>Cash</x:v>
      </x:c>
      <x:c r="F83" s="1" t="str">
        <x:v>J332</x:v>
      </x:c>
      <x:c r="G83" s="9" t="n">
        <x:v>6548.08</x:v>
      </x:c>
      <x:c r="H83" s="9" t="n">
        <x:v>0</x:v>
      </x:c>
      <x:c r="I83" s="1" t="n">
        <x:v>117</x:v>
      </x:c>
      <x:c r="J83" s="1"/>
      <x:c r="K83" s="1" t="str">
        <x:v>GRAND-LIVRE-ORIGINAL-feuille-1.csv, ligne 117</x:v>
      </x:c>
    </x:row>
    <x:row r="84" ht="22" customHeight="1">
      <x:c r="A84" s="1" t="str">
        <x:v>5200</x:v>
      </x:c>
      <x:c r="B84" s="1" t="str">
        <x:v>Purchases</x:v>
      </x:c>
      <x:c r="C84" s="7" t="d">
        <x:v>2024-07-01T12:00:00.000Z</x:v>
      </x:c>
      <x:c r="D84" s="1" t="str">
        <x:v>Sysco</x:v>
      </x:c>
      <x:c r="E84" s="1" t="str">
        <x:v>Cash</x:v>
      </x:c>
      <x:c r="F84" s="1" t="str">
        <x:v>J333</x:v>
      </x:c>
      <x:c r="G84" s="9" t="n">
        <x:v>3170.39</x:v>
      </x:c>
      <x:c r="H84" s="9" t="n">
        <x:v>0</x:v>
      </x:c>
      <x:c r="I84" s="1" t="n">
        <x:v>118</x:v>
      </x:c>
      <x:c r="J84" s="1"/>
      <x:c r="K84" s="1" t="str">
        <x:v>GRAND-LIVRE-ORIGINAL-feuille-1.csv, ligne 118</x:v>
      </x:c>
    </x:row>
    <x:row r="85" ht="22" customHeight="1">
      <x:c r="A85" s="1" t="str">
        <x:v>5200</x:v>
      </x:c>
      <x:c r="B85" s="1" t="str">
        <x:v>Purchases</x:v>
      </x:c>
      <x:c r="C85" s="7" t="d">
        <x:v>2024-07-01T12:00:00.000Z</x:v>
      </x:c>
      <x:c r="D85" s="1" t="str">
        <x:v>Sysco</x:v>
      </x:c>
      <x:c r="E85" s="1" t="str">
        <x:v>Cash</x:v>
      </x:c>
      <x:c r="F85" s="1" t="str">
        <x:v>J334</x:v>
      </x:c>
      <x:c r="G85" s="9" t="n">
        <x:v>4411.06</x:v>
      </x:c>
      <x:c r="H85" s="9" t="n">
        <x:v>0</x:v>
      </x:c>
      <x:c r="I85" s="1" t="n">
        <x:v>119</x:v>
      </x:c>
      <x:c r="J85" s="1"/>
      <x:c r="K85" s="1" t="str">
        <x:v>GRAND-LIVRE-ORIGINAL-feuille-1.csv, ligne 119</x:v>
      </x:c>
    </x:row>
    <x:row r="86" ht="22" customHeight="1">
      <x:c r="A86" s="1" t="str">
        <x:v>5200</x:v>
      </x:c>
      <x:c r="B86" s="1" t="str">
        <x:v>Purchases</x:v>
      </x:c>
      <x:c r="C86" s="7" t="d">
        <x:v>2024-07-01T12:00:00.000Z</x:v>
      </x:c>
      <x:c r="D86" s="1" t="str">
        <x:v>Sysco</x:v>
      </x:c>
      <x:c r="E86" s="1" t="str">
        <x:v>Cash</x:v>
      </x:c>
      <x:c r="F86" s="1" t="str">
        <x:v>J335</x:v>
      </x:c>
      <x:c r="G86" s="9" t="n">
        <x:v>5086.03</x:v>
      </x:c>
      <x:c r="H86" s="9" t="n">
        <x:v>0</x:v>
      </x:c>
      <x:c r="I86" s="1" t="n">
        <x:v>120</x:v>
      </x:c>
      <x:c r="J86" s="1"/>
      <x:c r="K86" s="1" t="str">
        <x:v>GRAND-LIVRE-ORIGINAL-feuille-1.csv, ligne 120</x:v>
      </x:c>
    </x:row>
    <x:row r="87" ht="22" customHeight="1">
      <x:c r="A87" s="1" t="str">
        <x:v>5200</x:v>
      </x:c>
      <x:c r="B87" s="1" t="str">
        <x:v>Purchases</x:v>
      </x:c>
      <x:c r="C87" s="7" t="d">
        <x:v>2024-07-01T12:00:00.000Z</x:v>
      </x:c>
      <x:c r="D87" s="1" t="str">
        <x:v>Sysco</x:v>
      </x:c>
      <x:c r="E87" s="1" t="str">
        <x:v>Cash</x:v>
      </x:c>
      <x:c r="F87" s="1" t="str">
        <x:v>J336</x:v>
      </x:c>
      <x:c r="G87" s="9" t="n">
        <x:v>11581.72</x:v>
      </x:c>
      <x:c r="H87" s="9" t="n">
        <x:v>0</x:v>
      </x:c>
      <x:c r="I87" s="1" t="n">
        <x:v>121</x:v>
      </x:c>
      <x:c r="J87" s="1"/>
      <x:c r="K87" s="1" t="str">
        <x:v>GRAND-LIVRE-ORIGINAL-feuille-1.csv, ligne 121</x:v>
      </x:c>
    </x:row>
    <x:row r="88" ht="22" customHeight="1">
      <x:c r="A88" s="1" t="str">
        <x:v>5200</x:v>
      </x:c>
      <x:c r="B88" s="1" t="str">
        <x:v>Purchases</x:v>
      </x:c>
      <x:c r="C88" s="7" t="d">
        <x:v>2024-07-01T12:00:00.000Z</x:v>
      </x:c>
      <x:c r="D88" s="1" t="str">
        <x:v>Sysco</x:v>
      </x:c>
      <x:c r="E88" s="1" t="str">
        <x:v>Cash</x:v>
      </x:c>
      <x:c r="F88" s="1" t="str">
        <x:v>J337</x:v>
      </x:c>
      <x:c r="G88" s="9" t="n">
        <x:v>9907.11</x:v>
      </x:c>
      <x:c r="H88" s="9" t="n">
        <x:v>0</x:v>
      </x:c>
      <x:c r="I88" s="1" t="n">
        <x:v>122</x:v>
      </x:c>
      <x:c r="J88" s="1"/>
      <x:c r="K88" s="1" t="str">
        <x:v>GRAND-LIVRE-ORIGINAL-feuille-1.csv, ligne 122</x:v>
      </x:c>
    </x:row>
    <x:row r="89" ht="22" customHeight="1">
      <x:c r="A89" s="1" t="str">
        <x:v>5200</x:v>
      </x:c>
      <x:c r="B89" s="1" t="str">
        <x:v>Purchases</x:v>
      </x:c>
      <x:c r="C89" s="7" t="d">
        <x:v>2024-07-01T12:00:00.000Z</x:v>
      </x:c>
      <x:c r="D89" s="1" t="str">
        <x:v>Sysco</x:v>
      </x:c>
      <x:c r="E89" s="1" t="str">
        <x:v>Cash</x:v>
      </x:c>
      <x:c r="F89" s="1" t="str">
        <x:v>J339</x:v>
      </x:c>
      <x:c r="G89" s="9" t="n">
        <x:v>749.05</x:v>
      </x:c>
      <x:c r="H89" s="9" t="n">
        <x:v>0</x:v>
      </x:c>
      <x:c r="I89" s="1" t="n">
        <x:v>123</x:v>
      </x:c>
      <x:c r="J89" s="1"/>
      <x:c r="K89" s="1" t="str">
        <x:v>GRAND-LIVRE-ORIGINAL-feuille-1.csv, ligne 123</x:v>
      </x:c>
    </x:row>
    <x:row r="90" ht="22" customHeight="1">
      <x:c r="A90" s="1" t="str">
        <x:v>5200</x:v>
      </x:c>
      <x:c r="B90" s="1" t="str">
        <x:v>Purchases</x:v>
      </x:c>
      <x:c r="C90" s="7" t="d">
        <x:v>2024-07-01T12:00:00.000Z</x:v>
      </x:c>
      <x:c r="D90" s="1" t="str">
        <x:v>nexus</x:v>
      </x:c>
      <x:c r="E90" s="1" t="str">
        <x:v>Cash</x:v>
      </x:c>
      <x:c r="F90" s="1" t="str">
        <x:v>J340</x:v>
      </x:c>
      <x:c r="G90" s="9" t="n">
        <x:v>256</x:v>
      </x:c>
      <x:c r="H90" s="9" t="n">
        <x:v>0</x:v>
      </x:c>
      <x:c r="I90" s="1" t="n">
        <x:v>124</x:v>
      </x:c>
      <x:c r="J90" s="1"/>
      <x:c r="K90" s="1" t="str">
        <x:v>GRAND-LIVRE-ORIGINAL-feuille-1.csv, ligne 124</x:v>
      </x:c>
    </x:row>
    <x:row r="91" ht="22" customHeight="1">
      <x:c r="A91" s="1" t="str">
        <x:v>5200</x:v>
      </x:c>
      <x:c r="B91" s="1" t="str">
        <x:v>Purchases</x:v>
      </x:c>
      <x:c r="C91" s="7" t="d">
        <x:v>2024-08-08T12:00:00.000Z</x:v>
      </x:c>
      <x:c r="D91" s="1" t="str">
        <x:v>Flechere Bonin</x:v>
      </x:c>
      <x:c r="E91" s="1" t="str">
        <x:v>Cash</x:v>
      </x:c>
      <x:c r="F91" s="1" t="str">
        <x:v>J24</x:v>
      </x:c>
      <x:c r="G91" s="9" t="n">
        <x:v>510.98</x:v>
      </x:c>
      <x:c r="H91" s="9" t="n">
        <x:v>0</x:v>
      </x:c>
      <x:c r="I91" s="1" t="n">
        <x:v>125</x:v>
      </x:c>
      <x:c r="J91" s="1"/>
      <x:c r="K91" s="1" t="str">
        <x:v>GRAND-LIVRE-ORIGINAL-feuille-1.csv, ligne 125</x:v>
      </x:c>
    </x:row>
    <x:row r="92" ht="22" customHeight="1">
      <x:c r="A92" s="1" t="str">
        <x:v>5200</x:v>
      </x:c>
      <x:c r="B92" s="1" t="str">
        <x:v>Purchases</x:v>
      </x:c>
      <x:c r="C92" s="7" t="d">
        <x:v>2024-09-01T12:00:00.000Z</x:v>
      </x:c>
      <x:c r="D92" s="1" t="str">
        <x:v>Scc Auger</x:v>
      </x:c>
      <x:c r="E92" s="1" t="str">
        <x:v>Cash</x:v>
      </x:c>
      <x:c r="F92" s="1" t="str">
        <x:v>J354</x:v>
      </x:c>
      <x:c r="G92" s="9" t="n">
        <x:v>118.74</x:v>
      </x:c>
      <x:c r="H92" s="9" t="n">
        <x:v>0</x:v>
      </x:c>
      <x:c r="I92" s="1" t="n">
        <x:v>126</x:v>
      </x:c>
      <x:c r="J92" s="1"/>
      <x:c r="K92" s="1" t="str">
        <x:v>GRAND-LIVRE-ORIGINAL-feuille-1.csv, ligne 126</x:v>
      </x:c>
    </x:row>
    <x:row r="93" ht="22" customHeight="1">
      <x:c r="A93" s="1" t="str">
        <x:v>5200</x:v>
      </x:c>
      <x:c r="B93" s="1" t="str">
        <x:v>Purchases</x:v>
      </x:c>
      <x:c r="C93" s="7" t="d">
        <x:v>2024-10-01T12:00:00.000Z</x:v>
      </x:c>
      <x:c r="D93" s="1" t="str">
        <x:v>Amazon.ca</x:v>
      </x:c>
      <x:c r="E93" s="1" t="str">
        <x:v>Cash</x:v>
      </x:c>
      <x:c r="F93" s="1" t="str">
        <x:v>J357</x:v>
      </x:c>
      <x:c r="G93" s="9" t="n">
        <x:v>1043.7</x:v>
      </x:c>
      <x:c r="H93" s="9" t="n">
        <x:v>0</x:v>
      </x:c>
      <x:c r="I93" s="1" t="n">
        <x:v>127</x:v>
      </x:c>
      <x:c r="J93" s="1"/>
      <x:c r="K93" s="1" t="str">
        <x:v>GRAND-LIVRE-ORIGINAL-feuille-1.csv, ligne 127</x:v>
      </x:c>
    </x:row>
    <x:row r="94" ht="22" customHeight="1">
      <x:c r="A94" s="1" t="str">
        <x:v>5200</x:v>
      </x:c>
      <x:c r="B94" s="1" t="str">
        <x:v>Purchases</x:v>
      </x:c>
      <x:c r="C94" s="7" t="d">
        <x:v>2024-10-01T12:00:00.000Z</x:v>
      </x:c>
      <x:c r="D94" s="1" t="str">
        <x:v>Sinco</x:v>
      </x:c>
      <x:c r="E94" s="1" t="str">
        <x:v>Cash</x:v>
      </x:c>
      <x:c r="F94" s="1" t="str">
        <x:v>J359</x:v>
      </x:c>
      <x:c r="G94" s="9" t="n">
        <x:v>13857.79</x:v>
      </x:c>
      <x:c r="H94" s="9" t="n">
        <x:v>0</x:v>
      </x:c>
      <x:c r="I94" s="1" t="n">
        <x:v>128</x:v>
      </x:c>
      <x:c r="J94" s="1"/>
      <x:c r="K94" s="1" t="str">
        <x:v>GRAND-LIVRE-ORIGINAL-feuille-1.csv, ligne 128</x:v>
      </x:c>
    </x:row>
    <x:row r="95" ht="22" customHeight="1">
      <x:c r="A95" s="1" t="str">
        <x:v>5200</x:v>
      </x:c>
      <x:c r="B95" s="1" t="str">
        <x:v>Purchases</x:v>
      </x:c>
      <x:c r="C95" s="7" t="d">
        <x:v>2024-11-01T12:00:00.000Z</x:v>
      </x:c>
      <x:c r="D95" s="1" t="str">
        <x:v>Les Soeurs en Vrac</x:v>
      </x:c>
      <x:c r="E95" s="1" t="str">
        <x:v>Cash</x:v>
      </x:c>
      <x:c r="F95" s="1" t="str">
        <x:v>J362</x:v>
      </x:c>
      <x:c r="G95" s="9" t="n">
        <x:v>809.88</x:v>
      </x:c>
      <x:c r="H95" s="9" t="n">
        <x:v>0</x:v>
      </x:c>
      <x:c r="I95" s="1" t="n">
        <x:v>129</x:v>
      </x:c>
      <x:c r="J95" s="1"/>
      <x:c r="K95" s="1" t="str">
        <x:v>GRAND-LIVRE-ORIGINAL-feuille-1.csv, ligne 129</x:v>
      </x:c>
    </x:row>
    <x:row r="96" ht="22" customHeight="1">
      <x:c r="A96" s="1" t="str">
        <x:v>5200</x:v>
      </x:c>
      <x:c r="B96" s="1" t="str">
        <x:v>Purchases</x:v>
      </x:c>
      <x:c r="C96" s="7" t="d">
        <x:v>2024-11-01T12:00:00.000Z</x:v>
      </x:c>
      <x:c r="D96" s="1" t="str">
        <x:v>We Go Trade</x:v>
      </x:c>
      <x:c r="E96" s="1" t="str">
        <x:v>Cash</x:v>
      </x:c>
      <x:c r="F96" s="1" t="str">
        <x:v>J363</x:v>
      </x:c>
      <x:c r="G96" s="9" t="n">
        <x:v>445.14</x:v>
      </x:c>
      <x:c r="H96" s="9" t="n">
        <x:v>0</x:v>
      </x:c>
      <x:c r="I96" s="1" t="n">
        <x:v>130</x:v>
      </x:c>
      <x:c r="J96" s="1"/>
      <x:c r="K96" s="1" t="str">
        <x:v>GRAND-LIVRE-ORIGINAL-feuille-1.csv, ligne 130</x:v>
      </x:c>
    </x:row>
    <x:row r="97" ht="22" customHeight="1">
      <x:c r="A97" s="1" t="str">
        <x:v>5200</x:v>
      </x:c>
      <x:c r="B97" s="1" t="str">
        <x:v>Purchases</x:v>
      </x:c>
      <x:c r="C97" s="7" t="d">
        <x:v>2024-11-01T12:00:00.000Z</x:v>
      </x:c>
      <x:c r="D97" s="1" t="str">
        <x:v>We Go Trade</x:v>
      </x:c>
      <x:c r="E97" s="1" t="str">
        <x:v>Cash</x:v>
      </x:c>
      <x:c r="F97" s="1" t="str">
        <x:v>J364</x:v>
      </x:c>
      <x:c r="G97" s="9" t="n">
        <x:v>1069.28</x:v>
      </x:c>
      <x:c r="H97" s="9" t="n">
        <x:v>0</x:v>
      </x:c>
      <x:c r="I97" s="1" t="n">
        <x:v>131</x:v>
      </x:c>
      <x:c r="J97" s="1"/>
      <x:c r="K97" s="1" t="str">
        <x:v>GRAND-LIVRE-ORIGINAL-feuille-1.csv, ligne 131</x:v>
      </x:c>
    </x:row>
    <x:row r="98" ht="22" customHeight="1">
      <x:c r="A98" s="1" t="str">
        <x:v>5200</x:v>
      </x:c>
      <x:c r="B98" s="1" t="str">
        <x:v>Purchases</x:v>
      </x:c>
      <x:c r="C98" s="7" t="d">
        <x:v>2024-11-01T12:00:00.000Z</x:v>
      </x:c>
      <x:c r="D98" s="1" t="str">
        <x:v>We Go Trade</x:v>
      </x:c>
      <x:c r="E98" s="1" t="str">
        <x:v>Cash</x:v>
      </x:c>
      <x:c r="F98" s="1" t="str">
        <x:v>J365</x:v>
      </x:c>
      <x:c r="G98" s="9" t="n">
        <x:v>828.01</x:v>
      </x:c>
      <x:c r="H98" s="9" t="n">
        <x:v>0</x:v>
      </x:c>
      <x:c r="I98" s="1" t="n">
        <x:v>132</x:v>
      </x:c>
      <x:c r="J98" s="1"/>
      <x:c r="K98" s="1" t="str">
        <x:v>GRAND-LIVRE-ORIGINAL-feuille-1.csv, ligne 132</x:v>
      </x:c>
    </x:row>
    <x:row r="99" ht="22" customHeight="1">
      <x:c r="A99" s="1" t="str">
        <x:v>5200</x:v>
      </x:c>
      <x:c r="B99" s="1" t="str">
        <x:v>Purchases</x:v>
      </x:c>
      <x:c r="C99" s="7" t="d">
        <x:v>2024-11-12T12:00:00.000Z</x:v>
      </x:c>
      <x:c r="D99" s="1" t="str">
        <x:v>Resto Leger</x:v>
      </x:c>
      <x:c r="E99" s="1" t="str">
        <x:v>Cash</x:v>
      </x:c>
      <x:c r="F99" s="1" t="str">
        <x:v>J63</x:v>
      </x:c>
      <x:c r="G99" s="9" t="n">
        <x:v>410.93</x:v>
      </x:c>
      <x:c r="H99" s="9" t="n">
        <x:v>0</x:v>
      </x:c>
      <x:c r="I99" s="1" t="n">
        <x:v>133</x:v>
      </x:c>
      <x:c r="J99" s="1"/>
      <x:c r="K99" s="1" t="str">
        <x:v>GRAND-LIVRE-ORIGINAL-feuille-1.csv, ligne 133</x:v>
      </x:c>
    </x:row>
    <x:row r="100" ht="22" customHeight="1">
      <x:c r="A100" s="1" t="str">
        <x:v>5200</x:v>
      </x:c>
      <x:c r="B100" s="1" t="str">
        <x:v>Purchases</x:v>
      </x:c>
      <x:c r="C100" s="7" t="d">
        <x:v>2024-11-29T12:00:00.000Z</x:v>
      </x:c>
      <x:c r="D100" s="1" t="str">
        <x:v>Resto Leger</x:v>
      </x:c>
      <x:c r="E100" s="1" t="str">
        <x:v>Cash</x:v>
      </x:c>
      <x:c r="F100" s="1" t="str">
        <x:v>J85</x:v>
      </x:c>
      <x:c r="G100" s="9" t="n">
        <x:v>152.21</x:v>
      </x:c>
      <x:c r="H100" s="9" t="n">
        <x:v>0</x:v>
      </x:c>
      <x:c r="I100" s="1" t="n">
        <x:v>134</x:v>
      </x:c>
      <x:c r="J100" s="1"/>
      <x:c r="K100" s="1" t="str">
        <x:v>GRAND-LIVRE-ORIGINAL-feuille-1.csv, ligne 134</x:v>
      </x:c>
    </x:row>
    <x:row r="101" ht="22" customHeight="1">
      <x:c r="A101" s="1" t="str">
        <x:v>5200</x:v>
      </x:c>
      <x:c r="B101" s="1" t="str">
        <x:v>Purchases</x:v>
      </x:c>
      <x:c r="C101" s="7" t="d">
        <x:v>2024-12-01T12:00:00.000Z</x:v>
      </x:c>
      <x:c r="D101" s="1" t="str">
        <x:v>We Go Trade</x:v>
      </x:c>
      <x:c r="E101" s="1" t="str">
        <x:v>Cash</x:v>
      </x:c>
      <x:c r="F101" s="1" t="str">
        <x:v>J366</x:v>
      </x:c>
      <x:c r="G101" s="9" t="n">
        <x:v>5086.03</x:v>
      </x:c>
      <x:c r="H101" s="9" t="n">
        <x:v>0</x:v>
      </x:c>
      <x:c r="I101" s="1" t="n">
        <x:v>135</x:v>
      </x:c>
      <x:c r="J101" s="1"/>
      <x:c r="K101" s="1" t="str">
        <x:v>GRAND-LIVRE-ORIGINAL-feuille-1.csv, ligne 135</x:v>
      </x:c>
    </x:row>
    <x:row r="102" ht="22" customHeight="1">
      <x:c r="A102" s="1" t="str">
        <x:v>5200</x:v>
      </x:c>
      <x:c r="B102" s="1" t="str">
        <x:v>Purchases</x:v>
      </x:c>
      <x:c r="C102" s="7" t="d">
        <x:v>2024-12-01T12:00:00.000Z</x:v>
      </x:c>
      <x:c r="D102" s="1" t="str">
        <x:v>We Go Trade</x:v>
      </x:c>
      <x:c r="E102" s="1" t="str">
        <x:v>Cash</x:v>
      </x:c>
      <x:c r="F102" s="1" t="str">
        <x:v>J367</x:v>
      </x:c>
      <x:c r="G102" s="9" t="n">
        <x:v>3170.39</x:v>
      </x:c>
      <x:c r="H102" s="9" t="n">
        <x:v>0</x:v>
      </x:c>
      <x:c r="I102" s="1" t="n">
        <x:v>136</x:v>
      </x:c>
      <x:c r="J102" s="1"/>
      <x:c r="K102" s="1" t="str">
        <x:v>GRAND-LIVRE-ORIGINAL-feuille-1.csv, ligne 136</x:v>
      </x:c>
    </x:row>
    <x:row r="103" ht="22" customHeight="1">
      <x:c r="A103" s="1" t="str">
        <x:v>5200</x:v>
      </x:c>
      <x:c r="B103" s="1" t="str">
        <x:v>Purchases</x:v>
      </x:c>
      <x:c r="C103" s="7" t="d">
        <x:v>2024-12-01T12:00:00.000Z</x:v>
      </x:c>
      <x:c r="D103" s="1" t="str">
        <x:v>We Go Trade</x:v>
      </x:c>
      <x:c r="E103" s="1" t="str">
        <x:v>Cash</x:v>
      </x:c>
      <x:c r="F103" s="1" t="str">
        <x:v>J368</x:v>
      </x:c>
      <x:c r="G103" s="9" t="n">
        <x:v>6548.08</x:v>
      </x:c>
      <x:c r="H103" s="9" t="n">
        <x:v>0</x:v>
      </x:c>
      <x:c r="I103" s="1" t="n">
        <x:v>137</x:v>
      </x:c>
      <x:c r="J103" s="1"/>
      <x:c r="K103" s="1" t="str">
        <x:v>GRAND-LIVRE-ORIGINAL-feuille-1.csv, ligne 137</x:v>
      </x:c>
    </x:row>
    <x:row r="104" ht="22" customHeight="1">
      <x:c r="A104" s="1" t="str">
        <x:v>5200</x:v>
      </x:c>
      <x:c r="B104" s="1" t="str">
        <x:v>Purchases</x:v>
      </x:c>
      <x:c r="C104" s="7" t="d">
        <x:v>2024-12-01T12:00:00.000Z</x:v>
      </x:c>
      <x:c r="D104" s="1" t="str">
        <x:v>We Go Trade</x:v>
      </x:c>
      <x:c r="E104" s="1" t="str">
        <x:v>Cash</x:v>
      </x:c>
      <x:c r="F104" s="1" t="str">
        <x:v>J369</x:v>
      </x:c>
      <x:c r="G104" s="9" t="n">
        <x:v>6625.71</x:v>
      </x:c>
      <x:c r="H104" s="9" t="n">
        <x:v>0</x:v>
      </x:c>
      <x:c r="I104" s="1" t="n">
        <x:v>138</x:v>
      </x:c>
      <x:c r="J104" s="1"/>
      <x:c r="K104" s="1" t="str">
        <x:v>GRAND-LIVRE-ORIGINAL-feuille-1.csv, ligne 138</x:v>
      </x:c>
    </x:row>
    <x:row r="105" ht="22" customHeight="1">
      <x:c r="A105" s="1" t="str">
        <x:v>5200</x:v>
      </x:c>
      <x:c r="B105" s="1" t="str">
        <x:v>Purchases</x:v>
      </x:c>
      <x:c r="C105" s="7" t="d">
        <x:v>2024-12-01T12:00:00.000Z</x:v>
      </x:c>
      <x:c r="D105" s="1" t="str">
        <x:v>We Go Trade</x:v>
      </x:c>
      <x:c r="E105" s="1" t="str">
        <x:v>Cash</x:v>
      </x:c>
      <x:c r="F105" s="1" t="str">
        <x:v>J370</x:v>
      </x:c>
      <x:c r="G105" s="9" t="n">
        <x:v>8677.76</x:v>
      </x:c>
      <x:c r="H105" s="9" t="n">
        <x:v>0</x:v>
      </x:c>
      <x:c r="I105" s="1" t="n">
        <x:v>139</x:v>
      </x:c>
      <x:c r="J105" s="1"/>
      <x:c r="K105" s="1" t="str">
        <x:v>GRAND-LIVRE-ORIGINAL-feuille-1.csv, ligne 139</x:v>
      </x:c>
    </x:row>
    <x:row r="106" ht="22" customHeight="1">
      <x:c r="A106" s="1" t="str">
        <x:v>5200</x:v>
      </x:c>
      <x:c r="B106" s="1" t="str">
        <x:v>Purchases</x:v>
      </x:c>
      <x:c r="C106" s="7" t="d">
        <x:v>2024-12-01T12:00:00.000Z</x:v>
      </x:c>
      <x:c r="D106" s="1" t="str">
        <x:v>We Go Trade</x:v>
      </x:c>
      <x:c r="E106" s="1" t="str">
        <x:v>Cash</x:v>
      </x:c>
      <x:c r="F106" s="1" t="str">
        <x:v>J371</x:v>
      </x:c>
      <x:c r="G106" s="9" t="n">
        <x:v>11991.4</x:v>
      </x:c>
      <x:c r="H106" s="9" t="n">
        <x:v>0</x:v>
      </x:c>
      <x:c r="I106" s="1" t="n">
        <x:v>140</x:v>
      </x:c>
      <x:c r="J106" s="1"/>
      <x:c r="K106" s="1" t="str">
        <x:v>GRAND-LIVRE-ORIGINAL-feuille-1.csv, ligne 140</x:v>
      </x:c>
    </x:row>
    <x:row r="107" ht="22" customHeight="1">
      <x:c r="A107" s="1" t="str">
        <x:v>5200</x:v>
      </x:c>
      <x:c r="B107" s="1" t="str">
        <x:v>Purchases</x:v>
      </x:c>
      <x:c r="C107" s="7" t="d">
        <x:v>2024-12-02T12:00:00.000Z</x:v>
      </x:c>
      <x:c r="D107" s="1" t="str">
        <x:v>Resto Leger</x:v>
      </x:c>
      <x:c r="E107" s="1" t="str">
        <x:v>Cash</x:v>
      </x:c>
      <x:c r="F107" s="1" t="str">
        <x:v>J100</x:v>
      </x:c>
      <x:c r="G107" s="9" t="n">
        <x:v>152.21</x:v>
      </x:c>
      <x:c r="H107" s="9" t="n">
        <x:v>0</x:v>
      </x:c>
      <x:c r="I107" s="1" t="n">
        <x:v>141</x:v>
      </x:c>
      <x:c r="J107" s="1"/>
      <x:c r="K107" s="1" t="str">
        <x:v>GRAND-LIVRE-ORIGINAL-feuille-1.csv, ligne 141</x:v>
      </x:c>
    </x:row>
    <x:row r="108" ht="22" customHeight="1">
      <x:c r="A108" s="1" t="str">
        <x:v>5200</x:v>
      </x:c>
      <x:c r="B108" s="1" t="str">
        <x:v>Purchases</x:v>
      </x:c>
      <x:c r="C108" s="7" t="d">
        <x:v>2024-12-09T12:00:00.000Z</x:v>
      </x:c>
      <x:c r="D108" s="1" t="str">
        <x:v>Wal Mart</x:v>
      </x:c>
      <x:c r="E108" s="1" t="str">
        <x:v>Cash</x:v>
      </x:c>
      <x:c r="F108" s="1" t="str">
        <x:v>J114</x:v>
      </x:c>
      <x:c r="G108" s="9" t="n">
        <x:v>285.25</x:v>
      </x:c>
      <x:c r="H108" s="9" t="n">
        <x:v>0</x:v>
      </x:c>
      <x:c r="I108" s="1" t="n">
        <x:v>142</x:v>
      </x:c>
      <x:c r="J108" s="1"/>
      <x:c r="K108" s="1" t="str">
        <x:v>GRAND-LIVRE-ORIGINAL-feuille-1.csv, ligne 142</x:v>
      </x:c>
    </x:row>
    <x:row r="109" ht="22" customHeight="1">
      <x:c r="A109" s="1" t="str">
        <x:v>5200</x:v>
      </x:c>
      <x:c r="B109" s="1" t="str">
        <x:v>Purchases</x:v>
      </x:c>
      <x:c r="C109" s="7" t="d">
        <x:v>2024-12-09T12:00:00.000Z</x:v>
      </x:c>
      <x:c r="D109" s="1" t="str">
        <x:v>Costco</x:v>
      </x:c>
      <x:c r="E109" s="1" t="str">
        <x:v>Cash</x:v>
      </x:c>
      <x:c r="F109" s="1" t="str">
        <x:v>J115</x:v>
      </x:c>
      <x:c r="G109" s="9" t="n">
        <x:v>158.52</x:v>
      </x:c>
      <x:c r="H109" s="9" t="n">
        <x:v>0</x:v>
      </x:c>
      <x:c r="I109" s="1" t="n">
        <x:v>143</x:v>
      </x:c>
      <x:c r="J109" s="1"/>
      <x:c r="K109" s="1" t="str">
        <x:v>GRAND-LIVRE-ORIGINAL-feuille-1.csv, ligne 143</x:v>
      </x:c>
    </x:row>
    <x:row r="110" ht="22" customHeight="1">
      <x:c r="A110" s="1" t="str">
        <x:v>5200</x:v>
      </x:c>
      <x:c r="B110" s="1" t="str">
        <x:v>Purchases</x:v>
      </x:c>
      <x:c r="C110" s="7" t="d">
        <x:v>2024-12-11T12:00:00.000Z</x:v>
      </x:c>
      <x:c r="D110" s="1" t="str">
        <x:v>Resto Leger</x:v>
      </x:c>
      <x:c r="E110" s="1" t="str">
        <x:v>Cash</x:v>
      </x:c>
      <x:c r="F110" s="1" t="str">
        <x:v>J117</x:v>
      </x:c>
      <x:c r="G110" s="9" t="n">
        <x:v>347.9</x:v>
      </x:c>
      <x:c r="H110" s="9" t="n">
        <x:v>0</x:v>
      </x:c>
      <x:c r="I110" s="1" t="n">
        <x:v>144</x:v>
      </x:c>
      <x:c r="J110" s="1"/>
      <x:c r="K110" s="1" t="str">
        <x:v>GRAND-LIVRE-ORIGINAL-feuille-1.csv, ligne 144</x:v>
      </x:c>
    </x:row>
    <x:row r="111" ht="22" customHeight="1">
      <x:c r="A111" s="1" t="str">
        <x:v>5200</x:v>
      </x:c>
      <x:c r="B111" s="1" t="str">
        <x:v>Purchases</x:v>
      </x:c>
      <x:c r="C111" s="7" t="d">
        <x:v>2024-12-11T12:00:00.000Z</x:v>
      </x:c>
      <x:c r="D111" s="1" t="str">
        <x:v>Costco</x:v>
      </x:c>
      <x:c r="E111" s="1" t="str">
        <x:v>Cash</x:v>
      </x:c>
      <x:c r="F111" s="1" t="str">
        <x:v>J125</x:v>
      </x:c>
      <x:c r="G111" s="9" t="n">
        <x:v>418.81</x:v>
      </x:c>
      <x:c r="H111" s="9" t="n">
        <x:v>0</x:v>
      </x:c>
      <x:c r="I111" s="1" t="n">
        <x:v>145</x:v>
      </x:c>
      <x:c r="J111" s="1"/>
      <x:c r="K111" s="1" t="str">
        <x:v>GRAND-LIVRE-ORIGINAL-feuille-1.csv, ligne 145</x:v>
      </x:c>
    </x:row>
    <x:row r="112" ht="22" customHeight="1">
      <x:c r="A112" s="1" t="str">
        <x:v>5200</x:v>
      </x:c>
      <x:c r="B112" s="1" t="str">
        <x:v>Purchases</x:v>
      </x:c>
      <x:c r="C112" s="7" t="d">
        <x:v>2024-12-11T12:00:00.000Z</x:v>
      </x:c>
      <x:c r="D112" s="1" t="str">
        <x:v>Costco</x:v>
      </x:c>
      <x:c r="E112" s="1" t="str">
        <x:v>Cash</x:v>
      </x:c>
      <x:c r="F112" s="1" t="str">
        <x:v>J126</x:v>
      </x:c>
      <x:c r="G112" s="9" t="n">
        <x:v>67.78</x:v>
      </x:c>
      <x:c r="H112" s="9" t="n">
        <x:v>0</x:v>
      </x:c>
      <x:c r="I112" s="1" t="n">
        <x:v>146</x:v>
      </x:c>
      <x:c r="J112" s="1"/>
      <x:c r="K112" s="1" t="str">
        <x:v>GRAND-LIVRE-ORIGINAL-feuille-1.csv, ligne 146</x:v>
      </x:c>
    </x:row>
    <x:row r="113" ht="22" customHeight="1">
      <x:c r="A113" s="1" t="str">
        <x:v>5200</x:v>
      </x:c>
      <x:c r="B113" s="1" t="str">
        <x:v>Purchases</x:v>
      </x:c>
      <x:c r="C113" s="7" t="d">
        <x:v>2024-12-11T12:00:00.000Z</x:v>
      </x:c>
      <x:c r="D113" s="1" t="str">
        <x:v>Mayrand</x:v>
      </x:c>
      <x:c r="E113" s="1" t="str">
        <x:v>Cash</x:v>
      </x:c>
      <x:c r="F113" s="1" t="str">
        <x:v>J127</x:v>
      </x:c>
      <x:c r="G113" s="9" t="n">
        <x:v>61.64</x:v>
      </x:c>
      <x:c r="H113" s="9" t="n">
        <x:v>0</x:v>
      </x:c>
      <x:c r="I113" s="1" t="n">
        <x:v>147</x:v>
      </x:c>
      <x:c r="J113" s="1"/>
      <x:c r="K113" s="1" t="str">
        <x:v>GRAND-LIVRE-ORIGINAL-feuille-1.csv, ligne 147</x:v>
      </x:c>
    </x:row>
    <x:row r="114" ht="22" customHeight="1">
      <x:c r="A114" s="1" t="str">
        <x:v>5200</x:v>
      </x:c>
      <x:c r="B114" s="1" t="str">
        <x:v>Purchases</x:v>
      </x:c>
      <x:c r="C114" s="7" t="d">
        <x:v>2024-12-11T12:00:00.000Z</x:v>
      </x:c>
      <x:c r="D114" s="1" t="str">
        <x:v>Marcher Rio</x:v>
      </x:c>
      <x:c r="E114" s="1" t="str">
        <x:v>Cash</x:v>
      </x:c>
      <x:c r="F114" s="1" t="str">
        <x:v>J131</x:v>
      </x:c>
      <x:c r="G114" s="9" t="n">
        <x:v>5.29</x:v>
      </x:c>
      <x:c r="H114" s="9" t="n">
        <x:v>0</x:v>
      </x:c>
      <x:c r="I114" s="1" t="n">
        <x:v>148</x:v>
      </x:c>
      <x:c r="J114" s="1"/>
      <x:c r="K114" s="1" t="str">
        <x:v>GRAND-LIVRE-ORIGINAL-feuille-1.csv, ligne 148</x:v>
      </x:c>
    </x:row>
    <x:row r="115" ht="22" customHeight="1">
      <x:c r="A115" s="1" t="str">
        <x:v>5200</x:v>
      </x:c>
      <x:c r="B115" s="1" t="str">
        <x:v>Purchases</x:v>
      </x:c>
      <x:c r="C115" s="7" t="d">
        <x:v>2024-12-12T12:00:00.000Z</x:v>
      </x:c>
      <x:c r="D115" s="1" t="str">
        <x:v>Wal Mart</x:v>
      </x:c>
      <x:c r="E115" s="1" t="str">
        <x:v>Cash</x:v>
      </x:c>
      <x:c r="F115" s="1" t="str">
        <x:v>J138</x:v>
      </x:c>
      <x:c r="G115" s="9" t="n">
        <x:v>48.29</x:v>
      </x:c>
      <x:c r="H115" s="9" t="n">
        <x:v>0</x:v>
      </x:c>
      <x:c r="I115" s="1" t="n">
        <x:v>149</x:v>
      </x:c>
      <x:c r="J115" s="1"/>
      <x:c r="K115" s="1" t="str">
        <x:v>GRAND-LIVRE-ORIGINAL-feuille-1.csv, ligne 149</x:v>
      </x:c>
    </x:row>
    <x:row r="116" ht="22" customHeight="1">
      <x:c r="A116" s="1" t="str">
        <x:v>5200</x:v>
      </x:c>
      <x:c r="B116" s="1" t="str">
        <x:v>Purchases</x:v>
      </x:c>
      <x:c r="C116" s="7" t="d">
        <x:v>2024-12-23T12:00:00.000Z</x:v>
      </x:c>
      <x:c r="D116" s="1" t="str">
        <x:v>Wal Mart</x:v>
      </x:c>
      <x:c r="E116" s="1" t="str">
        <x:v>Cash</x:v>
      </x:c>
      <x:c r="F116" s="1" t="str">
        <x:v>J156</x:v>
      </x:c>
      <x:c r="G116" s="9" t="n">
        <x:v>83.49</x:v>
      </x:c>
      <x:c r="H116" s="9" t="n">
        <x:v>0</x:v>
      </x:c>
      <x:c r="I116" s="1" t="n">
        <x:v>150</x:v>
      </x:c>
      <x:c r="J116" s="1"/>
      <x:c r="K116" s="1" t="str">
        <x:v>GRAND-LIVRE-ORIGINAL-feuille-1.csv, ligne 150</x:v>
      </x:c>
    </x:row>
    <x:row r="117" ht="22" customHeight="1">
      <x:c r="A117" s="1" t="str">
        <x:v>5200</x:v>
      </x:c>
      <x:c r="B117" s="1" t="str">
        <x:v>Purchases</x:v>
      </x:c>
      <x:c r="C117" s="7" t="d">
        <x:v>2024-12-23T12:00:00.000Z</x:v>
      </x:c>
      <x:c r="D117" s="1" t="str">
        <x:v>Wal Mart</x:v>
      </x:c>
      <x:c r="E117" s="1" t="str">
        <x:v>Cash</x:v>
      </x:c>
      <x:c r="F117" s="1" t="str">
        <x:v>J157</x:v>
      </x:c>
      <x:c r="G117" s="9" t="n">
        <x:v>52.18</x:v>
      </x:c>
      <x:c r="H117" s="9" t="n">
        <x:v>0</x:v>
      </x:c>
      <x:c r="I117" s="1" t="n">
        <x:v>151</x:v>
      </x:c>
      <x:c r="J117" s="1"/>
      <x:c r="K117" s="1" t="str">
        <x:v>GRAND-LIVRE-ORIGINAL-feuille-1.csv, ligne 151</x:v>
      </x:c>
    </x:row>
    <x:row r="118" ht="22" customHeight="1">
      <x:c r="A118" s="1" t="str">
        <x:v>5200</x:v>
      </x:c>
      <x:c r="B118" s="1" t="str">
        <x:v>Purchases</x:v>
      </x:c>
      <x:c r="C118" s="7" t="d">
        <x:v>2024-12-23T12:00:00.000Z</x:v>
      </x:c>
      <x:c r="D118" s="1" t="str">
        <x:v>Costco</x:v>
      </x:c>
      <x:c r="E118" s="1" t="str">
        <x:v>Cash</x:v>
      </x:c>
      <x:c r="F118" s="1" t="str">
        <x:v>J158</x:v>
      </x:c>
      <x:c r="G118" s="9" t="n">
        <x:v>326.56</x:v>
      </x:c>
      <x:c r="H118" s="9" t="n">
        <x:v>0</x:v>
      </x:c>
      <x:c r="I118" s="1" t="n">
        <x:v>152</x:v>
      </x:c>
      <x:c r="J118" s="1"/>
      <x:c r="K118" s="1" t="str">
        <x:v>GRAND-LIVRE-ORIGINAL-feuille-1.csv, ligne 152</x:v>
      </x:c>
    </x:row>
    <x:row r="119" ht="22" customHeight="1">
      <x:c r="A119" s="1" t="str">
        <x:v>5200</x:v>
      </x:c>
      <x:c r="B119" s="1" t="str">
        <x:v>Purchases</x:v>
      </x:c>
      <x:c r="C119" s="7" t="d">
        <x:v>2024-12-24T12:00:00.000Z</x:v>
      </x:c>
      <x:c r="D119" s="1" t="str">
        <x:v>Wal Mart</x:v>
      </x:c>
      <x:c r="E119" s="1" t="str">
        <x:v>Cash</x:v>
      </x:c>
      <x:c r="F119" s="1" t="str">
        <x:v>J162</x:v>
      </x:c>
      <x:c r="G119" s="9" t="n">
        <x:v>130.47</x:v>
      </x:c>
      <x:c r="H119" s="9" t="n">
        <x:v>0</x:v>
      </x:c>
      <x:c r="I119" s="1" t="n">
        <x:v>153</x:v>
      </x:c>
      <x:c r="J119" s="1"/>
      <x:c r="K119" s="1" t="str">
        <x:v>GRAND-LIVRE-ORIGINAL-feuille-1.csv, ligne 153</x:v>
      </x:c>
    </x:row>
    <x:row r="120" ht="22" customHeight="1">
      <x:c r="A120" s="1" t="str">
        <x:v>5200</x:v>
      </x:c>
      <x:c r="B120" s="1" t="str">
        <x:v>Purchases</x:v>
      </x:c>
      <x:c r="C120" s="7" t="d">
        <x:v>2024-12-25T12:00:00.000Z</x:v>
      </x:c>
      <x:c r="D120" s="1" t="str">
        <x:v>Resto Leger</x:v>
      </x:c>
      <x:c r="E120" s="1" t="str">
        <x:v>Cash</x:v>
      </x:c>
      <x:c r="F120" s="1" t="str">
        <x:v>J165</x:v>
      </x:c>
      <x:c r="G120" s="9" t="n">
        <x:v>154.83</x:v>
      </x:c>
      <x:c r="H120" s="9" t="n">
        <x:v>0</x:v>
      </x:c>
      <x:c r="I120" s="1" t="n">
        <x:v>154</x:v>
      </x:c>
      <x:c r="J120" s="1"/>
      <x:c r="K120" s="1" t="str">
        <x:v>GRAND-LIVRE-ORIGINAL-feuille-1.csv, ligne 154</x:v>
      </x:c>
    </x:row>
    <x:row r="121" ht="22" customHeight="1">
      <x:c r="A121" s="1" t="str">
        <x:v>5200</x:v>
      </x:c>
      <x:c r="B121" s="1" t="str">
        <x:v>Purchases</x:v>
      </x:c>
      <x:c r="C121" s="7" t="d">
        <x:v>2024-12-26T12:00:00.000Z</x:v>
      </x:c>
      <x:c r="D121" s="1" t="str">
        <x:v>Wal Mart</x:v>
      </x:c>
      <x:c r="E121" s="1" t="str">
        <x:v>Cash</x:v>
      </x:c>
      <x:c r="F121" s="1" t="str">
        <x:v>J168</x:v>
      </x:c>
      <x:c r="G121" s="9" t="n">
        <x:v>113.09</x:v>
      </x:c>
      <x:c r="H121" s="9" t="n">
        <x:v>0</x:v>
      </x:c>
      <x:c r="I121" s="1" t="n">
        <x:v>155</x:v>
      </x:c>
      <x:c r="J121" s="1"/>
      <x:c r="K121" s="1" t="str">
        <x:v>GRAND-LIVRE-ORIGINAL-feuille-1.csv, ligne 155</x:v>
      </x:c>
    </x:row>
    <x:row r="122" ht="22" customHeight="1">
      <x:c r="A122" s="1" t="str">
        <x:v>5200</x:v>
      </x:c>
      <x:c r="B122" s="1" t="str">
        <x:v>Purchases</x:v>
      </x:c>
      <x:c r="C122" s="7" t="d">
        <x:v>2024-12-27T12:00:00.000Z</x:v>
      </x:c>
      <x:c r="D122" s="1" t="str">
        <x:v>Wal Mart</x:v>
      </x:c>
      <x:c r="E122" s="1" t="str">
        <x:v>Cash</x:v>
      </x:c>
      <x:c r="F122" s="1" t="str">
        <x:v>J172</x:v>
      </x:c>
      <x:c r="G122" s="9" t="n">
        <x:v>155.74</x:v>
      </x:c>
      <x:c r="H122" s="9" t="n">
        <x:v>0</x:v>
      </x:c>
      <x:c r="I122" s="1" t="n">
        <x:v>156</x:v>
      </x:c>
      <x:c r="J122" s="1"/>
      <x:c r="K122" s="1" t="str">
        <x:v>GRAND-LIVRE-ORIGINAL-feuille-1.csv, ligne 156</x:v>
      </x:c>
    </x:row>
    <x:row r="123" ht="22" customHeight="1">
      <x:c r="A123" s="1" t="str">
        <x:v>5200</x:v>
      </x:c>
      <x:c r="B123" s="1" t="str">
        <x:v>Purchases</x:v>
      </x:c>
      <x:c r="C123" s="7" t="d">
        <x:v>2024-12-30T12:00:00.000Z</x:v>
      </x:c>
      <x:c r="D123" s="1" t="str">
        <x:v>Costco</x:v>
      </x:c>
      <x:c r="E123" s="1" t="str">
        <x:v>Cash</x:v>
      </x:c>
      <x:c r="F123" s="1" t="str">
        <x:v>J178</x:v>
      </x:c>
      <x:c r="G123" s="9" t="n">
        <x:v>204.9</x:v>
      </x:c>
      <x:c r="H123" s="9" t="n">
        <x:v>0</x:v>
      </x:c>
      <x:c r="I123" s="1" t="n">
        <x:v>157</x:v>
      </x:c>
      <x:c r="J123" s="1"/>
      <x:c r="K123" s="1" t="str">
        <x:v>GRAND-LIVRE-ORIGINAL-feuille-1.csv, ligne 157</x:v>
      </x:c>
    </x:row>
    <x:row r="124" ht="22" customHeight="1">
      <x:c r="A124" s="1" t="str">
        <x:v>5200</x:v>
      </x:c>
      <x:c r="B124" s="1" t="str">
        <x:v>Purchases</x:v>
      </x:c>
      <x:c r="C124" s="7" t="d">
        <x:v>2024-12-31T12:00:00.000Z</x:v>
      </x:c>
      <x:c r="D124" s="1" t="str">
        <x:v>Costco</x:v>
      </x:c>
      <x:c r="E124" s="1" t="str">
        <x:v>Cash</x:v>
      </x:c>
      <x:c r="F124" s="1" t="str">
        <x:v>J179</x:v>
      </x:c>
      <x:c r="G124" s="9" t="n">
        <x:v>6.6</x:v>
      </x:c>
      <x:c r="H124" s="9" t="n">
        <x:v>0</x:v>
      </x:c>
      <x:c r="I124" s="1" t="n">
        <x:v>158</x:v>
      </x:c>
      <x:c r="J124" s="1"/>
      <x:c r="K124" s="1" t="str">
        <x:v>GRAND-LIVRE-ORIGINAL-feuille-1.csv, ligne 158</x:v>
      </x:c>
    </x:row>
    <x:row r="125" ht="22" customHeight="1">
      <x:c r="A125" s="1" t="str">
        <x:v>5200</x:v>
      </x:c>
      <x:c r="B125" s="1" t="str">
        <x:v>Purchases</x:v>
      </x:c>
      <x:c r="C125" s="7" t="d">
        <x:v>2024-12-31T12:00:00.000Z</x:v>
      </x:c>
      <x:c r="D125" s="1" t="str">
        <x:v>Costco</x:v>
      </x:c>
      <x:c r="E125" s="1" t="str">
        <x:v>Cash</x:v>
      </x:c>
      <x:c r="F125" s="1" t="str">
        <x:v>J180</x:v>
      </x:c>
      <x:c r="G125" s="9" t="n">
        <x:v>9.34</x:v>
      </x:c>
      <x:c r="H125" s="9" t="n">
        <x:v>0</x:v>
      </x:c>
      <x:c r="I125" s="1" t="n">
        <x:v>159</x:v>
      </x:c>
      <x:c r="J125" s="1"/>
      <x:c r="K125" s="1" t="str">
        <x:v>GRAND-LIVRE-ORIGINAL-feuille-1.csv, ligne 159</x:v>
      </x:c>
    </x:row>
    <x:row r="126" ht="22" customHeight="1">
      <x:c r="A126" s="1" t="str">
        <x:v>5200</x:v>
      </x:c>
      <x:c r="B126" s="1" t="str">
        <x:v>Purchases</x:v>
      </x:c>
      <x:c r="C126" s="7" t="d">
        <x:v>2025-01-03T12:00:00.000Z</x:v>
      </x:c>
      <x:c r="D126" s="1" t="str">
        <x:v>Costco</x:v>
      </x:c>
      <x:c r="E126" s="1" t="str">
        <x:v>Cash</x:v>
      </x:c>
      <x:c r="F126" s="1" t="str">
        <x:v>J202</x:v>
      </x:c>
      <x:c r="G126" s="9" t="n">
        <x:v>119.52</x:v>
      </x:c>
      <x:c r="H126" s="9" t="n">
        <x:v>0</x:v>
      </x:c>
      <x:c r="I126" s="1" t="n">
        <x:v>160</x:v>
      </x:c>
      <x:c r="J126" s="1"/>
      <x:c r="K126" s="1" t="str">
        <x:v>GRAND-LIVRE-ORIGINAL-feuille-1.csv, ligne 160</x:v>
      </x:c>
    </x:row>
    <x:row r="127" ht="22" customHeight="1">
      <x:c r="A127" s="1" t="str">
        <x:v>5200</x:v>
      </x:c>
      <x:c r="B127" s="1" t="str">
        <x:v>Purchases</x:v>
      </x:c>
      <x:c r="C127" s="7" t="d">
        <x:v>2025-01-03T12:00:00.000Z</x:v>
      </x:c>
      <x:c r="D127" s="1" t="str">
        <x:v>Costco</x:v>
      </x:c>
      <x:c r="E127" s="1" t="str">
        <x:v>Cash</x:v>
      </x:c>
      <x:c r="F127" s="1" t="str">
        <x:v>J203</x:v>
      </x:c>
      <x:c r="G127" s="9" t="n">
        <x:v>27.99</x:v>
      </x:c>
      <x:c r="H127" s="9" t="n">
        <x:v>0</x:v>
      </x:c>
      <x:c r="I127" s="1" t="n">
        <x:v>161</x:v>
      </x:c>
      <x:c r="J127" s="1"/>
      <x:c r="K127" s="1" t="str">
        <x:v>GRAND-LIVRE-ORIGINAL-feuille-1.csv, ligne 161</x:v>
      </x:c>
    </x:row>
    <x:row r="128" ht="22" customHeight="1">
      <x:c r="A128" s="1" t="str">
        <x:v>5200</x:v>
      </x:c>
      <x:c r="B128" s="1" t="str">
        <x:v>Purchases</x:v>
      </x:c>
      <x:c r="C128" s="7" t="d">
        <x:v>2025-01-03T12:00:00.000Z</x:v>
      </x:c>
      <x:c r="D128" s="1" t="str">
        <x:v>Wal Mart</x:v>
      </x:c>
      <x:c r="E128" s="1" t="str">
        <x:v>Cash</x:v>
      </x:c>
      <x:c r="F128" s="1" t="str">
        <x:v>J208</x:v>
      </x:c>
      <x:c r="G128" s="9" t="n">
        <x:v>67.18</x:v>
      </x:c>
      <x:c r="H128" s="9" t="n">
        <x:v>0</x:v>
      </x:c>
      <x:c r="I128" s="1" t="n">
        <x:v>162</x:v>
      </x:c>
      <x:c r="J128" s="1"/>
      <x:c r="K128" s="1" t="str">
        <x:v>GRAND-LIVRE-ORIGINAL-feuille-1.csv, ligne 162</x:v>
      </x:c>
    </x:row>
    <x:row r="129" ht="22" customHeight="1">
      <x:c r="A129" s="1" t="str">
        <x:v>5200</x:v>
      </x:c>
      <x:c r="B129" s="1" t="str">
        <x:v>Purchases</x:v>
      </x:c>
      <x:c r="C129" s="7" t="d">
        <x:v>2025-01-09T12:00:00.000Z</x:v>
      </x:c>
      <x:c r="D129" s="1" t="str">
        <x:v>Resto Leger</x:v>
      </x:c>
      <x:c r="E129" s="1" t="str">
        <x:v>Cash</x:v>
      </x:c>
      <x:c r="F129" s="1" t="str">
        <x:v>J229</x:v>
      </x:c>
      <x:c r="G129" s="9" t="n">
        <x:v>154.83</x:v>
      </x:c>
      <x:c r="H129" s="9" t="n">
        <x:v>0</x:v>
      </x:c>
      <x:c r="I129" s="1" t="n">
        <x:v>163</x:v>
      </x:c>
      <x:c r="J129" s="1"/>
      <x:c r="K129" s="1" t="str">
        <x:v>GRAND-LIVRE-ORIGINAL-feuille-1.csv, ligne 163</x:v>
      </x:c>
    </x:row>
    <x:row r="130" ht="22" customHeight="1">
      <x:c r="A130" s="1" t="str">
        <x:v>5200</x:v>
      </x:c>
      <x:c r="B130" s="1" t="str">
        <x:v>Purchases</x:v>
      </x:c>
      <x:c r="C130" s="7" t="d">
        <x:v>2025-01-09T12:00:00.000Z</x:v>
      </x:c>
      <x:c r="D130" s="1" t="str">
        <x:v>Costco</x:v>
      </x:c>
      <x:c r="E130" s="1" t="str">
        <x:v>Cash</x:v>
      </x:c>
      <x:c r="F130" s="1" t="str">
        <x:v>J233</x:v>
      </x:c>
      <x:c r="G130" s="9" t="n">
        <x:v>83.88</x:v>
      </x:c>
      <x:c r="H130" s="9" t="n">
        <x:v>0</x:v>
      </x:c>
      <x:c r="I130" s="1" t="n">
        <x:v>164</x:v>
      </x:c>
      <x:c r="J130" s="1"/>
      <x:c r="K130" s="1" t="str">
        <x:v>GRAND-LIVRE-ORIGINAL-feuille-1.csv, ligne 164</x:v>
      </x:c>
    </x:row>
    <x:row r="131" ht="22" customHeight="1">
      <x:c r="A131" s="1" t="str">
        <x:v>5200</x:v>
      </x:c>
      <x:c r="B131" s="1" t="str">
        <x:v>Purchases</x:v>
      </x:c>
      <x:c r="C131" s="7" t="d">
        <x:v>2025-01-22T12:00:00.000Z</x:v>
      </x:c>
      <x:c r="D131" s="1" t="str">
        <x:v>Doordash</x:v>
      </x:c>
      <x:c r="E131" s="1" t="str">
        <x:v>Cash</x:v>
      </x:c>
      <x:c r="F131" s="1" t="str">
        <x:v>J327</x:v>
      </x:c>
      <x:c r="G131" s="9" t="n">
        <x:v>50.39</x:v>
      </x:c>
      <x:c r="H131" s="9" t="n">
        <x:v>0</x:v>
      </x:c>
      <x:c r="I131" s="1" t="n">
        <x:v>165</x:v>
      </x:c>
      <x:c r="J131" s="1"/>
      <x:c r="K131" s="1" t="str">
        <x:v>GRAND-LIVRE-ORIGINAL-feuille-1.csv, ligne 165</x:v>
      </x:c>
    </x:row>
    <x:row r="132" ht="22" customHeight="1">
      <x:c r="A132" s="1" t="str">
        <x:v>5200</x:v>
      </x:c>
      <x:c r="B132" s="1" t="str">
        <x:v>Purchases</x:v>
      </x:c>
      <x:c r="C132" s="7" t="d">
        <x:v>2025-02-01T12:00:00.000Z</x:v>
      </x:c>
      <x:c r="D132" s="1" t="str">
        <x:v>Scc Auger</x:v>
      </x:c>
      <x:c r="E132" s="1" t="str">
        <x:v>Cash</x:v>
      </x:c>
      <x:c r="F132" s="1" t="str">
        <x:v>J400</x:v>
      </x:c>
      <x:c r="G132" s="9" t="n">
        <x:v>118.74</x:v>
      </x:c>
      <x:c r="H132" s="9" t="n">
        <x:v>0</x:v>
      </x:c>
      <x:c r="I132" s="1" t="n">
        <x:v>166</x:v>
      </x:c>
      <x:c r="J132" s="1"/>
      <x:c r="K132" s="1" t="str">
        <x:v>GRAND-LIVRE-ORIGINAL-feuille-1.csv, ligne 166</x:v>
      </x:c>
    </x:row>
    <x:row r="133" ht="22" customHeight="1">
      <x:c r="A133" s="1" t="str">
        <x:v>5200</x:v>
      </x:c>
      <x:c r="B133" s="1" t="str">
        <x:v>Purchases</x:v>
      </x:c>
      <x:c r="C133" s="7" t="d">
        <x:v>2025-02-01T12:00:00.000Z</x:v>
      </x:c>
      <x:c r="D133" s="1" t="str">
        <x:v>BMR Matco</x:v>
      </x:c>
      <x:c r="E133" s="1" t="str">
        <x:v>Cash</x:v>
      </x:c>
      <x:c r="F133" s="1" t="str">
        <x:v>J403</x:v>
      </x:c>
      <x:c r="G133" s="9" t="n">
        <x:v>68.16</x:v>
      </x:c>
      <x:c r="H133" s="9" t="n">
        <x:v>0</x:v>
      </x:c>
      <x:c r="I133" s="1" t="n">
        <x:v>167</x:v>
      </x:c>
      <x:c r="J133" s="1"/>
      <x:c r="K133" s="1" t="str">
        <x:v>GRAND-LIVRE-ORIGINAL-feuille-1.csv, ligne 167</x:v>
      </x:c>
    </x:row>
    <x:row r="134" ht="22" customHeight="1">
      <x:c r="A134" s="1" t="str">
        <x:v>5200</x:v>
      </x:c>
      <x:c r="B134" s="1" t="str">
        <x:v>Purchases</x:v>
      </x:c>
      <x:c r="C134" s="7" t="d">
        <x:v>2025-02-01T12:00:00.000Z</x:v>
      </x:c>
      <x:c r="D134" s="1" t="str">
        <x:v>Maxi</x:v>
      </x:c>
      <x:c r="E134" s="1" t="str">
        <x:v>Cash</x:v>
      </x:c>
      <x:c r="F134" s="1" t="str">
        <x:v>J404</x:v>
      </x:c>
      <x:c r="G134" s="9" t="n">
        <x:v>9.97</x:v>
      </x:c>
      <x:c r="H134" s="9" t="n">
        <x:v>0</x:v>
      </x:c>
      <x:c r="I134" s="1" t="n">
        <x:v>168</x:v>
      </x:c>
      <x:c r="J134" s="1"/>
      <x:c r="K134" s="1" t="str">
        <x:v>GRAND-LIVRE-ORIGINAL-feuille-1.csv, ligne 168</x:v>
      </x:c>
    </x:row>
    <x:row r="135" ht="22" customHeight="1">
      <x:c r="A135" s="1" t="str">
        <x:v>5200</x:v>
      </x:c>
      <x:c r="B135" s="1" t="str">
        <x:v>Purchases</x:v>
      </x:c>
      <x:c r="C135" s="7" t="d">
        <x:v>2025-02-01T12:00:00.000Z</x:v>
      </x:c>
      <x:c r="D135" s="1" t="str">
        <x:v>BMR Matco</x:v>
      </x:c>
      <x:c r="E135" s="1" t="str">
        <x:v>Cash</x:v>
      </x:c>
      <x:c r="F135" s="1" t="str">
        <x:v>J406</x:v>
      </x:c>
      <x:c r="G135" s="9" t="n">
        <x:v>68.42</x:v>
      </x:c>
      <x:c r="H135" s="9" t="n">
        <x:v>0</x:v>
      </x:c>
      <x:c r="I135" s="1" t="n">
        <x:v>169</x:v>
      </x:c>
      <x:c r="J135" s="1"/>
      <x:c r="K135" s="1" t="str">
        <x:v>GRAND-LIVRE-ORIGINAL-feuille-1.csv, ligne 169</x:v>
      </x:c>
    </x:row>
    <x:row r="136" ht="22" customHeight="1">
      <x:c r="A136" s="1" t="str">
        <x:v>5200</x:v>
      </x:c>
      <x:c r="B136" s="1" t="str">
        <x:v>Purchases</x:v>
      </x:c>
      <x:c r="C136" s="7" t="d">
        <x:v>2025-02-01T12:00:00.000Z</x:v>
      </x:c>
      <x:c r="D136" s="1" t="str">
        <x:v>BMR Matco</x:v>
      </x:c>
      <x:c r="E136" s="1" t="str">
        <x:v>Cash</x:v>
      </x:c>
      <x:c r="F136" s="1" t="str">
        <x:v>J407</x:v>
      </x:c>
      <x:c r="G136" s="9" t="n">
        <x:v>86.97</x:v>
      </x:c>
      <x:c r="H136" s="9" t="n">
        <x:v>0</x:v>
      </x:c>
      <x:c r="I136" s="1" t="n">
        <x:v>170</x:v>
      </x:c>
      <x:c r="J136" s="1"/>
      <x:c r="K136" s="1" t="str">
        <x:v>GRAND-LIVRE-ORIGINAL-feuille-1.csv, ligne 170</x:v>
      </x:c>
    </x:row>
    <x:row r="137" ht="22" customHeight="1">
      <x:c r="A137" s="1" t="str">
        <x:v>5200</x:v>
      </x:c>
      <x:c r="B137" s="1" t="str">
        <x:v>Purchases</x:v>
      </x:c>
      <x:c r="C137" s="7" t="d">
        <x:v>2025-02-01T12:00:00.000Z</x:v>
      </x:c>
      <x:c r="D137" s="1" t="str">
        <x:v>Super C</x:v>
      </x:c>
      <x:c r="E137" s="1" t="str">
        <x:v>Cash</x:v>
      </x:c>
      <x:c r="F137" s="1" t="str">
        <x:v>J408</x:v>
      </x:c>
      <x:c r="G137" s="9" t="n">
        <x:v>115.01</x:v>
      </x:c>
      <x:c r="H137" s="9" t="n">
        <x:v>0</x:v>
      </x:c>
      <x:c r="I137" s="1" t="n">
        <x:v>171</x:v>
      </x:c>
      <x:c r="J137" s="1"/>
      <x:c r="K137" s="1" t="str">
        <x:v>GRAND-LIVRE-ORIGINAL-feuille-1.csv, ligne 171</x:v>
      </x:c>
    </x:row>
    <x:row r="138" ht="22" customHeight="1">
      <x:c r="A138" s="1" t="str">
        <x:v>5200</x:v>
      </x:c>
      <x:c r="B138" s="1" t="str">
        <x:v>Purchases</x:v>
      </x:c>
      <x:c r="C138" s="7" t="d">
        <x:v>2025-02-13T12:00:00.000Z</x:v>
      </x:c>
      <x:c r="D138" s="1" t="str">
        <x:v>Resto Leger</x:v>
      </x:c>
      <x:c r="E138" s="1" t="str">
        <x:v>Cash</x:v>
      </x:c>
      <x:c r="F138" s="1" t="str">
        <x:v>J277</x:v>
      </x:c>
      <x:c r="G138" s="9" t="n">
        <x:v>173.95</x:v>
      </x:c>
      <x:c r="H138" s="9" t="n">
        <x:v>0</x:v>
      </x:c>
      <x:c r="I138" s="1" t="n">
        <x:v>172</x:v>
      </x:c>
      <x:c r="J138" s="1"/>
      <x:c r="K138" s="1" t="str">
        <x:v>GRAND-LIVRE-ORIGINAL-feuille-1.csv, ligne 172</x:v>
      </x:c>
    </x:row>
    <x:row r="139" ht="22" customHeight="1">
      <x:c r="A139" s="1" t="str">
        <x:v>5200</x:v>
      </x:c>
      <x:c r="B139" s="1" t="str">
        <x:v>Purchases</x:v>
      </x:c>
      <x:c r="C139" s="7" t="d">
        <x:v>2025-03-01T12:00:00.000Z</x:v>
      </x:c>
      <x:c r="D139" s="1" t="str">
        <x:v>Super C</x:v>
      </x:c>
      <x:c r="E139" s="1" t="str">
        <x:v>1</x:v>
      </x:c>
      <x:c r="F139" s="1" t="str">
        <x:v>J409</x:v>
      </x:c>
      <x:c r="G139" s="9" t="n">
        <x:v>160.38</x:v>
      </x:c>
      <x:c r="H139" s="9" t="n">
        <x:v>0</x:v>
      </x:c>
      <x:c r="I139" s="1" t="n">
        <x:v>173</x:v>
      </x:c>
      <x:c r="J139" s="1"/>
      <x:c r="K139" s="1" t="str">
        <x:v>GRAND-LIVRE-ORIGINAL-feuille-1.csv, ligne 173</x:v>
      </x:c>
    </x:row>
    <x:row r="140" ht="22" customHeight="1">
      <x:c r="A140" s="1" t="str">
        <x:v>5200</x:v>
      </x:c>
      <x:c r="B140" s="1" t="str">
        <x:v>Purchases</x:v>
      </x:c>
      <x:c r="C140" s="7" t="d">
        <x:v>2025-03-01T12:00:00.000Z</x:v>
      </x:c>
      <x:c r="D140" s="1" t="str">
        <x:v>Super C</x:v>
      </x:c>
      <x:c r="E140" s="1" t="str">
        <x:v>Cash</x:v>
      </x:c>
      <x:c r="F140" s="1" t="str">
        <x:v>J410</x:v>
      </x:c>
      <x:c r="G140" s="9" t="n">
        <x:v>40</x:v>
      </x:c>
      <x:c r="H140" s="9" t="n">
        <x:v>0</x:v>
      </x:c>
      <x:c r="I140" s="1" t="n">
        <x:v>174</x:v>
      </x:c>
      <x:c r="J140" s="1"/>
      <x:c r="K140" s="1" t="str">
        <x:v>GRAND-LIVRE-ORIGINAL-feuille-1.csv, ligne 174</x:v>
      </x:c>
    </x:row>
    <x:row r="141" ht="22" customHeight="1">
      <x:c r="A141" s="1" t="str">
        <x:v>5200</x:v>
      </x:c>
      <x:c r="B141" s="1" t="str">
        <x:v>Purchases</x:v>
      </x:c>
      <x:c r="C141" s="7" t="d">
        <x:v>2025-03-01T12:00:00.000Z</x:v>
      </x:c>
      <x:c r="D141" s="1" t="str">
        <x:v>Iga</x:v>
      </x:c>
      <x:c r="E141" s="1" t="str">
        <x:v>Cash</x:v>
      </x:c>
      <x:c r="F141" s="1" t="str">
        <x:v>J416</x:v>
      </x:c>
      <x:c r="G141" s="9" t="n">
        <x:v>28.42</x:v>
      </x:c>
      <x:c r="H141" s="9" t="n">
        <x:v>0</x:v>
      </x:c>
      <x:c r="I141" s="1" t="n">
        <x:v>175</x:v>
      </x:c>
      <x:c r="J141" s="1"/>
      <x:c r="K141" s="1" t="str">
        <x:v>GRAND-LIVRE-ORIGINAL-feuille-1.csv, ligne 175</x:v>
      </x:c>
    </x:row>
    <x:row r="142" ht="22" customHeight="1">
      <x:c r="A142" s="1" t="str">
        <x:v>5200</x:v>
      </x:c>
      <x:c r="B142" s="1" t="str">
        <x:v>Purchases</x:v>
      </x:c>
      <x:c r="C142" s="7" t="d">
        <x:v>2025-03-01T12:00:00.000Z</x:v>
      </x:c>
      <x:c r="D142" s="1" t="str">
        <x:v>Iga</x:v>
      </x:c>
      <x:c r="E142" s="1" t="str">
        <x:v>Cash</x:v>
      </x:c>
      <x:c r="F142" s="1" t="str">
        <x:v>J417</x:v>
      </x:c>
      <x:c r="G142" s="9" t="n">
        <x:v>61.28</x:v>
      </x:c>
      <x:c r="H142" s="9" t="n">
        <x:v>0</x:v>
      </x:c>
      <x:c r="I142" s="1" t="n">
        <x:v>176</x:v>
      </x:c>
      <x:c r="J142" s="1"/>
      <x:c r="K142" s="1" t="str">
        <x:v>GRAND-LIVRE-ORIGINAL-feuille-1.csv, ligne 176</x:v>
      </x:c>
    </x:row>
    <x:row r="143" ht="22" customHeight="1">
      <x:c r="A143" s="1" t="str">
        <x:v>5200</x:v>
      </x:c>
      <x:c r="B143" s="1" t="str">
        <x:v>Purchases</x:v>
      </x:c>
      <x:c r="C143" s="7" t="d">
        <x:v>2025-03-01T12:00:00.000Z</x:v>
      </x:c>
      <x:c r="D143" s="1" t="str">
        <x:v>Wal Mart</x:v>
      </x:c>
      <x:c r="E143" s="1" t="str">
        <x:v>Cash</x:v>
      </x:c>
      <x:c r="F143" s="1" t="str">
        <x:v>J425</x:v>
      </x:c>
      <x:c r="G143" s="9" t="n">
        <x:v>32.22</x:v>
      </x:c>
      <x:c r="H143" s="9" t="n">
        <x:v>0</x:v>
      </x:c>
      <x:c r="I143" s="1" t="n">
        <x:v>177</x:v>
      </x:c>
      <x:c r="J143" s="1"/>
      <x:c r="K143" s="1" t="str">
        <x:v>GRAND-LIVRE-ORIGINAL-feuille-1.csv, ligne 177</x:v>
      </x:c>
    </x:row>
    <x:row r="144" ht="22" customHeight="1">
      <x:c r="A144" s="1" t="str">
        <x:v>5200</x:v>
      </x:c>
      <x:c r="B144" s="1" t="str">
        <x:v>Purchases</x:v>
      </x:c>
      <x:c r="C144" s="7" t="d">
        <x:v>2025-03-01T12:00:00.000Z</x:v>
      </x:c>
      <x:c r="D144" s="1" t="str">
        <x:v>Resto Leger</x:v>
      </x:c>
      <x:c r="E144" s="1" t="str">
        <x:v>Cash</x:v>
      </x:c>
      <x:c r="F144" s="1" t="str">
        <x:v>J426</x:v>
      </x:c>
      <x:c r="G144" s="9" t="n">
        <x:v>170.26</x:v>
      </x:c>
      <x:c r="H144" s="9" t="n">
        <x:v>0</x:v>
      </x:c>
      <x:c r="I144" s="1" t="n">
        <x:v>178</x:v>
      </x:c>
      <x:c r="J144" s="1"/>
      <x:c r="K144" s="1" t="str">
        <x:v>GRAND-LIVRE-ORIGINAL-feuille-1.csv, ligne 178</x:v>
      </x:c>
    </x:row>
    <x:row r="145" ht="22" customHeight="1">
      <x:c r="A145" s="1" t="str">
        <x:v>5200</x:v>
      </x:c>
      <x:c r="B145" s="1" t="str">
        <x:v>Purchases</x:v>
      </x:c>
      <x:c r="C145" s="7" t="d">
        <x:v>2025-03-01T12:00:00.000Z</x:v>
      </x:c>
      <x:c r="D145" s="1" t="str">
        <x:v>Wal Mart</x:v>
      </x:c>
      <x:c r="E145" s="1" t="str">
        <x:v>Cash</x:v>
      </x:c>
      <x:c r="F145" s="1" t="str">
        <x:v>J445</x:v>
      </x:c>
      <x:c r="G145" s="9" t="n">
        <x:v>141.76</x:v>
      </x:c>
      <x:c r="H145" s="9" t="n">
        <x:v>0</x:v>
      </x:c>
      <x:c r="I145" s="1" t="n">
        <x:v>179</x:v>
      </x:c>
      <x:c r="J145" s="1"/>
      <x:c r="K145" s="1" t="str">
        <x:v>GRAND-LIVRE-ORIGINAL-feuille-1.csv, ligne 179</x:v>
      </x:c>
    </x:row>
    <x:row r="146" ht="22" customHeight="1">
      <x:c r="A146" s="1" t="str">
        <x:v>5200</x:v>
      </x:c>
      <x:c r="B146" s="1" t="str">
        <x:v>Purchases</x:v>
      </x:c>
      <x:c r="C146" s="7" t="d">
        <x:v>2025-03-01T12:00:00.000Z</x:v>
      </x:c>
      <x:c r="D146" s="1" t="str">
        <x:v>Wal Mart</x:v>
      </x:c>
      <x:c r="E146" s="1" t="str">
        <x:v>Cash</x:v>
      </x:c>
      <x:c r="F146" s="1" t="str">
        <x:v>J446</x:v>
      </x:c>
      <x:c r="G146" s="9" t="n">
        <x:v>31.74</x:v>
      </x:c>
      <x:c r="H146" s="9" t="n">
        <x:v>0</x:v>
      </x:c>
      <x:c r="I146" s="1" t="n">
        <x:v>180</x:v>
      </x:c>
      <x:c r="J146" s="1"/>
      <x:c r="K146" s="1" t="str">
        <x:v>GRAND-LIVRE-ORIGINAL-feuille-1.csv, ligne 180</x:v>
      </x:c>
    </x:row>
    <x:row r="147" ht="22" customHeight="1">
      <x:c r="A147" s="1" t="str">
        <x:v>5200</x:v>
      </x:c>
      <x:c r="B147" s="1" t="str">
        <x:v>Purchases</x:v>
      </x:c>
      <x:c r="C147" s="7" t="d">
        <x:v>2025-03-01T12:00:00.000Z</x:v>
      </x:c>
      <x:c r="D147" s="1" t="str">
        <x:v>Metro</x:v>
      </x:c>
      <x:c r="E147" s="1" t="str">
        <x:v>Cash</x:v>
      </x:c>
      <x:c r="F147" s="1" t="str">
        <x:v>J448</x:v>
      </x:c>
      <x:c r="G147" s="9" t="n">
        <x:v>21.77</x:v>
      </x:c>
      <x:c r="H147" s="9" t="n">
        <x:v>0</x:v>
      </x:c>
      <x:c r="I147" s="1" t="n">
        <x:v>181</x:v>
      </x:c>
      <x:c r="J147" s="1"/>
      <x:c r="K147" s="1" t="str">
        <x:v>GRAND-LIVRE-ORIGINAL-feuille-1.csv, ligne 181</x:v>
      </x:c>
    </x:row>
    <x:row r="148" ht="22" customHeight="1">
      <x:c r="A148" s="1" t="str">
        <x:v>5200</x:v>
      </x:c>
      <x:c r="B148" s="1" t="str">
        <x:v>Purchases</x:v>
      </x:c>
      <x:c r="C148" s="7" t="d">
        <x:v>2025-03-01T12:00:00.000Z</x:v>
      </x:c>
      <x:c r="D148" s="1" t="str">
        <x:v>Melissa Lena Ross</x:v>
      </x:c>
      <x:c r="E148" s="1" t="str">
        <x:v>Cash</x:v>
      </x:c>
      <x:c r="F148" s="1" t="str">
        <x:v>J449</x:v>
      </x:c>
      <x:c r="G148" s="9" t="n">
        <x:v>24.13</x:v>
      </x:c>
      <x:c r="H148" s="9" t="n">
        <x:v>0</x:v>
      </x:c>
      <x:c r="I148" s="1" t="n">
        <x:v>182</x:v>
      </x:c>
      <x:c r="J148" s="1"/>
      <x:c r="K148" s="1" t="str">
        <x:v>GRAND-LIVRE-ORIGINAL-feuille-1.csv, ligne 182</x:v>
      </x:c>
    </x:row>
    <x:row r="149" ht="22" customHeight="1">
      <x:c r="A149" s="1" t="str">
        <x:v>5200</x:v>
      </x:c>
      <x:c r="B149" s="1" t="str">
        <x:v>Purchases</x:v>
      </x:c>
      <x:c r="C149" s="7" t="d">
        <x:v>2025-03-01T12:00:00.000Z</x:v>
      </x:c>
      <x:c r="D149" s="1" t="str">
        <x:v>Maxi</x:v>
      </x:c>
      <x:c r="E149" s="1" t="str">
        <x:v>Cash</x:v>
      </x:c>
      <x:c r="F149" s="1" t="str">
        <x:v>J452</x:v>
      </x:c>
      <x:c r="G149" s="9" t="n">
        <x:v>73.47</x:v>
      </x:c>
      <x:c r="H149" s="9" t="n">
        <x:v>0</x:v>
      </x:c>
      <x:c r="I149" s="1" t="n">
        <x:v>183</x:v>
      </x:c>
      <x:c r="J149" s="1"/>
      <x:c r="K149" s="1" t="str">
        <x:v>GRAND-LIVRE-ORIGINAL-feuille-1.csv, ligne 183</x:v>
      </x:c>
    </x:row>
    <x:row r="150" ht="22" customHeight="1">
      <x:c r="A150" s="1" t="str">
        <x:v>5200</x:v>
      </x:c>
      <x:c r="B150" s="1" t="str">
        <x:v>Purchases</x:v>
      </x:c>
      <x:c r="C150" s="7" t="d">
        <x:v>2025-03-01T12:00:00.000Z</x:v>
      </x:c>
      <x:c r="D150" s="1" t="str">
        <x:v>Resto Leger</x:v>
      </x:c>
      <x:c r="E150" s="1" t="str">
        <x:v>Cash</x:v>
      </x:c>
      <x:c r="F150" s="1" t="str">
        <x:v>J453</x:v>
      </x:c>
      <x:c r="G150" s="9" t="n">
        <x:v>25.97</x:v>
      </x:c>
      <x:c r="H150" s="9" t="n">
        <x:v>0</x:v>
      </x:c>
      <x:c r="I150" s="1" t="n">
        <x:v>184</x:v>
      </x:c>
      <x:c r="J150" s="1"/>
      <x:c r="K150" s="1" t="str">
        <x:v>GRAND-LIVRE-ORIGINAL-feuille-1.csv, ligne 184</x:v>
      </x:c>
    </x:row>
    <x:row r="151" ht="22" customHeight="1">
      <x:c r="A151" s="1" t="str">
        <x:v>5200</x:v>
      </x:c>
      <x:c r="B151" s="1" t="str">
        <x:v>Purchases</x:v>
      </x:c>
      <x:c r="C151" s="7" t="d">
        <x:v>2025-03-01T12:00:00.000Z</x:v>
      </x:c>
      <x:c r="D151" s="1" t="str">
        <x:v>Resto Leger</x:v>
      </x:c>
      <x:c r="E151" s="1" t="str">
        <x:v>Cash</x:v>
      </x:c>
      <x:c r="F151" s="1" t="str">
        <x:v>J454</x:v>
      </x:c>
      <x:c r="G151" s="9" t="n">
        <x:v>27.71</x:v>
      </x:c>
      <x:c r="H151" s="9" t="n">
        <x:v>0</x:v>
      </x:c>
      <x:c r="I151" s="1" t="n">
        <x:v>185</x:v>
      </x:c>
      <x:c r="J151" s="1"/>
      <x:c r="K151" s="1" t="str">
        <x:v>GRAND-LIVRE-ORIGINAL-feuille-1.csv, ligne 185</x:v>
      </x:c>
    </x:row>
    <x:row r="152" ht="22" customHeight="1">
      <x:c r="A152" s="1" t="str">
        <x:v>5200</x:v>
      </x:c>
      <x:c r="B152" s="1" t="str">
        <x:v>Purchases</x:v>
      </x:c>
      <x:c r="C152" s="7" t="d">
        <x:v>2025-03-01T12:00:00.000Z</x:v>
      </x:c>
      <x:c r="D152" s="1" t="str">
        <x:v>Wal Mart</x:v>
      </x:c>
      <x:c r="E152" s="1" t="str">
        <x:v>Cash</x:v>
      </x:c>
      <x:c r="F152" s="1" t="str">
        <x:v>J455</x:v>
      </x:c>
      <x:c r="G152" s="9" t="n">
        <x:v>24.46</x:v>
      </x:c>
      <x:c r="H152" s="9" t="n">
        <x:v>0</x:v>
      </x:c>
      <x:c r="I152" s="1" t="n">
        <x:v>186</x:v>
      </x:c>
      <x:c r="J152" s="1"/>
      <x:c r="K152" s="1" t="str">
        <x:v>GRAND-LIVRE-ORIGINAL-feuille-1.csv, ligne 186</x:v>
      </x:c>
    </x:row>
    <x:row r="153" ht="22" customHeight="1">
      <x:c r="A153" s="1" t="str">
        <x:v>5200</x:v>
      </x:c>
      <x:c r="B153" s="1" t="str">
        <x:v>Purchases</x:v>
      </x:c>
      <x:c r="C153" s="7" t="d">
        <x:v>2025-03-01T12:00:00.000Z</x:v>
      </x:c>
      <x:c r="D153" s="1" t="str">
        <x:v>Wal Mart</x:v>
      </x:c>
      <x:c r="E153" s="1" t="str">
        <x:v>Cash</x:v>
      </x:c>
      <x:c r="F153" s="1" t="str">
        <x:v>J456</x:v>
      </x:c>
      <x:c r="G153" s="9" t="n">
        <x:v>18.31</x:v>
      </x:c>
      <x:c r="H153" s="9" t="n">
        <x:v>0</x:v>
      </x:c>
      <x:c r="I153" s="1" t="n">
        <x:v>187</x:v>
      </x:c>
      <x:c r="J153" s="1"/>
      <x:c r="K153" s="1" t="str">
        <x:v>GRAND-LIVRE-ORIGINAL-feuille-1.csv, ligne 187</x:v>
      </x:c>
    </x:row>
    <x:row r="154" ht="22" customHeight="1">
      <x:c r="A154" s="1" t="str">
        <x:v>5200</x:v>
      </x:c>
      <x:c r="B154" s="1" t="str">
        <x:v>Purchases</x:v>
      </x:c>
      <x:c r="C154" s="7" t="d">
        <x:v>2025-03-01T12:00:00.000Z</x:v>
      </x:c>
      <x:c r="D154" s="1" t="str">
        <x:v>Maxi</x:v>
      </x:c>
      <x:c r="E154" s="1" t="str">
        <x:v>Cash</x:v>
      </x:c>
      <x:c r="F154" s="1" t="str">
        <x:v>J459</x:v>
      </x:c>
      <x:c r="G154" s="9" t="n">
        <x:v>10.21</x:v>
      </x:c>
      <x:c r="H154" s="9" t="n">
        <x:v>0</x:v>
      </x:c>
      <x:c r="I154" s="1" t="n">
        <x:v>188</x:v>
      </x:c>
      <x:c r="J154" s="1"/>
      <x:c r="K154" s="1" t="str">
        <x:v>GRAND-LIVRE-ORIGINAL-feuille-1.csv, ligne 188</x:v>
      </x:c>
    </x:row>
    <x:row r="155" ht="22" customHeight="1">
      <x:c r="A155" s="1" t="str">
        <x:v>5200</x:v>
      </x:c>
      <x:c r="B155" s="1" t="str">
        <x:v>Purchases</x:v>
      </x:c>
      <x:c r="C155" s="7" t="d">
        <x:v>2025-03-01T12:00:00.000Z</x:v>
      </x:c>
      <x:c r="D155" s="1" t="str">
        <x:v>Wal Mart</x:v>
      </x:c>
      <x:c r="E155" s="1" t="str">
        <x:v>Cash</x:v>
      </x:c>
      <x:c r="F155" s="1" t="str">
        <x:v>J460</x:v>
      </x:c>
      <x:c r="G155" s="9" t="n">
        <x:v>39.83</x:v>
      </x:c>
      <x:c r="H155" s="9" t="n">
        <x:v>0</x:v>
      </x:c>
      <x:c r="I155" s="1" t="n">
        <x:v>189</x:v>
      </x:c>
      <x:c r="J155" s="1"/>
      <x:c r="K155" s="1" t="str">
        <x:v>GRAND-LIVRE-ORIGINAL-feuille-1.csv, ligne 189</x:v>
      </x:c>
    </x:row>
    <x:row r="156" ht="22" customHeight="1">
      <x:c r="A156" s="1" t="str">
        <x:v>5200</x:v>
      </x:c>
      <x:c r="B156" s="1" t="str">
        <x:v>Purchases</x:v>
      </x:c>
      <x:c r="C156" s="7" t="d">
        <x:v>2025-03-01T12:00:00.000Z</x:v>
      </x:c>
      <x:c r="D156" s="1" t="str">
        <x:v>Tomeca DRP</x:v>
      </x:c>
      <x:c r="E156" s="1" t="str">
        <x:v>Cash</x:v>
      </x:c>
      <x:c r="F156" s="1" t="str">
        <x:v>J461</x:v>
      </x:c>
      <x:c r="G156" s="9" t="n">
        <x:v>114.64</x:v>
      </x:c>
      <x:c r="H156" s="9" t="n">
        <x:v>0</x:v>
      </x:c>
      <x:c r="I156" s="1" t="n">
        <x:v>190</x:v>
      </x:c>
      <x:c r="J156" s="1"/>
      <x:c r="K156" s="1" t="str">
        <x:v>GRAND-LIVRE-ORIGINAL-feuille-1.csv, ligne 190</x:v>
      </x:c>
    </x:row>
    <x:row r="157" ht="22" customHeight="1">
      <x:c r="A157" s="1" t="str">
        <x:v>5200</x:v>
      </x:c>
      <x:c r="B157" s="1" t="str">
        <x:v>Purchases</x:v>
      </x:c>
      <x:c r="C157" s="7" t="d">
        <x:v>2025-03-01T12:00:00.000Z</x:v>
      </x:c>
      <x:c r="D157" s="1" t="str">
        <x:v>Tomeca DRP</x:v>
      </x:c>
      <x:c r="E157" s="1" t="str">
        <x:v>Cash</x:v>
      </x:c>
      <x:c r="F157" s="1" t="str">
        <x:v>J462</x:v>
      </x:c>
      <x:c r="G157" s="9" t="n">
        <x:v>18.77</x:v>
      </x:c>
      <x:c r="H157" s="9" t="n">
        <x:v>0</x:v>
      </x:c>
      <x:c r="I157" s="1" t="n">
        <x:v>191</x:v>
      </x:c>
      <x:c r="J157" s="1"/>
      <x:c r="K157" s="1" t="str">
        <x:v>GRAND-LIVRE-ORIGINAL-feuille-1.csv, ligne 191</x:v>
      </x:c>
    </x:row>
    <x:row r="158" ht="22" customHeight="1">
      <x:c r="A158" s="1" t="str">
        <x:v>5200</x:v>
      </x:c>
      <x:c r="B158" s="1" t="str">
        <x:v>Purchases</x:v>
      </x:c>
      <x:c r="C158" s="7" t="d">
        <x:v>2025-03-01T12:00:00.000Z</x:v>
      </x:c>
      <x:c r="D158" s="1" t="str">
        <x:v>Marcher Rio</x:v>
      </x:c>
      <x:c r="E158" s="1" t="str">
        <x:v>Cash</x:v>
      </x:c>
      <x:c r="F158" s="1" t="str">
        <x:v>J463</x:v>
      </x:c>
      <x:c r="G158" s="9" t="n">
        <x:v>23.15</x:v>
      </x:c>
      <x:c r="H158" s="9" t="n">
        <x:v>0</x:v>
      </x:c>
      <x:c r="I158" s="1" t="n">
        <x:v>192</x:v>
      </x:c>
      <x:c r="J158" s="1"/>
      <x:c r="K158" s="1" t="str">
        <x:v>GRAND-LIVRE-ORIGINAL-feuille-1.csv, ligne 192</x:v>
      </x:c>
    </x:row>
    <x:row r="159" ht="22" customHeight="1">
      <x:c r="A159" s="1" t="str">
        <x:v>5200</x:v>
      </x:c>
      <x:c r="B159" s="1" t="str">
        <x:v>Purchases</x:v>
      </x:c>
      <x:c r="C159" s="7" t="d">
        <x:v>2025-03-01T12:00:00.000Z</x:v>
      </x:c>
      <x:c r="D159" s="1" t="str">
        <x:v>Marcher Rio</x:v>
      </x:c>
      <x:c r="E159" s="1" t="str">
        <x:v>Cash</x:v>
      </x:c>
      <x:c r="F159" s="1" t="str">
        <x:v>J464</x:v>
      </x:c>
      <x:c r="G159" s="9" t="n">
        <x:v>57.6</x:v>
      </x:c>
      <x:c r="H159" s="9" t="n">
        <x:v>0</x:v>
      </x:c>
      <x:c r="I159" s="1" t="n">
        <x:v>193</x:v>
      </x:c>
      <x:c r="J159" s="1"/>
      <x:c r="K159" s="1" t="str">
        <x:v>GRAND-LIVRE-ORIGINAL-feuille-1.csv, ligne 193</x:v>
      </x:c>
    </x:row>
    <x:row r="160" ht="22" customHeight="1">
      <x:c r="A160" s="1" t="str">
        <x:v>5200</x:v>
      </x:c>
      <x:c r="B160" s="1" t="str">
        <x:v>Purchases</x:v>
      </x:c>
      <x:c r="C160" s="7" t="d">
        <x:v>2025-03-01T12:00:00.000Z</x:v>
      </x:c>
      <x:c r="D160" s="1" t="str">
        <x:v>Marcher Rio</x:v>
      </x:c>
      <x:c r="E160" s="1" t="str">
        <x:v>Cash</x:v>
      </x:c>
      <x:c r="F160" s="1" t="str">
        <x:v>J465</x:v>
      </x:c>
      <x:c r="G160" s="9" t="n">
        <x:v>3.9</x:v>
      </x:c>
      <x:c r="H160" s="9" t="n">
        <x:v>0</x:v>
      </x:c>
      <x:c r="I160" s="1" t="n">
        <x:v>194</x:v>
      </x:c>
      <x:c r="J160" s="1"/>
      <x:c r="K160" s="1" t="str">
        <x:v>GRAND-LIVRE-ORIGINAL-feuille-1.csv, ligne 194</x:v>
      </x:c>
    </x:row>
    <x:row r="161" ht="22" customHeight="1">
      <x:c r="A161" s="1" t="str">
        <x:v>5200</x:v>
      </x:c>
      <x:c r="B161" s="1" t="str">
        <x:v>Purchases</x:v>
      </x:c>
      <x:c r="C161" s="7" t="d">
        <x:v>2025-03-01T12:00:00.000Z</x:v>
      </x:c>
      <x:c r="D161" s="1" t="str">
        <x:v>Marcher Rio</x:v>
      </x:c>
      <x:c r="E161" s="1" t="str">
        <x:v>Cash</x:v>
      </x:c>
      <x:c r="F161" s="1" t="str">
        <x:v>J466</x:v>
      </x:c>
      <x:c r="G161" s="9" t="n">
        <x:v>36.23</x:v>
      </x:c>
      <x:c r="H161" s="9" t="n">
        <x:v>0</x:v>
      </x:c>
      <x:c r="I161" s="1" t="n">
        <x:v>195</x:v>
      </x:c>
      <x:c r="J161" s="1"/>
      <x:c r="K161" s="1" t="str">
        <x:v>GRAND-LIVRE-ORIGINAL-feuille-1.csv, ligne 195</x:v>
      </x:c>
    </x:row>
    <x:row r="162" ht="22" customHeight="1">
      <x:c r="A162" s="1" t="str">
        <x:v>5200</x:v>
      </x:c>
      <x:c r="B162" s="1" t="str">
        <x:v>Purchases</x:v>
      </x:c>
      <x:c r="C162" s="7" t="d">
        <x:v>2025-03-01T12:00:00.000Z</x:v>
      </x:c>
      <x:c r="D162" s="1" t="str">
        <x:v>Metro</x:v>
      </x:c>
      <x:c r="E162" s="1" t="str">
        <x:v>Cash</x:v>
      </x:c>
      <x:c r="F162" s="1" t="str">
        <x:v>J467</x:v>
      </x:c>
      <x:c r="G162" s="9" t="n">
        <x:v>24.46</x:v>
      </x:c>
      <x:c r="H162" s="9" t="n">
        <x:v>0</x:v>
      </x:c>
      <x:c r="I162" s="1" t="n">
        <x:v>196</x:v>
      </x:c>
      <x:c r="J162" s="1"/>
      <x:c r="K162" s="1" t="str">
        <x:v>GRAND-LIVRE-ORIGINAL-feuille-1.csv, ligne 196</x:v>
      </x:c>
    </x:row>
    <x:row r="163" ht="22" customHeight="1">
      <x:c r="A163" s="1" t="str">
        <x:v>5200</x:v>
      </x:c>
      <x:c r="B163" s="1" t="str">
        <x:v>Purchases</x:v>
      </x:c>
      <x:c r="C163" s="7" t="d">
        <x:v>2025-03-01T12:00:00.000Z</x:v>
      </x:c>
      <x:c r="D163" s="1" t="str">
        <x:v>Maxi</x:v>
      </x:c>
      <x:c r="E163" s="1" t="str">
        <x:v>Cash</x:v>
      </x:c>
      <x:c r="F163" s="1" t="str">
        <x:v>J487</x:v>
      </x:c>
      <x:c r="G163" s="9" t="n">
        <x:v>33.27</x:v>
      </x:c>
      <x:c r="H163" s="9" t="n">
        <x:v>0</x:v>
      </x:c>
      <x:c r="I163" s="1" t="n">
        <x:v>197</x:v>
      </x:c>
      <x:c r="J163" s="1"/>
      <x:c r="K163" s="1" t="str">
        <x:v>GRAND-LIVRE-ORIGINAL-feuille-1.csv, ligne 197</x:v>
      </x:c>
    </x:row>
    <x:row r="164" ht="22" customHeight="1">
      <x:c r="A164" s="1" t="str">
        <x:v>5200</x:v>
      </x:c>
      <x:c r="B164" s="1" t="str">
        <x:v>Purchases</x:v>
      </x:c>
      <x:c r="C164" s="7" t="d">
        <x:v>2025-03-01T12:00:00.000Z</x:v>
      </x:c>
      <x:c r="D164" s="1" t="str">
        <x:v>Super C</x:v>
      </x:c>
      <x:c r="E164" s="1" t="str">
        <x:v>Cash</x:v>
      </x:c>
      <x:c r="F164" s="1" t="str">
        <x:v>J491</x:v>
      </x:c>
      <x:c r="G164" s="9" t="n">
        <x:v>36.14</x:v>
      </x:c>
      <x:c r="H164" s="9" t="n">
        <x:v>0</x:v>
      </x:c>
      <x:c r="I164" s="1" t="n">
        <x:v>198</x:v>
      </x:c>
      <x:c r="J164" s="1"/>
      <x:c r="K164" s="1" t="str">
        <x:v>GRAND-LIVRE-ORIGINAL-feuille-1.csv, ligne 198</x:v>
      </x:c>
    </x:row>
    <x:row r="165" ht="22" customHeight="1">
      <x:c r="A165" s="1" t="str">
        <x:v>5200</x:v>
      </x:c>
      <x:c r="B165" s="1" t="str">
        <x:v>Purchases</x:v>
      </x:c>
      <x:c r="C165" s="7" t="d">
        <x:v>2025-03-01T12:00:00.000Z</x:v>
      </x:c>
      <x:c r="D165" s="1" t="str">
        <x:v>Super C</x:v>
      </x:c>
      <x:c r="E165" s="1" t="str">
        <x:v>Cash</x:v>
      </x:c>
      <x:c r="F165" s="1" t="str">
        <x:v>J492</x:v>
      </x:c>
      <x:c r="G165" s="9" t="n">
        <x:v>14.89</x:v>
      </x:c>
      <x:c r="H165" s="9" t="n">
        <x:v>0</x:v>
      </x:c>
      <x:c r="I165" s="1" t="n">
        <x:v>199</x:v>
      </x:c>
      <x:c r="J165" s="1"/>
      <x:c r="K165" s="1" t="str">
        <x:v>GRAND-LIVRE-ORIGINAL-feuille-1.csv, ligne 199</x:v>
      </x:c>
    </x:row>
    <x:row r="166" ht="22" customHeight="1">
      <x:c r="A166" s="1" t="str">
        <x:v>5200</x:v>
      </x:c>
      <x:c r="B166" s="1" t="str">
        <x:v>Purchases</x:v>
      </x:c>
      <x:c r="C166" s="7" t="d">
        <x:v>2025-03-01T12:00:00.000Z</x:v>
      </x:c>
      <x:c r="D166" s="1" t="str">
        <x:v>Super C</x:v>
      </x:c>
      <x:c r="E166" s="1" t="str">
        <x:v>Cash</x:v>
      </x:c>
      <x:c r="F166" s="1" t="str">
        <x:v>J493</x:v>
      </x:c>
      <x:c r="G166" s="9" t="n">
        <x:v>14.8</x:v>
      </x:c>
      <x:c r="H166" s="9" t="n">
        <x:v>0</x:v>
      </x:c>
      <x:c r="I166" s="1" t="n">
        <x:v>200</x:v>
      </x:c>
      <x:c r="J166" s="1"/>
      <x:c r="K166" s="1" t="str">
        <x:v>GRAND-LIVRE-ORIGINAL-feuille-1.csv, ligne 200</x:v>
      </x:c>
    </x:row>
    <x:row r="167" ht="22" customHeight="1">
      <x:c r="A167" s="1" t="str">
        <x:v>5200</x:v>
      </x:c>
      <x:c r="B167" s="1" t="str">
        <x:v>Purchases</x:v>
      </x:c>
      <x:c r="C167" s="7" t="d">
        <x:v>2025-03-01T12:00:00.000Z</x:v>
      </x:c>
      <x:c r="D167" s="1" t="str">
        <x:v>Wal Mart</x:v>
      </x:c>
      <x:c r="E167" s="1" t="str">
        <x:v>Cash</x:v>
      </x:c>
      <x:c r="F167" s="1" t="str">
        <x:v>J494</x:v>
      </x:c>
      <x:c r="G167" s="9" t="n">
        <x:v>10.88</x:v>
      </x:c>
      <x:c r="H167" s="9" t="n">
        <x:v>0</x:v>
      </x:c>
      <x:c r="I167" s="1" t="n">
        <x:v>201</x:v>
      </x:c>
      <x:c r="J167" s="1"/>
      <x:c r="K167" s="1" t="str">
        <x:v>GRAND-LIVRE-ORIGINAL-feuille-1.csv, ligne 201</x:v>
      </x:c>
    </x:row>
    <x:row r="168" ht="22" customHeight="1">
      <x:c r="A168" s="1" t="str">
        <x:v>5200</x:v>
      </x:c>
      <x:c r="B168" s="1" t="str">
        <x:v>Purchases</x:v>
      </x:c>
      <x:c r="C168" s="7" t="d">
        <x:v>2025-03-01T12:00:00.000Z</x:v>
      </x:c>
      <x:c r="D168" s="1" t="str">
        <x:v>Maxi</x:v>
      </x:c>
      <x:c r="E168" s="1" t="str">
        <x:v>Cash</x:v>
      </x:c>
      <x:c r="F168" s="1" t="str">
        <x:v>J497</x:v>
      </x:c>
      <x:c r="G168" s="9" t="n">
        <x:v>28.22</x:v>
      </x:c>
      <x:c r="H168" s="9" t="n">
        <x:v>0</x:v>
      </x:c>
      <x:c r="I168" s="1" t="n">
        <x:v>202</x:v>
      </x:c>
      <x:c r="J168" s="1"/>
      <x:c r="K168" s="1" t="str">
        <x:v>GRAND-LIVRE-ORIGINAL-feuille-1.csv, ligne 202</x:v>
      </x:c>
    </x:row>
    <x:row r="169" ht="22" customHeight="1">
      <x:c r="A169" s="1" t="str">
        <x:v>5200</x:v>
      </x:c>
      <x:c r="B169" s="1" t="str">
        <x:v>Purchases</x:v>
      </x:c>
      <x:c r="C169" s="7" t="d">
        <x:v>2025-03-01T12:00:00.000Z</x:v>
      </x:c>
      <x:c r="D169" s="1" t="str">
        <x:v>Maxi</x:v>
      </x:c>
      <x:c r="E169" s="1" t="str">
        <x:v>Cash</x:v>
      </x:c>
      <x:c r="F169" s="1" t="str">
        <x:v>J498</x:v>
      </x:c>
      <x:c r="G169" s="9" t="n">
        <x:v>76.77</x:v>
      </x:c>
      <x:c r="H169" s="9" t="n">
        <x:v>0</x:v>
      </x:c>
      <x:c r="I169" s="1" t="n">
        <x:v>203</x:v>
      </x:c>
      <x:c r="J169" s="1"/>
      <x:c r="K169" s="1" t="str">
        <x:v>GRAND-LIVRE-ORIGINAL-feuille-1.csv, ligne 203</x:v>
      </x:c>
    </x:row>
    <x:row r="170" ht="22" customHeight="1">
      <x:c r="A170" s="1" t="str">
        <x:v>5200</x:v>
      </x:c>
      <x:c r="B170" s="1" t="str">
        <x:v>Purchases</x:v>
      </x:c>
      <x:c r="C170" s="7" t="d">
        <x:v>2025-03-01T12:00:00.000Z</x:v>
      </x:c>
      <x:c r="D170" s="1" t="str">
        <x:v>Maxi</x:v>
      </x:c>
      <x:c r="E170" s="1" t="str">
        <x:v>Cash</x:v>
      </x:c>
      <x:c r="F170" s="1" t="str">
        <x:v>J499</x:v>
      </x:c>
      <x:c r="G170" s="9" t="n">
        <x:v>37.4</x:v>
      </x:c>
      <x:c r="H170" s="9" t="n">
        <x:v>0</x:v>
      </x:c>
      <x:c r="I170" s="1" t="n">
        <x:v>204</x:v>
      </x:c>
      <x:c r="J170" s="1"/>
      <x:c r="K170" s="1" t="str">
        <x:v>GRAND-LIVRE-ORIGINAL-feuille-1.csv, ligne 204</x:v>
      </x:c>
    </x:row>
    <x:row r="171" ht="22" customHeight="1">
      <x:c r="A171" s="1" t="str">
        <x:v>5200</x:v>
      </x:c>
      <x:c r="B171" s="1" t="str">
        <x:v>Purchases</x:v>
      </x:c>
      <x:c r="C171" s="7" t="d">
        <x:v>2025-03-01T12:00:00.000Z</x:v>
      </x:c>
      <x:c r="D171" s="1" t="str">
        <x:v>Maxi</x:v>
      </x:c>
      <x:c r="E171" s="1" t="str">
        <x:v>Cash</x:v>
      </x:c>
      <x:c r="F171" s="1" t="str">
        <x:v>J500</x:v>
      </x:c>
      <x:c r="G171" s="9" t="n">
        <x:v>68.71</x:v>
      </x:c>
      <x:c r="H171" s="9" t="n">
        <x:v>0</x:v>
      </x:c>
      <x:c r="I171" s="1" t="n">
        <x:v>205</x:v>
      </x:c>
      <x:c r="J171" s="1"/>
      <x:c r="K171" s="1" t="str">
        <x:v>GRAND-LIVRE-ORIGINAL-feuille-1.csv, ligne 205</x:v>
      </x:c>
    </x:row>
    <x:row r="172" ht="22" customHeight="1">
      <x:c r="A172" s="1" t="str">
        <x:v>5200</x:v>
      </x:c>
      <x:c r="B172" s="1" t="str">
        <x:v>Purchases</x:v>
      </x:c>
      <x:c r="C172" s="7" t="d">
        <x:v>2025-03-01T12:00:00.000Z</x:v>
      </x:c>
      <x:c r="D172" s="1" t="str">
        <x:v>Napa</x:v>
      </x:c>
      <x:c r="E172" s="1" t="str">
        <x:v>Cash</x:v>
      </x:c>
      <x:c r="F172" s="1" t="str">
        <x:v>J501</x:v>
      </x:c>
      <x:c r="G172" s="9" t="n">
        <x:v>16.29</x:v>
      </x:c>
      <x:c r="H172" s="9" t="n">
        <x:v>0</x:v>
      </x:c>
      <x:c r="I172" s="1" t="n">
        <x:v>206</x:v>
      </x:c>
      <x:c r="J172" s="1"/>
      <x:c r="K172" s="1" t="str">
        <x:v>GRAND-LIVRE-ORIGINAL-feuille-1.csv, ligne 206</x:v>
      </x:c>
    </x:row>
    <x:row r="173" ht="22" customHeight="1">
      <x:c r="A173" s="1" t="str">
        <x:v>5200</x:v>
      </x:c>
      <x:c r="B173" s="1" t="str">
        <x:v>Purchases</x:v>
      </x:c>
      <x:c r="C173" s="7" t="d">
        <x:v>2025-03-01T12:00:00.000Z</x:v>
      </x:c>
      <x:c r="D173" s="1" t="str">
        <x:v>Les Delice Lafrente</x:v>
      </x:c>
      <x:c r="E173" s="1" t="str">
        <x:v>Cash</x:v>
      </x:c>
      <x:c r="F173" s="1" t="str">
        <x:v>J502</x:v>
      </x:c>
      <x:c r="G173" s="9" t="n">
        <x:v>500</x:v>
      </x:c>
      <x:c r="H173" s="9" t="n">
        <x:v>0</x:v>
      </x:c>
      <x:c r="I173" s="1" t="n">
        <x:v>207</x:v>
      </x:c>
      <x:c r="J173" s="1"/>
      <x:c r="K173" s="1" t="str">
        <x:v>GRAND-LIVRE-ORIGINAL-feuille-1.csv, ligne 207</x:v>
      </x:c>
    </x:row>
    <x:row r="174" ht="22" customHeight="1">
      <x:c r="A174" s="1" t="str">
        <x:v>5200</x:v>
      </x:c>
      <x:c r="B174" s="1" t="str">
        <x:v>Purchases</x:v>
      </x:c>
      <x:c r="C174" s="7" t="d">
        <x:v>2025-03-01T12:00:00.000Z</x:v>
      </x:c>
      <x:c r="D174" s="1" t="str">
        <x:v>Sqdc</x:v>
      </x:c>
      <x:c r="E174" s="1" t="str">
        <x:v>Cash</x:v>
      </x:c>
      <x:c r="F174" s="1" t="str">
        <x:v>J503</x:v>
      </x:c>
      <x:c r="G174" s="9" t="n">
        <x:v>62.45</x:v>
      </x:c>
      <x:c r="H174" s="9" t="n">
        <x:v>0</x:v>
      </x:c>
      <x:c r="I174" s="1" t="n">
        <x:v>208</x:v>
      </x:c>
      <x:c r="J174" s="1"/>
      <x:c r="K174" s="1" t="str">
        <x:v>GRAND-LIVRE-ORIGINAL-feuille-1.csv, ligne 208</x:v>
      </x:c>
    </x:row>
    <x:row r="175" ht="22" customHeight="1">
      <x:c r="A175" s="1" t="str">
        <x:v>5200</x:v>
      </x:c>
      <x:c r="B175" s="1" t="str">
        <x:v>Purchases</x:v>
      </x:c>
      <x:c r="C175" s="7" t="d">
        <x:v>2025-03-01T12:00:00.000Z</x:v>
      </x:c>
      <x:c r="D175" s="1" t="str">
        <x:v>Marcher Rio</x:v>
      </x:c>
      <x:c r="E175" s="1" t="str">
        <x:v>Cash</x:v>
      </x:c>
      <x:c r="F175" s="1" t="str">
        <x:v>J505</x:v>
      </x:c>
      <x:c r="G175" s="9" t="n">
        <x:v>23.17</x:v>
      </x:c>
      <x:c r="H175" s="9" t="n">
        <x:v>0</x:v>
      </x:c>
      <x:c r="I175" s="1" t="n">
        <x:v>209</x:v>
      </x:c>
      <x:c r="J175" s="1"/>
      <x:c r="K175" s="1" t="str">
        <x:v>GRAND-LIVRE-ORIGINAL-feuille-1.csv, ligne 209</x:v>
      </x:c>
    </x:row>
    <x:row r="176" ht="22" customHeight="1">
      <x:c r="A176" s="1" t="str">
        <x:v>5200</x:v>
      </x:c>
      <x:c r="B176" s="1" t="str">
        <x:v>Purchases</x:v>
      </x:c>
      <x:c r="C176" s="7" t="d">
        <x:v>2025-03-01T12:00:00.000Z</x:v>
      </x:c>
      <x:c r="D176" s="1" t="str">
        <x:v>Sqdc</x:v>
      </x:c>
      <x:c r="E176" s="1" t="str">
        <x:v>Cash</x:v>
      </x:c>
      <x:c r="F176" s="1" t="str">
        <x:v>J506</x:v>
      </x:c>
      <x:c r="G176" s="9" t="n">
        <x:v>49.57</x:v>
      </x:c>
      <x:c r="H176" s="9" t="n">
        <x:v>0</x:v>
      </x:c>
      <x:c r="I176" s="1" t="n">
        <x:v>210</x:v>
      </x:c>
      <x:c r="J176" s="1"/>
      <x:c r="K176" s="1" t="str">
        <x:v>GRAND-LIVRE-ORIGINAL-feuille-1.csv, ligne 210</x:v>
      </x:c>
    </x:row>
    <x:row r="177" ht="22" customHeight="1">
      <x:c r="A177" s="1" t="str">
        <x:v>5200</x:v>
      </x:c>
      <x:c r="B177" s="1" t="str">
        <x:v>Purchases</x:v>
      </x:c>
      <x:c r="C177" s="7" t="d">
        <x:v>2025-03-01T12:00:00.000Z</x:v>
      </x:c>
      <x:c r="D177" s="1" t="str">
        <x:v>Maxi</x:v>
      </x:c>
      <x:c r="E177" s="1" t="str">
        <x:v>Cash</x:v>
      </x:c>
      <x:c r="F177" s="1" t="str">
        <x:v>J508</x:v>
      </x:c>
      <x:c r="G177" s="9" t="n">
        <x:v>76.77</x:v>
      </x:c>
      <x:c r="H177" s="9" t="n">
        <x:v>0</x:v>
      </x:c>
      <x:c r="I177" s="1" t="n">
        <x:v>211</x:v>
      </x:c>
      <x:c r="J177" s="1"/>
      <x:c r="K177" s="1" t="str">
        <x:v>GRAND-LIVRE-ORIGINAL-feuille-1.csv, ligne 211</x:v>
      </x:c>
    </x:row>
    <x:row r="178" ht="22" customHeight="1">
      <x:c r="A178" s="1" t="str">
        <x:v>5200</x:v>
      </x:c>
      <x:c r="B178" s="1" t="str">
        <x:v>Purchases</x:v>
      </x:c>
      <x:c r="C178" s="7" t="d">
        <x:v>2025-03-01T12:00:00.000Z</x:v>
      </x:c>
      <x:c r="D178" s="1" t="str">
        <x:v>Maxi</x:v>
      </x:c>
      <x:c r="E178" s="1" t="str">
        <x:v>Cash</x:v>
      </x:c>
      <x:c r="F178" s="1" t="str">
        <x:v>J509</x:v>
      </x:c>
      <x:c r="G178" s="9" t="n">
        <x:v>26.41</x:v>
      </x:c>
      <x:c r="H178" s="9" t="n">
        <x:v>0</x:v>
      </x:c>
      <x:c r="I178" s="1" t="n">
        <x:v>212</x:v>
      </x:c>
      <x:c r="J178" s="1"/>
      <x:c r="K178" s="1" t="str">
        <x:v>GRAND-LIVRE-ORIGINAL-feuille-1.csv, ligne 212</x:v>
      </x:c>
    </x:row>
    <x:row r="179" ht="22" customHeight="1">
      <x:c r="A179" s="1" t="str">
        <x:v>5200</x:v>
      </x:c>
      <x:c r="B179" s="1" t="str">
        <x:v>Purchases</x:v>
      </x:c>
      <x:c r="C179" s="7" t="d">
        <x:v>2025-03-01T12:00:00.000Z</x:v>
      </x:c>
      <x:c r="D179" s="1" t="str">
        <x:v>Marcher Rio</x:v>
      </x:c>
      <x:c r="E179" s="1" t="str">
        <x:v>Cash</x:v>
      </x:c>
      <x:c r="F179" s="1" t="str">
        <x:v>J511</x:v>
      </x:c>
      <x:c r="G179" s="9" t="n">
        <x:v>40</x:v>
      </x:c>
      <x:c r="H179" s="9" t="n">
        <x:v>0</x:v>
      </x:c>
      <x:c r="I179" s="1" t="n">
        <x:v>213</x:v>
      </x:c>
      <x:c r="J179" s="1"/>
      <x:c r="K179" s="1" t="str">
        <x:v>GRAND-LIVRE-ORIGINAL-feuille-1.csv, ligne 213</x:v>
      </x:c>
    </x:row>
    <x:row r="180" ht="22" customHeight="1">
      <x:c r="A180" s="1" t="str">
        <x:v>5200</x:v>
      </x:c>
      <x:c r="B180" s="1" t="str">
        <x:v>Purchases</x:v>
      </x:c>
      <x:c r="C180" s="7" t="d">
        <x:v>2025-03-01T12:00:00.000Z</x:v>
      </x:c>
      <x:c r="D180" s="1" t="str">
        <x:v>Marcher Rio</x:v>
      </x:c>
      <x:c r="E180" s="1" t="str">
        <x:v>Cash</x:v>
      </x:c>
      <x:c r="F180" s="1" t="str">
        <x:v>J512</x:v>
      </x:c>
      <x:c r="G180" s="9" t="n">
        <x:v>79</x:v>
      </x:c>
      <x:c r="H180" s="9" t="n">
        <x:v>0</x:v>
      </x:c>
      <x:c r="I180" s="1" t="n">
        <x:v>214</x:v>
      </x:c>
      <x:c r="J180" s="1"/>
      <x:c r="K180" s="1" t="str">
        <x:v>GRAND-LIVRE-ORIGINAL-feuille-1.csv, ligne 214</x:v>
      </x:c>
    </x:row>
    <x:row r="181" ht="22" customHeight="1">
      <x:c r="A181" s="1" t="str">
        <x:v>5200</x:v>
      </x:c>
      <x:c r="B181" s="1" t="str">
        <x:v>Purchases</x:v>
      </x:c>
      <x:c r="C181" s="7" t="d">
        <x:v>2025-03-06T12:00:00.000Z</x:v>
      </x:c>
      <x:c r="D181" s="1" t="str">
        <x:v>Resto Leger</x:v>
      </x:c>
      <x:c r="E181" s="1" t="str">
        <x:v>Cash</x:v>
      </x:c>
      <x:c r="F181" s="1" t="str">
        <x:v>J286</x:v>
      </x:c>
      <x:c r="G181" s="9" t="n">
        <x:v>347.9</x:v>
      </x:c>
      <x:c r="H181" s="9" t="n">
        <x:v>0</x:v>
      </x:c>
      <x:c r="I181" s="1" t="n">
        <x:v>215</x:v>
      </x:c>
      <x:c r="J181" s="1"/>
      <x:c r="K181" s="1" t="str">
        <x:v>GRAND-LIVRE-ORIGINAL-feuille-1.csv, ligne 215</x:v>
      </x:c>
    </x:row>
    <x:row r="182" ht="22" customHeight="1">
      <x:c r="A182" s="1" t="str">
        <x:v>5200</x:v>
      </x:c>
      <x:c r="B182" s="1" t="str">
        <x:v>Purchases</x:v>
      </x:c>
      <x:c r="C182" s="7" t="d">
        <x:v>2025-04-01T12:00:00.000Z</x:v>
      </x:c>
      <x:c r="D182" s="1" t="str">
        <x:v>Sqdc</x:v>
      </x:c>
      <x:c r="E182" s="1" t="str">
        <x:v>Cash</x:v>
      </x:c>
      <x:c r="F182" s="1" t="str">
        <x:v>J522</x:v>
      </x:c>
      <x:c r="G182" s="9" t="n">
        <x:v>62.45</x:v>
      </x:c>
      <x:c r="H182" s="9" t="n">
        <x:v>0</x:v>
      </x:c>
      <x:c r="I182" s="1" t="n">
        <x:v>216</x:v>
      </x:c>
      <x:c r="J182" s="1"/>
      <x:c r="K182" s="1" t="str">
        <x:v>GRAND-LIVRE-ORIGINAL-feuille-1.csv, ligne 216</x:v>
      </x:c>
    </x:row>
    <x:row r="183" ht="22" customHeight="1">
      <x:c r="A183" s="1" t="str">
        <x:v>5200</x:v>
      </x:c>
      <x:c r="B183" s="1" t="str">
        <x:v>Purchases</x:v>
      </x:c>
      <x:c r="C183" s="7" t="d">
        <x:v>2025-04-01T12:00:00.000Z</x:v>
      </x:c>
      <x:c r="D183" s="1" t="str">
        <x:v>We Go Trade</x:v>
      </x:c>
      <x:c r="E183" s="1" t="str">
        <x:v>Cash</x:v>
      </x:c>
      <x:c r="F183" s="1" t="str">
        <x:v>J533</x:v>
      </x:c>
      <x:c r="G183" s="9" t="n">
        <x:v>1229.4</x:v>
      </x:c>
      <x:c r="H183" s="9" t="n">
        <x:v>0</x:v>
      </x:c>
      <x:c r="I183" s="1" t="n">
        <x:v>217</x:v>
      </x:c>
      <x:c r="J183" s="1"/>
      <x:c r="K183" s="1" t="str">
        <x:v>GRAND-LIVRE-ORIGINAL-feuille-1.csv, ligne 217</x:v>
      </x:c>
    </x:row>
    <x:row r="184" ht="22" customHeight="1">
      <x:c r="A184" s="1" t="str">
        <x:v>5200</x:v>
      </x:c>
      <x:c r="B184" s="1" t="str">
        <x:v>Purchases</x:v>
      </x:c>
      <x:c r="C184" s="7" t="d">
        <x:v>2025-04-01T12:00:00.000Z</x:v>
      </x:c>
      <x:c r="D184" s="1" t="str">
        <x:v>We Go Trade</x:v>
      </x:c>
      <x:c r="E184" s="1" t="str">
        <x:v>Cash</x:v>
      </x:c>
      <x:c r="F184" s="1" t="str">
        <x:v>J534</x:v>
      </x:c>
      <x:c r="G184" s="9" t="n">
        <x:v>353.24</x:v>
      </x:c>
      <x:c r="H184" s="9" t="n">
        <x:v>0</x:v>
      </x:c>
      <x:c r="I184" s="1" t="n">
        <x:v>218</x:v>
      </x:c>
      <x:c r="J184" s="1"/>
      <x:c r="K184" s="1" t="str">
        <x:v>GRAND-LIVRE-ORIGINAL-feuille-1.csv, ligne 218</x:v>
      </x:c>
    </x:row>
    <x:row r="185" ht="22" customHeight="1">
      <x:c r="A185" s="1" t="str">
        <x:v>5200</x:v>
      </x:c>
      <x:c r="B185" s="1" t="str">
        <x:v>Purchases</x:v>
      </x:c>
      <x:c r="C185" s="7" t="d">
        <x:v>2025-04-01T12:00:00.000Z</x:v>
      </x:c>
      <x:c r="D185" s="1" t="str">
        <x:v>We Go Trade</x:v>
      </x:c>
      <x:c r="E185" s="1" t="str">
        <x:v>Cash</x:v>
      </x:c>
      <x:c r="F185" s="1" t="str">
        <x:v>J535</x:v>
      </x:c>
      <x:c r="G185" s="9" t="n">
        <x:v>11.8</x:v>
      </x:c>
      <x:c r="H185" s="9" t="n">
        <x:v>0</x:v>
      </x:c>
      <x:c r="I185" s="1" t="n">
        <x:v>219</x:v>
      </x:c>
      <x:c r="J185" s="1"/>
      <x:c r="K185" s="1" t="str">
        <x:v>GRAND-LIVRE-ORIGINAL-feuille-1.csv, ligne 219</x:v>
      </x:c>
    </x:row>
    <x:row r="186" ht="22" customHeight="1">
      <x:c r="A186" s="1" t="str">
        <x:v>5200</x:v>
      </x:c>
      <x:c r="B186" s="1" t="str">
        <x:v>Purchases</x:v>
      </x:c>
      <x:c r="C186" s="7" t="d">
        <x:v>2025-04-01T12:00:00.000Z</x:v>
      </x:c>
      <x:c r="D186" s="1" t="str">
        <x:v>We Go Trade</x:v>
      </x:c>
      <x:c r="E186" s="1" t="str">
        <x:v>Cash</x:v>
      </x:c>
      <x:c r="F186" s="1" t="str">
        <x:v>J537</x:v>
      </x:c>
      <x:c r="G186" s="9" t="n">
        <x:v>828.01</x:v>
      </x:c>
      <x:c r="H186" s="9" t="n">
        <x:v>0</x:v>
      </x:c>
      <x:c r="I186" s="1" t="n">
        <x:v>220</x:v>
      </x:c>
      <x:c r="J186" s="1"/>
      <x:c r="K186" s="1" t="str">
        <x:v>GRAND-LIVRE-ORIGINAL-feuille-1.csv, ligne 220</x:v>
      </x:c>
    </x:row>
    <x:row r="187" ht="22" customHeight="1">
      <x:c r="A187" s="1" t="str">
        <x:v>5200</x:v>
      </x:c>
      <x:c r="B187" s="1" t="str">
        <x:v>Purchases</x:v>
      </x:c>
      <x:c r="C187" s="7" t="d">
        <x:v>2025-04-01T12:00:00.000Z</x:v>
      </x:c>
      <x:c r="D187" s="1" t="str">
        <x:v>We Go Trade</x:v>
      </x:c>
      <x:c r="E187" s="1" t="str">
        <x:v>Cash</x:v>
      </x:c>
      <x:c r="F187" s="1" t="str">
        <x:v>J538</x:v>
      </x:c>
      <x:c r="G187" s="9" t="n">
        <x:v>809.88</x:v>
      </x:c>
      <x:c r="H187" s="9" t="n">
        <x:v>0</x:v>
      </x:c>
      <x:c r="I187" s="1" t="n">
        <x:v>221</x:v>
      </x:c>
      <x:c r="J187" s="1"/>
      <x:c r="K187" s="1" t="str">
        <x:v>GRAND-LIVRE-ORIGINAL-feuille-1.csv, ligne 221</x:v>
      </x:c>
    </x:row>
    <x:row r="188" ht="22" customHeight="1">
      <x:c r="A188" s="1" t="str">
        <x:v>5200</x:v>
      </x:c>
      <x:c r="B188" s="1" t="str">
        <x:v>Purchases</x:v>
      </x:c>
      <x:c r="C188" s="7" t="d">
        <x:v>2025-04-01T12:00:00.000Z</x:v>
      </x:c>
      <x:c r="D188" s="1" t="str">
        <x:v>Sysco</x:v>
      </x:c>
      <x:c r="E188" s="1" t="str">
        <x:v>Cash</x:v>
      </x:c>
      <x:c r="F188" s="1" t="str">
        <x:v>J540</x:v>
      </x:c>
      <x:c r="G188" s="9" t="n">
        <x:v>234.84</x:v>
      </x:c>
      <x:c r="H188" s="9" t="n">
        <x:v>0</x:v>
      </x:c>
      <x:c r="I188" s="1" t="n">
        <x:v>222</x:v>
      </x:c>
      <x:c r="J188" s="1"/>
      <x:c r="K188" s="1" t="str">
        <x:v>GRAND-LIVRE-ORIGINAL-feuille-1.csv, ligne 222</x:v>
      </x:c>
    </x:row>
    <x:row r="189" ht="22" customHeight="1">
      <x:c r="A189" s="1" t="str">
        <x:v>5200</x:v>
      </x:c>
      <x:c r="B189" s="1" t="str">
        <x:v>Purchases</x:v>
      </x:c>
      <x:c r="C189" s="7" t="d">
        <x:v>2025-04-01T12:00:00.000Z</x:v>
      </x:c>
      <x:c r="D189" s="1" t="str">
        <x:v>Sysco</x:v>
      </x:c>
      <x:c r="E189" s="1" t="str">
        <x:v>Cash</x:v>
      </x:c>
      <x:c r="F189" s="1" t="str">
        <x:v>J541</x:v>
      </x:c>
      <x:c r="G189" s="9" t="n">
        <x:v>10150.24</x:v>
      </x:c>
      <x:c r="H189" s="9" t="n">
        <x:v>0</x:v>
      </x:c>
      <x:c r="I189" s="1" t="n">
        <x:v>223</x:v>
      </x:c>
      <x:c r="J189" s="1"/>
      <x:c r="K189" s="1" t="str">
        <x:v>GRAND-LIVRE-ORIGINAL-feuille-1.csv, ligne 223</x:v>
      </x:c>
    </x:row>
    <x:row r="190" ht="22" customHeight="1">
      <x:c r="A190" s="1" t="str">
        <x:v>5200</x:v>
      </x:c>
      <x:c r="B190" s="1" t="str">
        <x:v>Purchases</x:v>
      </x:c>
      <x:c r="C190" s="7" t="d">
        <x:v>2025-05-01T12:00:00.000Z</x:v>
      </x:c>
      <x:c r="D190" s="1" t="str">
        <x:v>Rada Tech</x:v>
      </x:c>
      <x:c r="E190" s="1" t="str">
        <x:v>Cash</x:v>
      </x:c>
      <x:c r="F190" s="1" t="str">
        <x:v>J545</x:v>
      </x:c>
      <x:c r="G190" s="9" t="n">
        <x:v>696</x:v>
      </x:c>
      <x:c r="H190" s="9" t="n">
        <x:v>0</x:v>
      </x:c>
      <x:c r="I190" s="1" t="n">
        <x:v>224</x:v>
      </x:c>
      <x:c r="J190" s="1"/>
      <x:c r="K190" s="1" t="str">
        <x:v>GRAND-LIVRE-ORIGINAL-feuille-1.csv, ligne 224</x:v>
      </x:c>
    </x:row>
    <x:row r="191" ht="22" customHeight="1">
      <x:c r="A191" s="1" t="str">
        <x:v>5200</x:v>
      </x:c>
      <x:c r="B191" s="1" t="str">
        <x:v>Purchases</x:v>
      </x:c>
      <x:c r="C191" s="7" t="d">
        <x:v>2025-05-01T12:00:00.000Z</x:v>
      </x:c>
      <x:c r="D191" s="1" t="str">
        <x:v>Alta Pack</x:v>
      </x:c>
      <x:c r="E191" s="1" t="str">
        <x:v>Cash</x:v>
      </x:c>
      <x:c r="F191" s="1" t="str">
        <x:v>J546</x:v>
      </x:c>
      <x:c r="G191" s="9" t="n">
        <x:v>179.5</x:v>
      </x:c>
      <x:c r="H191" s="9" t="n">
        <x:v>0</x:v>
      </x:c>
      <x:c r="I191" s="1" t="n">
        <x:v>225</x:v>
      </x:c>
      <x:c r="J191" s="1"/>
      <x:c r="K191" s="1" t="str">
        <x:v>GRAND-LIVRE-ORIGINAL-feuille-1.csv, ligne 225</x:v>
      </x:c>
    </x:row>
    <x:row r="192" ht="22" customHeight="1">
      <x:c r="A192" s="1" t="str">
        <x:v>5200</x:v>
      </x:c>
      <x:c r="B192" s="1" t="str">
        <x:v>Purchases</x:v>
      </x:c>
      <x:c r="C192" s="7" t="d">
        <x:v>2025-05-01T12:00:00.000Z</x:v>
      </x:c>
      <x:c r="D192" s="1" t="str">
        <x:v>Costco</x:v>
      </x:c>
      <x:c r="E192" s="1" t="str">
        <x:v>Cash</x:v>
      </x:c>
      <x:c r="F192" s="1" t="str">
        <x:v>J547</x:v>
      </x:c>
      <x:c r="G192" s="9" t="n">
        <x:v>127.98</x:v>
      </x:c>
      <x:c r="H192" s="9" t="n">
        <x:v>0</x:v>
      </x:c>
      <x:c r="I192" s="1" t="n">
        <x:v>226</x:v>
      </x:c>
      <x:c r="J192" s="1"/>
      <x:c r="K192" s="1" t="str">
        <x:v>GRAND-LIVRE-ORIGINAL-feuille-1.csv, ligne 226</x:v>
      </x:c>
    </x:row>
    <x:row r="193" ht="22" customHeight="1">
      <x:c r="A193" s="1" t="str">
        <x:v>5200</x:v>
      </x:c>
      <x:c r="B193" s="1" t="str">
        <x:v>Purchases</x:v>
      </x:c>
      <x:c r="C193" s="7" t="d">
        <x:v>2025-05-01T12:00:00.000Z</x:v>
      </x:c>
      <x:c r="D193" s="1" t="str">
        <x:v>Costco</x:v>
      </x:c>
      <x:c r="E193" s="1" t="str">
        <x:v>Cash</x:v>
      </x:c>
      <x:c r="F193" s="1" t="str">
        <x:v>J548</x:v>
      </x:c>
      <x:c r="G193" s="9" t="n">
        <x:v>317.87</x:v>
      </x:c>
      <x:c r="H193" s="9" t="n">
        <x:v>0</x:v>
      </x:c>
      <x:c r="I193" s="1" t="n">
        <x:v>227</x:v>
      </x:c>
      <x:c r="J193" s="1"/>
      <x:c r="K193" s="1" t="str">
        <x:v>GRAND-LIVRE-ORIGINAL-feuille-1.csv, ligne 227</x:v>
      </x:c>
    </x:row>
    <x:row r="194" ht="22" customHeight="1">
      <x:c r="A194" s="1" t="str">
        <x:v>5200</x:v>
      </x:c>
      <x:c r="B194" s="1" t="str">
        <x:v>Purchases</x:v>
      </x:c>
      <x:c r="C194" s="7" t="d">
        <x:v>2025-05-01T12:00:00.000Z</x:v>
      </x:c>
      <x:c r="D194" s="1" t="str">
        <x:v>Les Entreprises Nile</x:v>
      </x:c>
      <x:c r="E194" s="1" t="str">
        <x:v>Cash</x:v>
      </x:c>
      <x:c r="F194" s="1" t="str">
        <x:v>J549</x:v>
      </x:c>
      <x:c r="G194" s="9" t="n">
        <x:v>330.69</x:v>
      </x:c>
      <x:c r="H194" s="9" t="n">
        <x:v>0</x:v>
      </x:c>
      <x:c r="I194" s="1" t="n">
        <x:v>228</x:v>
      </x:c>
      <x:c r="J194" s="1"/>
      <x:c r="K194" s="1" t="str">
        <x:v>GRAND-LIVRE-ORIGINAL-feuille-1.csv, ligne 228</x:v>
      </x:c>
    </x:row>
    <x:row r="195" ht="22" customHeight="1">
      <x:c r="A195" s="1" t="str">
        <x:v>5200</x:v>
      </x:c>
      <x:c r="B195" s="1" t="str">
        <x:v>Purchases</x:v>
      </x:c>
      <x:c r="C195" s="7" t="d">
        <x:v>2025-05-01T12:00:00.000Z</x:v>
      </x:c>
      <x:c r="D195" s="1" t="str">
        <x:v>Les Entreprises Nile</x:v>
      </x:c>
      <x:c r="E195" s="1" t="str">
        <x:v>Cash</x:v>
      </x:c>
      <x:c r="F195" s="1" t="str">
        <x:v>J550</x:v>
      </x:c>
      <x:c r="G195" s="9" t="n">
        <x:v>248.76</x:v>
      </x:c>
      <x:c r="H195" s="9" t="n">
        <x:v>0</x:v>
      </x:c>
      <x:c r="I195" s="1" t="n">
        <x:v>229</x:v>
      </x:c>
      <x:c r="J195" s="1"/>
      <x:c r="K195" s="1" t="str">
        <x:v>GRAND-LIVRE-ORIGINAL-feuille-1.csv, ligne 229</x:v>
      </x:c>
    </x:row>
    <x:row r="196" ht="22" customHeight="1">
      <x:c r="A196" s="1" t="str">
        <x:v>5200</x:v>
      </x:c>
      <x:c r="B196" s="1" t="str">
        <x:v>Purchases</x:v>
      </x:c>
      <x:c r="C196" s="7" t="d">
        <x:v>2025-05-01T12:00:00.000Z</x:v>
      </x:c>
      <x:c r="D196" s="1" t="str">
        <x:v>Costco</x:v>
      </x:c>
      <x:c r="E196" s="1" t="str">
        <x:v>Cash</x:v>
      </x:c>
      <x:c r="F196" s="1" t="str">
        <x:v>J551</x:v>
      </x:c>
      <x:c r="G196" s="9" t="n">
        <x:v>26.99</x:v>
      </x:c>
      <x:c r="H196" s="9" t="n">
        <x:v>0</x:v>
      </x:c>
      <x:c r="I196" s="1" t="n">
        <x:v>230</x:v>
      </x:c>
      <x:c r="J196" s="1"/>
      <x:c r="K196" s="1" t="str">
        <x:v>GRAND-LIVRE-ORIGINAL-feuille-1.csv, ligne 230</x:v>
      </x:c>
    </x:row>
    <x:row r="197" ht="22" customHeight="1">
      <x:c r="A197" s="1" t="str">
        <x:v>5200</x:v>
      </x:c>
      <x:c r="B197" s="1" t="str">
        <x:v>Purchases</x:v>
      </x:c>
      <x:c r="C197" s="7" t="d">
        <x:v>2025-05-01T12:00:00.000Z</x:v>
      </x:c>
      <x:c r="D197" s="1" t="str">
        <x:v>Costco</x:v>
      </x:c>
      <x:c r="E197" s="1" t="str">
        <x:v>Cash</x:v>
      </x:c>
      <x:c r="F197" s="1" t="str">
        <x:v>J552</x:v>
      </x:c>
      <x:c r="G197" s="9" t="n">
        <x:v>67.06</x:v>
      </x:c>
      <x:c r="H197" s="9" t="n">
        <x:v>0</x:v>
      </x:c>
      <x:c r="I197" s="1" t="n">
        <x:v>231</x:v>
      </x:c>
      <x:c r="J197" s="1"/>
      <x:c r="K197" s="1" t="str">
        <x:v>GRAND-LIVRE-ORIGINAL-feuille-1.csv, ligne 231</x:v>
      </x:c>
    </x:row>
    <x:row r="198" ht="22" customHeight="1">
      <x:c r="A198" s="1" t="str">
        <x:v>5200</x:v>
      </x:c>
      <x:c r="B198" s="1" t="str">
        <x:v>Purchases</x:v>
      </x:c>
      <x:c r="C198" s="7" t="d">
        <x:v>2025-05-01T12:00:00.000Z</x:v>
      </x:c>
      <x:c r="D198" s="1" t="str">
        <x:v>Costco</x:v>
      </x:c>
      <x:c r="E198" s="1" t="str">
        <x:v>Cash</x:v>
      </x:c>
      <x:c r="F198" s="1" t="str">
        <x:v>J553</x:v>
      </x:c>
      <x:c r="G198" s="9" t="n">
        <x:v>86.94</x:v>
      </x:c>
      <x:c r="H198" s="9" t="n">
        <x:v>0</x:v>
      </x:c>
      <x:c r="I198" s="1" t="n">
        <x:v>232</x:v>
      </x:c>
      <x:c r="J198" s="1"/>
      <x:c r="K198" s="1" t="str">
        <x:v>GRAND-LIVRE-ORIGINAL-feuille-1.csv, ligne 232</x:v>
      </x:c>
    </x:row>
    <x:row r="199" ht="22" customHeight="1">
      <x:c r="A199" s="1" t="str">
        <x:v>5200</x:v>
      </x:c>
      <x:c r="B199" s="1" t="str">
        <x:v>Purchases</x:v>
      </x:c>
      <x:c r="C199" s="7" t="d">
        <x:v>2025-05-01T12:00:00.000Z</x:v>
      </x:c>
      <x:c r="D199" s="1" t="str">
        <x:v>Costco</x:v>
      </x:c>
      <x:c r="E199" s="1" t="str">
        <x:v>Cash</x:v>
      </x:c>
      <x:c r="F199" s="1" t="str">
        <x:v>J554</x:v>
      </x:c>
      <x:c r="G199" s="9" t="n">
        <x:v>61.6</x:v>
      </x:c>
      <x:c r="H199" s="9" t="n">
        <x:v>0</x:v>
      </x:c>
      <x:c r="I199" s="1" t="n">
        <x:v>233</x:v>
      </x:c>
      <x:c r="J199" s="1"/>
      <x:c r="K199" s="1" t="str">
        <x:v>GRAND-LIVRE-ORIGINAL-feuille-1.csv, ligne 233</x:v>
      </x:c>
    </x:row>
    <x:row r="200" ht="22" customHeight="1">
      <x:c r="A200" s="1" t="str">
        <x:v>5200</x:v>
      </x:c>
      <x:c r="B200" s="1" t="str">
        <x:v>Purchases</x:v>
      </x:c>
      <x:c r="C200" s="7" t="d">
        <x:v>2025-05-01T12:00:00.000Z</x:v>
      </x:c>
      <x:c r="D200" s="1" t="str">
        <x:v>Costco</x:v>
      </x:c>
      <x:c r="E200" s="1" t="str">
        <x:v>Cash</x:v>
      </x:c>
      <x:c r="F200" s="1" t="str">
        <x:v>J555</x:v>
      </x:c>
      <x:c r="G200" s="9" t="n">
        <x:v>166.93</x:v>
      </x:c>
      <x:c r="H200" s="9" t="n">
        <x:v>0</x:v>
      </x:c>
      <x:c r="I200" s="1" t="n">
        <x:v>234</x:v>
      </x:c>
      <x:c r="J200" s="1"/>
      <x:c r="K200" s="1" t="str">
        <x:v>GRAND-LIVRE-ORIGINAL-feuille-1.csv, ligne 234</x:v>
      </x:c>
    </x:row>
    <x:row r="201" ht="22" customHeight="1">
      <x:c r="A201" s="1" t="str">
        <x:v>5200</x:v>
      </x:c>
      <x:c r="B201" s="1" t="str">
        <x:v>Purchases</x:v>
      </x:c>
      <x:c r="C201" s="7" t="d">
        <x:v>2025-05-01T12:00:00.000Z</x:v>
      </x:c>
      <x:c r="D201" s="1" t="str">
        <x:v>Tzanet</x:v>
      </x:c>
      <x:c r="E201" s="1" t="str">
        <x:v>Cash</x:v>
      </x:c>
      <x:c r="F201" s="1" t="str">
        <x:v>J556</x:v>
      </x:c>
      <x:c r="G201" s="9" t="n">
        <x:v>110</x:v>
      </x:c>
      <x:c r="H201" s="9" t="n">
        <x:v>0</x:v>
      </x:c>
      <x:c r="I201" s="1" t="n">
        <x:v>235</x:v>
      </x:c>
      <x:c r="J201" s="1"/>
      <x:c r="K201" s="1" t="str">
        <x:v>GRAND-LIVRE-ORIGINAL-feuille-1.csv, ligne 235</x:v>
      </x:c>
    </x:row>
    <x:row r="202" ht="22" customHeight="1">
      <x:c r="A202" s="1" t="str">
        <x:v>5200</x:v>
      </x:c>
      <x:c r="B202" s="1" t="str">
        <x:v>Purchases</x:v>
      </x:c>
      <x:c r="C202" s="7" t="d">
        <x:v>2025-05-01T12:00:00.000Z</x:v>
      </x:c>
      <x:c r="D202" s="1" t="str">
        <x:v>Costco</x:v>
      </x:c>
      <x:c r="E202" s="1" t="str">
        <x:v>Cash</x:v>
      </x:c>
      <x:c r="F202" s="1" t="str">
        <x:v>J557</x:v>
      </x:c>
      <x:c r="G202" s="9" t="n">
        <x:v>181.37</x:v>
      </x:c>
      <x:c r="H202" s="9" t="n">
        <x:v>0</x:v>
      </x:c>
      <x:c r="I202" s="1" t="n">
        <x:v>236</x:v>
      </x:c>
      <x:c r="J202" s="1"/>
      <x:c r="K202" s="1" t="str">
        <x:v>GRAND-LIVRE-ORIGINAL-feuille-1.csv, ligne 236</x:v>
      </x:c>
    </x:row>
    <x:row r="203" ht="22" customHeight="1">
      <x:c r="A203" s="1" t="str">
        <x:v>5200</x:v>
      </x:c>
      <x:c r="B203" s="1" t="str">
        <x:v>Purchases</x:v>
      </x:c>
      <x:c r="C203" s="7" t="d">
        <x:v>2025-05-01T12:00:00.000Z</x:v>
      </x:c>
      <x:c r="D203" s="1" t="str">
        <x:v>Mondo</x:v>
      </x:c>
      <x:c r="E203" s="1" t="str">
        <x:v>Cash</x:v>
      </x:c>
      <x:c r="F203" s="1" t="str">
        <x:v>J560</x:v>
      </x:c>
      <x:c r="G203" s="9" t="n">
        <x:v>1999</x:v>
      </x:c>
      <x:c r="H203" s="9" t="n">
        <x:v>0</x:v>
      </x:c>
      <x:c r="I203" s="1" t="n">
        <x:v>237</x:v>
      </x:c>
      <x:c r="J203" s="1"/>
      <x:c r="K203" s="1" t="str">
        <x:v>GRAND-LIVRE-ORIGINAL-feuille-1.csv, ligne 237</x:v>
      </x:c>
    </x:row>
    <x:row r="204" ht="22" customHeight="1">
      <x:c r="A204" s="1" t="str">
        <x:v>5200</x:v>
      </x:c>
      <x:c r="B204" s="1" t="str">
        <x:v>Purchases</x:v>
      </x:c>
      <x:c r="C204" s="7" t="d">
        <x:v>2025-05-01T12:00:00.000Z</x:v>
      </x:c>
      <x:c r="D204" s="1" t="str">
        <x:v>Kenzap</x:v>
      </x:c>
      <x:c r="E204" s="1" t="str">
        <x:v>Cash</x:v>
      </x:c>
      <x:c r="F204" s="1" t="str">
        <x:v>J561</x:v>
      </x:c>
      <x:c r="G204" s="9" t="n">
        <x:v>45</x:v>
      </x:c>
      <x:c r="H204" s="9" t="n">
        <x:v>0</x:v>
      </x:c>
      <x:c r="I204" s="1" t="n">
        <x:v>238</x:v>
      </x:c>
      <x:c r="J204" s="1"/>
      <x:c r="K204" s="1" t="str">
        <x:v>GRAND-LIVRE-ORIGINAL-feuille-1.csv, ligne 238</x:v>
      </x:c>
    </x:row>
    <x:row r="205" ht="22" customHeight="1">
      <x:c r="A205" s="1" t="str">
        <x:v>5200</x:v>
      </x:c>
      <x:c r="B205" s="1" t="str">
        <x:v>Purchases</x:v>
      </x:c>
      <x:c r="C205" s="7" t="d">
        <x:v>2025-06-01T12:00:00.000Z</x:v>
      </x:c>
      <x:c r="D205" s="1" t="str">
        <x:v>We Go Trade</x:v>
      </x:c>
      <x:c r="E205" s="1" t="str">
        <x:v>Cash</x:v>
      </x:c>
      <x:c r="F205" s="1" t="str">
        <x:v>J567</x:v>
      </x:c>
      <x:c r="G205" s="9" t="n">
        <x:v>353.24</x:v>
      </x:c>
      <x:c r="H205" s="9" t="n">
        <x:v>0</x:v>
      </x:c>
      <x:c r="I205" s="1" t="n">
        <x:v>239</x:v>
      </x:c>
      <x:c r="J205" s="1"/>
      <x:c r="K205" s="1" t="str">
        <x:v>GRAND-LIVRE-ORIGINAL-feuille-1.csv, ligne 239</x:v>
      </x:c>
    </x:row>
    <x:row r="206" ht="22" customHeight="1">
      <x:c r="A206" s="1" t="str">
        <x:v>5200</x:v>
      </x:c>
      <x:c r="B206" s="1" t="str">
        <x:v>Purchases</x:v>
      </x:c>
      <x:c r="C206" s="7" t="d">
        <x:v>2025-06-01T12:00:00.000Z</x:v>
      </x:c>
      <x:c r="D206" s="1" t="str">
        <x:v>We Go Trade</x:v>
      </x:c>
      <x:c r="E206" s="1" t="str">
        <x:v>Cash</x:v>
      </x:c>
      <x:c r="F206" s="1" t="str">
        <x:v>J568</x:v>
      </x:c>
      <x:c r="G206" s="9" t="n">
        <x:v>445.14</x:v>
      </x:c>
      <x:c r="H206" s="9" t="n">
        <x:v>0</x:v>
      </x:c>
      <x:c r="I206" s="1" t="n">
        <x:v>240</x:v>
      </x:c>
      <x:c r="J206" s="1"/>
      <x:c r="K206" s="1" t="str">
        <x:v>GRAND-LIVRE-ORIGINAL-feuille-1.csv, ligne 240</x:v>
      </x:c>
    </x:row>
    <x:row r="207" ht="22" customHeight="1">
      <x:c r="A207" s="1" t="str">
        <x:v>5200</x:v>
      </x:c>
      <x:c r="B207" s="1" t="str">
        <x:v>Purchases</x:v>
      </x:c>
      <x:c r="C207" s="7" t="d">
        <x:v>2025-06-01T12:00:00.000Z</x:v>
      </x:c>
      <x:c r="D207" s="1" t="str">
        <x:v>We Go Trade</x:v>
      </x:c>
      <x:c r="E207" s="1" t="str">
        <x:v>Cash</x:v>
      </x:c>
      <x:c r="F207" s="1" t="str">
        <x:v>J569</x:v>
      </x:c>
      <x:c r="G207" s="9" t="n">
        <x:v>1229.4</x:v>
      </x:c>
      <x:c r="H207" s="9" t="n">
        <x:v>0</x:v>
      </x:c>
      <x:c r="I207" s="1" t="n">
        <x:v>241</x:v>
      </x:c>
      <x:c r="J207" s="1"/>
      <x:c r="K207" s="1" t="str">
        <x:v>GRAND-LIVRE-ORIGINAL-feuille-1.csv, ligne 241</x:v>
      </x:c>
    </x:row>
    <x:row r="208" ht="22" customHeight="1">
      <x:c r="A208" s="1" t="str">
        <x:v>5200</x:v>
      </x:c>
      <x:c r="B208" s="1" t="str">
        <x:v>Purchases</x:v>
      </x:c>
      <x:c r="C208" s="7" t="d">
        <x:v>2025-06-01T12:00:00.000Z</x:v>
      </x:c>
      <x:c r="D208" s="1" t="str">
        <x:v>Les Viandes Montreal</x:v>
      </x:c>
      <x:c r="E208" s="1" t="str">
        <x:v>Cash</x:v>
      </x:c>
      <x:c r="F208" s="1" t="str">
        <x:v>J570</x:v>
      </x:c>
      <x:c r="G208" s="9" t="n">
        <x:v>389.95</x:v>
      </x:c>
      <x:c r="H208" s="9" t="n">
        <x:v>0</x:v>
      </x:c>
      <x:c r="I208" s="1" t="n">
        <x:v>242</x:v>
      </x:c>
      <x:c r="J208" s="1"/>
      <x:c r="K208" s="1" t="str">
        <x:v>GRAND-LIVRE-ORIGINAL-feuille-1.csv, ligne 242</x:v>
      </x:c>
    </x:row>
    <x:row r="209" ht="22" customHeight="1">
      <x:c r="A209" s="1" t="str">
        <x:v>5200</x:v>
      </x:c>
      <x:c r="B209" s="1" t="str">
        <x:v>Purchases</x:v>
      </x:c>
      <x:c r="C209" s="7" t="d">
        <x:v>2025-06-01T12:00:00.000Z</x:v>
      </x:c>
      <x:c r="D209" s="1" t="str">
        <x:v>Sysco</x:v>
      </x:c>
      <x:c r="E209" s="1" t="str">
        <x:v>Cash</x:v>
      </x:c>
      <x:c r="F209" s="1" t="str">
        <x:v>J573</x:v>
      </x:c>
      <x:c r="G209" s="9" t="n">
        <x:v>11991.4</x:v>
      </x:c>
      <x:c r="H209" s="9" t="n">
        <x:v>0</x:v>
      </x:c>
      <x:c r="I209" s="1" t="n">
        <x:v>243</x:v>
      </x:c>
      <x:c r="J209" s="1"/>
      <x:c r="K209" s="1" t="str">
        <x:v>GRAND-LIVRE-ORIGINAL-feuille-1.csv, ligne 243</x:v>
      </x:c>
    </x:row>
    <x:row r="210" ht="22" customHeight="1">
      <x:c r="A210" s="1" t="str">
        <x:v>5200</x:v>
      </x:c>
      <x:c r="B210" s="1" t="str">
        <x:v>Purchases</x:v>
      </x:c>
      <x:c r="C210" s="7" t="d">
        <x:v>2025-06-01T12:00:00.000Z</x:v>
      </x:c>
      <x:c r="D210" s="1" t="str">
        <x:v>Sysco</x:v>
      </x:c>
      <x:c r="E210" s="1" t="str">
        <x:v>Cash</x:v>
      </x:c>
      <x:c r="F210" s="1" t="str">
        <x:v>J574</x:v>
      </x:c>
      <x:c r="G210" s="9" t="n">
        <x:v>9852.6</x:v>
      </x:c>
      <x:c r="H210" s="9" t="n">
        <x:v>0</x:v>
      </x:c>
      <x:c r="I210" s="1" t="n">
        <x:v>244</x:v>
      </x:c>
      <x:c r="J210" s="1"/>
      <x:c r="K210" s="1" t="str">
        <x:v>GRAND-LIVRE-ORIGINAL-feuille-1.csv, ligne 244</x:v>
      </x:c>
    </x:row>
    <x:row r="211" ht="22" customHeight="1">
      <x:c r="A211" s="1" t="str">
        <x:v>5200</x:v>
      </x:c>
      <x:c r="B211" s="1" t="str">
        <x:v>Purchases</x:v>
      </x:c>
      <x:c r="C211" s="7" t="d">
        <x:v>2025-06-01T12:00:00.000Z</x:v>
      </x:c>
      <x:c r="D211" s="1" t="str">
        <x:v>Sysco</x:v>
      </x:c>
      <x:c r="E211" s="1" t="str">
        <x:v>Cash</x:v>
      </x:c>
      <x:c r="F211" s="1" t="str">
        <x:v>J575</x:v>
      </x:c>
      <x:c r="G211" s="9" t="n">
        <x:v>7503</x:v>
      </x:c>
      <x:c r="H211" s="9" t="n">
        <x:v>0</x:v>
      </x:c>
      <x:c r="I211" s="1" t="n">
        <x:v>245</x:v>
      </x:c>
      <x:c r="J211" s="1"/>
      <x:c r="K211" s="1" t="str">
        <x:v>GRAND-LIVRE-ORIGINAL-feuille-1.csv, ligne 245</x:v>
      </x:c>
    </x:row>
    <x:row r="212" ht="22" customHeight="1">
      <x:c r="A212" s="1" t="str">
        <x:v>5200</x:v>
      </x:c>
      <x:c r="B212" s="1" t="str">
        <x:v>Purchases</x:v>
      </x:c>
      <x:c r="C212" s="7" t="d">
        <x:v>2025-06-01T12:00:00.000Z</x:v>
      </x:c>
      <x:c r="D212" s="1" t="str">
        <x:v>Sysco</x:v>
      </x:c>
      <x:c r="E212" s="1" t="str">
        <x:v>Cash</x:v>
      </x:c>
      <x:c r="F212" s="1" t="str">
        <x:v>J576</x:v>
      </x:c>
      <x:c r="G212" s="9" t="n">
        <x:v>7449.97</x:v>
      </x:c>
      <x:c r="H212" s="9" t="n">
        <x:v>0</x:v>
      </x:c>
      <x:c r="I212" s="1" t="n">
        <x:v>246</x:v>
      </x:c>
      <x:c r="J212" s="1"/>
      <x:c r="K212" s="1" t="str">
        <x:v>GRAND-LIVRE-ORIGINAL-feuille-1.csv, ligne 246</x:v>
      </x:c>
    </x:row>
    <x:row r="213" ht="22" customHeight="1">
      <x:c r="A213" s="1" t="str">
        <x:v>5200</x:v>
      </x:c>
      <x:c r="B213" s="1" t="str">
        <x:v>Purchases</x:v>
      </x:c>
      <x:c r="C213" s="7" t="d">
        <x:v>2025-06-01T12:00:00.000Z</x:v>
      </x:c>
      <x:c r="D213" s="1" t="str">
        <x:v>Sysco</x:v>
      </x:c>
      <x:c r="E213" s="1" t="str">
        <x:v>Cash</x:v>
      </x:c>
      <x:c r="F213" s="1" t="str">
        <x:v>J577</x:v>
      </x:c>
      <x:c r="G213" s="9" t="n">
        <x:v>5847.66</x:v>
      </x:c>
      <x:c r="H213" s="9" t="n">
        <x:v>0</x:v>
      </x:c>
      <x:c r="I213" s="1" t="n">
        <x:v>247</x:v>
      </x:c>
      <x:c r="J213" s="1"/>
      <x:c r="K213" s="1" t="str">
        <x:v>GRAND-LIVRE-ORIGINAL-feuille-1.csv, ligne 247</x:v>
      </x:c>
    </x:row>
    <x:row r="214" ht="22" customHeight="1">
      <x:c r="A214" s="1" t="str">
        <x:v>5200</x:v>
      </x:c>
      <x:c r="B214" s="1" t="str">
        <x:v>Purchases</x:v>
      </x:c>
      <x:c r="C214" s="7" t="d">
        <x:v>2025-06-01T12:00:00.000Z</x:v>
      </x:c>
      <x:c r="D214" s="1" t="str">
        <x:v>Sysco</x:v>
      </x:c>
      <x:c r="E214" s="1" t="str">
        <x:v>Cash</x:v>
      </x:c>
      <x:c r="F214" s="1" t="str">
        <x:v>J578</x:v>
      </x:c>
      <x:c r="G214" s="9" t="n">
        <x:v>1229.4</x:v>
      </x:c>
      <x:c r="H214" s="9" t="n">
        <x:v>0</x:v>
      </x:c>
      <x:c r="I214" s="1" t="n">
        <x:v>248</x:v>
      </x:c>
      <x:c r="J214" s="1"/>
      <x:c r="K214" s="1" t="str">
        <x:v>GRAND-LIVRE-ORIGINAL-feuille-1.csv, ligne 248</x:v>
      </x:c>
    </x:row>
    <x:row r="215" ht="22" customHeight="1">
      <x:c r="A215" s="1" t="str">
        <x:v>5200</x:v>
      </x:c>
      <x:c r="B215" s="1" t="str">
        <x:v>Purchases</x:v>
      </x:c>
      <x:c r="C215" s="7" t="d">
        <x:v>2025-06-01T12:00:00.000Z</x:v>
      </x:c>
      <x:c r="D215" s="1" t="str">
        <x:v>Sysco</x:v>
      </x:c>
      <x:c r="E215" s="1" t="str">
        <x:v>Cash</x:v>
      </x:c>
      <x:c r="F215" s="1" t="str">
        <x:v>J579</x:v>
      </x:c>
      <x:c r="G215" s="9" t="n">
        <x:v>3645.16</x:v>
      </x:c>
      <x:c r="H215" s="9" t="n">
        <x:v>0</x:v>
      </x:c>
      <x:c r="I215" s="1" t="n">
        <x:v>249</x:v>
      </x:c>
      <x:c r="J215" s="1"/>
      <x:c r="K215" s="1" t="str">
        <x:v>GRAND-LIVRE-ORIGINAL-feuille-1.csv, ligne 249</x:v>
      </x:c>
    </x:row>
    <x:row r="216" ht="22" customHeight="1">
      <x:c r="A216" s="1" t="str">
        <x:v>5200</x:v>
      </x:c>
      <x:c r="B216" s="1" t="str">
        <x:v>Purchases</x:v>
      </x:c>
      <x:c r="C216" s="7" t="d">
        <x:v>2025-06-01T12:00:00.000Z</x:v>
      </x:c>
      <x:c r="D216" s="1" t="str">
        <x:v>Maxi</x:v>
      </x:c>
      <x:c r="E216" s="1" t="str">
        <x:v>Cash</x:v>
      </x:c>
      <x:c r="F216" s="1" t="str">
        <x:v>J580</x:v>
      </x:c>
      <x:c r="G216" s="9" t="n">
        <x:v>4.59</x:v>
      </x:c>
      <x:c r="H216" s="9" t="n">
        <x:v>0</x:v>
      </x:c>
      <x:c r="I216" s="1" t="n">
        <x:v>250</x:v>
      </x:c>
      <x:c r="J216" s="1"/>
      <x:c r="K216" s="1" t="str">
        <x:v>GRAND-LIVRE-ORIGINAL-feuille-1.csv, ligne 250</x:v>
      </x:c>
    </x:row>
    <x:row r="217" ht="22" customHeight="1">
      <x:c r="A217" s="1" t="str">
        <x:v>5200</x:v>
      </x:c>
      <x:c r="B217" s="1" t="str">
        <x:v>Purchases</x:v>
      </x:c>
      <x:c r="C217" s="7" t="d">
        <x:v>2025-06-01T12:00:00.000Z</x:v>
      </x:c>
      <x:c r="D217" s="1" t="str">
        <x:v>Maxi</x:v>
      </x:c>
      <x:c r="E217" s="1" t="str">
        <x:v>Cash</x:v>
      </x:c>
      <x:c r="F217" s="1" t="str">
        <x:v>J581</x:v>
      </x:c>
      <x:c r="G217" s="9" t="n">
        <x:v>2199.99</x:v>
      </x:c>
      <x:c r="H217" s="9" t="n">
        <x:v>0</x:v>
      </x:c>
      <x:c r="I217" s="1" t="n">
        <x:v>251</x:v>
      </x:c>
      <x:c r="J217" s="1"/>
      <x:c r="K217" s="1" t="str">
        <x:v>GRAND-LIVRE-ORIGINAL-feuille-1.csv, ligne 251</x:v>
      </x:c>
    </x:row>
    <x:row r="218" ht="22" customHeight="1">
      <x:c r="A218" s="1" t="str">
        <x:v>5200</x:v>
      </x:c>
      <x:c r="B218" s="1" t="str">
        <x:v>Purchases</x:v>
      </x:c>
      <x:c r="C218" s="7" t="d">
        <x:v>2025-06-01T12:00:00.000Z</x:v>
      </x:c>
      <x:c r="D218" s="1" t="str">
        <x:v>Energir</x:v>
      </x:c>
      <x:c r="E218" s="1" t="str">
        <x:v>Cash</x:v>
      </x:c>
      <x:c r="F218" s="1" t="str">
        <x:v>J584</x:v>
      </x:c>
      <x:c r="G218" s="9" t="n">
        <x:v>1339.8</x:v>
      </x:c>
      <x:c r="H218" s="9" t="n">
        <x:v>0</x:v>
      </x:c>
      <x:c r="I218" s="1" t="n">
        <x:v>252</x:v>
      </x:c>
      <x:c r="J218" s="1"/>
      <x:c r="K218" s="1" t="str">
        <x:v>GRAND-LIVRE-ORIGINAL-feuille-1.csv, ligne 252</x:v>
      </x:c>
    </x:row>
    <x:row r="219" ht="22" customHeight="1">
      <x:c r="A219" s="1" t="str">
        <x:v>5200</x:v>
      </x:c>
      <x:c r="B219" s="1" t="str">
        <x:v>Purchases</x:v>
      </x:c>
      <x:c r="C219" s="7" t="d">
        <x:v>2025-06-01T12:00:00.000Z</x:v>
      </x:c>
      <x:c r="D219" s="1" t="str">
        <x:v>Energir</x:v>
      </x:c>
      <x:c r="E219" s="1" t="str">
        <x:v>Cash</x:v>
      </x:c>
      <x:c r="F219" s="1" t="str">
        <x:v>J585</x:v>
      </x:c>
      <x:c r="G219" s="9" t="n">
        <x:v>7070.75</x:v>
      </x:c>
      <x:c r="H219" s="9" t="n">
        <x:v>0</x:v>
      </x:c>
      <x:c r="I219" s="1" t="n">
        <x:v>253</x:v>
      </x:c>
      <x:c r="J219" s="1"/>
      <x:c r="K219" s="1" t="str">
        <x:v>GRAND-LIVRE-ORIGINAL-feuille-1.csv, ligne 253</x:v>
      </x:c>
    </x:row>
    <x:row r="220" ht="22" customHeight="1">
      <x:c r="A220" s="1" t="str">
        <x:v>5200</x:v>
      </x:c>
      <x:c r="B220" s="1" t="str">
        <x:v>Purchases</x:v>
      </x:c>
      <x:c r="C220" s="7" t="d">
        <x:v>2025-06-01T12:00:00.000Z</x:v>
      </x:c>
      <x:c r="D220" s="1" t="str">
        <x:v>Sysco</x:v>
      </x:c>
      <x:c r="E220" s="1" t="str">
        <x:v>Cash</x:v>
      </x:c>
      <x:c r="F220" s="1" t="str">
        <x:v>J590</x:v>
      </x:c>
      <x:c r="G220" s="9" t="n">
        <x:v>3170.39</x:v>
      </x:c>
      <x:c r="H220" s="9" t="n">
        <x:v>0</x:v>
      </x:c>
      <x:c r="I220" s="1" t="n">
        <x:v>254</x:v>
      </x:c>
      <x:c r="J220" s="1"/>
      <x:c r="K220" s="1" t="str">
        <x:v>GRAND-LIVRE-ORIGINAL-feuille-1.csv, ligne 254</x:v>
      </x:c>
    </x:row>
    <x:row r="221" ht="22" customHeight="1">
      <x:c r="A221" s="1" t="str">
        <x:v>5200</x:v>
      </x:c>
      <x:c r="B221" s="1" t="str">
        <x:v>Purchases</x:v>
      </x:c>
      <x:c r="C221" s="7" t="d">
        <x:v>2025-06-01T12:00:00.000Z</x:v>
      </x:c>
      <x:c r="D221" s="1" t="str">
        <x:v>Sysco</x:v>
      </x:c>
      <x:c r="E221" s="1" t="str">
        <x:v>Cash</x:v>
      </x:c>
      <x:c r="F221" s="1" t="str">
        <x:v>J591</x:v>
      </x:c>
      <x:c r="G221" s="9" t="n">
        <x:v>7449.97</x:v>
      </x:c>
      <x:c r="H221" s="9" t="n">
        <x:v>0</x:v>
      </x:c>
      <x:c r="I221" s="1" t="n">
        <x:v>255</x:v>
      </x:c>
      <x:c r="J221" s="1"/>
      <x:c r="K221" s="1" t="str">
        <x:v>GRAND-LIVRE-ORIGINAL-feuille-1.csv, ligne 255</x:v>
      </x:c>
    </x:row>
    <x:row r="222" ht="22" customHeight="1">
      <x:c r="A222" s="1" t="str">
        <x:v>5200</x:v>
      </x:c>
      <x:c r="B222" s="1" t="str">
        <x:v>Purchases</x:v>
      </x:c>
      <x:c r="C222" s="7" t="d">
        <x:v>2025-06-01T12:00:00.000Z</x:v>
      </x:c>
      <x:c r="D222" s="1" t="str">
        <x:v>Sysco</x:v>
      </x:c>
      <x:c r="E222" s="1" t="str">
        <x:v>Cash</x:v>
      </x:c>
      <x:c r="F222" s="1" t="str">
        <x:v>J592</x:v>
      </x:c>
      <x:c r="G222" s="9" t="n">
        <x:v>7503.47</x:v>
      </x:c>
      <x:c r="H222" s="9" t="n">
        <x:v>0</x:v>
      </x:c>
      <x:c r="I222" s="1" t="n">
        <x:v>256</x:v>
      </x:c>
      <x:c r="J222" s="1"/>
      <x:c r="K222" s="1" t="str">
        <x:v>GRAND-LIVRE-ORIGINAL-feuille-1.csv, ligne 256</x:v>
      </x:c>
    </x:row>
    <x:row r="223" ht="22" customHeight="1">
      <x:c r="A223" s="1" t="str">
        <x:v>5200</x:v>
      </x:c>
      <x:c r="B223" s="1" t="str">
        <x:v>Purchases</x:v>
      </x:c>
      <x:c r="C223" s="7" t="d">
        <x:v>2025-06-01T12:00:00.000Z</x:v>
      </x:c>
      <x:c r="D223" s="1" t="str">
        <x:v>Sysco</x:v>
      </x:c>
      <x:c r="E223" s="1" t="str">
        <x:v>Cash</x:v>
      </x:c>
      <x:c r="F223" s="1" t="str">
        <x:v>J593</x:v>
      </x:c>
      <x:c r="G223" s="9" t="n">
        <x:v>12271.89</x:v>
      </x:c>
      <x:c r="H223" s="9" t="n">
        <x:v>0</x:v>
      </x:c>
      <x:c r="I223" s="1" t="n">
        <x:v>257</x:v>
      </x:c>
      <x:c r="J223" s="1"/>
      <x:c r="K223" s="1" t="str">
        <x:v>GRAND-LIVRE-ORIGINAL-feuille-1.csv, ligne 257</x:v>
      </x:c>
    </x:row>
    <x:row r="224" ht="22" customHeight="1">
      <x:c r="A224" s="1" t="str">
        <x:v>5200</x:v>
      </x:c>
      <x:c r="B224" s="1" t="str">
        <x:v>Purchases</x:v>
      </x:c>
      <x:c r="C224" s="7" t="d">
        <x:v>2025-06-01T12:00:00.000Z</x:v>
      </x:c>
      <x:c r="D224" s="1" t="str">
        <x:v>Sysco</x:v>
      </x:c>
      <x:c r="E224" s="1" t="str">
        <x:v>Cash</x:v>
      </x:c>
      <x:c r="F224" s="1" t="str">
        <x:v>J594</x:v>
      </x:c>
      <x:c r="G224" s="9" t="n">
        <x:v>9977.26</x:v>
      </x:c>
      <x:c r="H224" s="9" t="n">
        <x:v>0</x:v>
      </x:c>
      <x:c r="I224" s="1" t="n">
        <x:v>258</x:v>
      </x:c>
      <x:c r="J224" s="1"/>
      <x:c r="K224" s="1" t="str">
        <x:v>GRAND-LIVRE-ORIGINAL-feuille-1.csv, ligne 258</x:v>
      </x:c>
    </x:row>
    <x:row r="225" ht="22" customHeight="1">
      <x:c r="A225" s="1" t="str">
        <x:v>5200</x:v>
      </x:c>
      <x:c r="B225" s="1" t="str">
        <x:v>Purchases</x:v>
      </x:c>
      <x:c r="C225" s="7" t="d">
        <x:v>2025-06-01T12:00:00.000Z</x:v>
      </x:c>
      <x:c r="D225" s="1" t="str">
        <x:v>We Go Trade</x:v>
      </x:c>
      <x:c r="E225" s="1" t="str">
        <x:v>Cash</x:v>
      </x:c>
      <x:c r="F225" s="1" t="str">
        <x:v>J595</x:v>
      </x:c>
      <x:c r="G225" s="9" t="n">
        <x:v>3229.4</x:v>
      </x:c>
      <x:c r="H225" s="9" t="n">
        <x:v>0</x:v>
      </x:c>
      <x:c r="I225" s="1" t="n">
        <x:v>259</x:v>
      </x:c>
      <x:c r="J225" s="1"/>
      <x:c r="K225" s="1" t="str">
        <x:v>GRAND-LIVRE-ORIGINAL-feuille-1.csv, ligne 259</x:v>
      </x:c>
    </x:row>
    <x:row r="226" ht="22" customHeight="1">
      <x:c r="A226" s="1" t="str">
        <x:v>5200</x:v>
      </x:c>
      <x:c r="B226" s="1" t="str">
        <x:v>Purchases</x:v>
      </x:c>
      <x:c r="C226" s="7" t="d">
        <x:v>2025-06-01T12:00:00.000Z</x:v>
      </x:c>
      <x:c r="D226" s="1" t="str">
        <x:v>Les Delice Lafrente</x:v>
      </x:c>
      <x:c r="E226" s="1" t="str">
        <x:v>Cash</x:v>
      </x:c>
      <x:c r="F226" s="1" t="str">
        <x:v>J596</x:v>
      </x:c>
      <x:c r="G226" s="9" t="n">
        <x:v>198.25</x:v>
      </x:c>
      <x:c r="H226" s="9" t="n">
        <x:v>0</x:v>
      </x:c>
      <x:c r="I226" s="1" t="n">
        <x:v>260</x:v>
      </x:c>
      <x:c r="J226" s="1"/>
      <x:c r="K226" s="1" t="str">
        <x:v>GRAND-LIVRE-ORIGINAL-feuille-1.csv, ligne 260</x:v>
      </x:c>
    </x:row>
    <x:row r="227" ht="22" customHeight="1">
      <x:c r="A227" s="1" t="str">
        <x:v>5200</x:v>
      </x:c>
      <x:c r="B227" s="1" t="str">
        <x:v>Purchases</x:v>
      </x:c>
      <x:c r="C227" s="7" t="d">
        <x:v>2025-06-01T12:00:00.000Z</x:v>
      </x:c>
      <x:c r="D227" s="1" t="str">
        <x:v>Les Delice Lafrente</x:v>
      </x:c>
      <x:c r="E227" s="1" t="str">
        <x:v>Cash</x:v>
      </x:c>
      <x:c r="F227" s="1" t="str">
        <x:v>J597</x:v>
      </x:c>
      <x:c r="G227" s="9" t="n">
        <x:v>266</x:v>
      </x:c>
      <x:c r="H227" s="9" t="n">
        <x:v>0</x:v>
      </x:c>
      <x:c r="I227" s="1" t="n">
        <x:v>261</x:v>
      </x:c>
      <x:c r="J227" s="1"/>
      <x:c r="K227" s="1" t="str">
        <x:v>GRAND-LIVRE-ORIGINAL-feuille-1.csv, ligne 261</x:v>
      </x:c>
    </x:row>
    <x:row r="228" ht="22" customHeight="1">
      <x:c r="A228" s="1" t="str">
        <x:v>5200</x:v>
      </x:c>
      <x:c r="B228" s="1" t="str">
        <x:v>Purchases</x:v>
      </x:c>
      <x:c r="C228" s="7" t="d">
        <x:v>2025-06-01T12:00:00.000Z</x:v>
      </x:c>
      <x:c r="D228" s="1" t="str">
        <x:v>Les Delice Lafrente</x:v>
      </x:c>
      <x:c r="E228" s="1" t="str">
        <x:v>Cash</x:v>
      </x:c>
      <x:c r="F228" s="1" t="str">
        <x:v>J598</x:v>
      </x:c>
      <x:c r="G228" s="9" t="n">
        <x:v>461.25</x:v>
      </x:c>
      <x:c r="H228" s="9" t="n">
        <x:v>0</x:v>
      </x:c>
      <x:c r="I228" s="1" t="n">
        <x:v>262</x:v>
      </x:c>
      <x:c r="J228" s="1"/>
      <x:c r="K228" s="1" t="str">
        <x:v>GRAND-LIVRE-ORIGINAL-feuille-1.csv, ligne 262</x:v>
      </x:c>
    </x:row>
    <x:row r="229" ht="22" customHeight="1">
      <x:c r="A229" s="1" t="str">
        <x:v>5200</x:v>
      </x:c>
      <x:c r="B229" s="1" t="str">
        <x:v>Purchases</x:v>
      </x:c>
      <x:c r="C229" s="7" t="d">
        <x:v>2025-06-01T12:00:00.000Z</x:v>
      </x:c>
      <x:c r="D229" s="1" t="str">
        <x:v>Les Delice Lafrente</x:v>
      </x:c>
      <x:c r="E229" s="1" t="str">
        <x:v>Cash</x:v>
      </x:c>
      <x:c r="F229" s="1" t="str">
        <x:v>J599</x:v>
      </x:c>
      <x:c r="G229" s="9" t="n">
        <x:v>157.5</x:v>
      </x:c>
      <x:c r="H229" s="9" t="n">
        <x:v>0</x:v>
      </x:c>
      <x:c r="I229" s="1" t="n">
        <x:v>263</x:v>
      </x:c>
      <x:c r="J229" s="1"/>
      <x:c r="K229" s="1" t="str">
        <x:v>GRAND-LIVRE-ORIGINAL-feuille-1.csv, ligne 263</x:v>
      </x:c>
    </x:row>
    <x:row r="230" ht="22" customHeight="1">
      <x:c r="A230" s="1" t="str">
        <x:v>5200</x:v>
      </x:c>
      <x:c r="B230" s="1" t="str">
        <x:v>Purchases</x:v>
      </x:c>
      <x:c r="C230" s="7" t="d">
        <x:v>2025-06-01T12:00:00.000Z</x:v>
      </x:c>
      <x:c r="D230" s="1" t="str">
        <x:v>Les Delice Lafrente</x:v>
      </x:c>
      <x:c r="E230" s="1" t="str">
        <x:v>Cash</x:v>
      </x:c>
      <x:c r="F230" s="1" t="str">
        <x:v>J600</x:v>
      </x:c>
      <x:c r="G230" s="9" t="n">
        <x:v>325.75</x:v>
      </x:c>
      <x:c r="H230" s="9" t="n">
        <x:v>0</x:v>
      </x:c>
      <x:c r="I230" s="1" t="n">
        <x:v>264</x:v>
      </x:c>
      <x:c r="J230" s="1"/>
      <x:c r="K230" s="1" t="str">
        <x:v>GRAND-LIVRE-ORIGINAL-feuille-1.csv, ligne 264</x:v>
      </x:c>
    </x:row>
    <x:row r="231" ht="22" customHeight="1">
      <x:c r="A231" s="1" t="str">
        <x:v>5200</x:v>
      </x:c>
      <x:c r="B231" s="1" t="str">
        <x:v>Purchases</x:v>
      </x:c>
      <x:c r="C231" s="7" t="d">
        <x:v>2025-06-01T12:00:00.000Z</x:v>
      </x:c>
      <x:c r="D231" s="1" t="str">
        <x:v>Les Delice Lafrente</x:v>
      </x:c>
      <x:c r="E231" s="1" t="str">
        <x:v>Cash</x:v>
      </x:c>
      <x:c r="F231" s="1" t="str">
        <x:v>J601</x:v>
      </x:c>
      <x:c r="G231" s="9" t="n">
        <x:v>224.5</x:v>
      </x:c>
      <x:c r="H231" s="9" t="n">
        <x:v>0</x:v>
      </x:c>
      <x:c r="I231" s="1" t="n">
        <x:v>265</x:v>
      </x:c>
      <x:c r="J231" s="1"/>
      <x:c r="K231" s="1" t="str">
        <x:v>GRAND-LIVRE-ORIGINAL-feuille-1.csv, ligne 265</x:v>
      </x:c>
    </x:row>
    <x:row r="232" ht="22" customHeight="1">
      <x:c r="A232" s="1" t="str">
        <x:v>5200</x:v>
      </x:c>
      <x:c r="B232" s="1" t="str">
        <x:v>Purchases</x:v>
      </x:c>
      <x:c r="C232" s="7" t="d">
        <x:v>2025-06-01T12:00:00.000Z</x:v>
      </x:c>
      <x:c r="D232" s="1" t="str">
        <x:v>Les Delice Lafrente</x:v>
      </x:c>
      <x:c r="E232" s="1" t="str">
        <x:v>Cash</x:v>
      </x:c>
      <x:c r="F232" s="1" t="str">
        <x:v>J602</x:v>
      </x:c>
      <x:c r="G232" s="9" t="n">
        <x:v>138</x:v>
      </x:c>
      <x:c r="H232" s="9" t="n">
        <x:v>0</x:v>
      </x:c>
      <x:c r="I232" s="1" t="n">
        <x:v>266</x:v>
      </x:c>
      <x:c r="J232" s="1"/>
      <x:c r="K232" s="1" t="str">
        <x:v>GRAND-LIVRE-ORIGINAL-feuille-1.csv, ligne 266</x:v>
      </x:c>
    </x:row>
    <x:row r="233" ht="22" customHeight="1">
      <x:c r="A233" s="1" t="str">
        <x:v>5200</x:v>
      </x:c>
      <x:c r="B233" s="1" t="str">
        <x:v>Purchases</x:v>
      </x:c>
      <x:c r="C233" s="7" t="d">
        <x:v>2025-06-01T12:00:00.000Z</x:v>
      </x:c>
      <x:c r="D233" s="1" t="str">
        <x:v>Les Delice Lafrente</x:v>
      </x:c>
      <x:c r="E233" s="1" t="str">
        <x:v>Cash</x:v>
      </x:c>
      <x:c r="F233" s="1" t="str">
        <x:v>J603</x:v>
      </x:c>
      <x:c r="G233" s="9" t="n">
        <x:v>272</x:v>
      </x:c>
      <x:c r="H233" s="9" t="n">
        <x:v>0</x:v>
      </x:c>
      <x:c r="I233" s="1" t="n">
        <x:v>267</x:v>
      </x:c>
      <x:c r="J233" s="1"/>
      <x:c r="K233" s="1" t="str">
        <x:v>GRAND-LIVRE-ORIGINAL-feuille-1.csv, ligne 267</x:v>
      </x:c>
    </x:row>
    <x:row r="234" ht="22" customHeight="1">
      <x:c r="A234" s="1" t="str">
        <x:v>5200</x:v>
      </x:c>
      <x:c r="B234" s="1" t="str">
        <x:v>Purchases</x:v>
      </x:c>
      <x:c r="C234" s="7" t="d">
        <x:v>2025-06-01T12:00:00.000Z</x:v>
      </x:c>
      <x:c r="D234" s="1" t="str">
        <x:v>Les Delice Lafrente</x:v>
      </x:c>
      <x:c r="E234" s="1" t="str">
        <x:v>Cash</x:v>
      </x:c>
      <x:c r="F234" s="1" t="str">
        <x:v>J604</x:v>
      </x:c>
      <x:c r="G234" s="9" t="n">
        <x:v>50</x:v>
      </x:c>
      <x:c r="H234" s="9" t="n">
        <x:v>0</x:v>
      </x:c>
      <x:c r="I234" s="1" t="n">
        <x:v>268</x:v>
      </x:c>
      <x:c r="J234" s="1"/>
      <x:c r="K234" s="1" t="str">
        <x:v>GRAND-LIVRE-ORIGINAL-feuille-1.csv, ligne 268</x:v>
      </x:c>
    </x:row>
    <x:row r="235" ht="22" customHeight="1">
      <x:c r="A235" s="1" t="str">
        <x:v>5200</x:v>
      </x:c>
      <x:c r="B235" s="1" t="str">
        <x:v>Purchases</x:v>
      </x:c>
      <x:c r="C235" s="7" t="d">
        <x:v>2025-06-01T12:00:00.000Z</x:v>
      </x:c>
      <x:c r="D235" s="1" t="str">
        <x:v>Les Delice Lafrente</x:v>
      </x:c>
      <x:c r="E235" s="1" t="str">
        <x:v>Cash</x:v>
      </x:c>
      <x:c r="F235" s="1" t="str">
        <x:v>J605</x:v>
      </x:c>
      <x:c r="G235" s="9" t="n">
        <x:v>259</x:v>
      </x:c>
      <x:c r="H235" s="9" t="n">
        <x:v>0</x:v>
      </x:c>
      <x:c r="I235" s="1" t="n">
        <x:v>269</x:v>
      </x:c>
      <x:c r="J235" s="1"/>
      <x:c r="K235" s="1" t="str">
        <x:v>GRAND-LIVRE-ORIGINAL-feuille-1.csv, ligne 269</x:v>
      </x:c>
    </x:row>
    <x:row r="236" ht="22" customHeight="1">
      <x:c r="A236" s="1" t="str">
        <x:v>5200</x:v>
      </x:c>
      <x:c r="B236" s="1" t="str">
        <x:v>Purchases</x:v>
      </x:c>
      <x:c r="C236" s="7" t="d">
        <x:v>2025-06-01T12:00:00.000Z</x:v>
      </x:c>
      <x:c r="D236" s="1" t="str">
        <x:v>Les Delice Lafrente</x:v>
      </x:c>
      <x:c r="E236" s="1" t="str">
        <x:v>Cash</x:v>
      </x:c>
      <x:c r="F236" s="1" t="str">
        <x:v>J606</x:v>
      </x:c>
      <x:c r="G236" s="9" t="n">
        <x:v>151</x:v>
      </x:c>
      <x:c r="H236" s="9" t="n">
        <x:v>0</x:v>
      </x:c>
      <x:c r="I236" s="1" t="n">
        <x:v>270</x:v>
      </x:c>
      <x:c r="J236" s="1"/>
      <x:c r="K236" s="1" t="str">
        <x:v>GRAND-LIVRE-ORIGINAL-feuille-1.csv, ligne 270</x:v>
      </x:c>
    </x:row>
    <x:row r="237" ht="22" customHeight="1">
      <x:c r="A237" s="1" t="str">
        <x:v>5200</x:v>
      </x:c>
      <x:c r="B237" s="1" t="str">
        <x:v>Purchases</x:v>
      </x:c>
      <x:c r="C237" s="7" t="d">
        <x:v>2025-06-01T12:00:00.000Z</x:v>
      </x:c>
      <x:c r="D237" s="1" t="str">
        <x:v>Les Delice Lafrente</x:v>
      </x:c>
      <x:c r="E237" s="1" t="str">
        <x:v>Cash</x:v>
      </x:c>
      <x:c r="F237" s="1" t="str">
        <x:v>J607</x:v>
      </x:c>
      <x:c r="G237" s="9" t="n">
        <x:v>479.75</x:v>
      </x:c>
      <x:c r="H237" s="9" t="n">
        <x:v>0</x:v>
      </x:c>
      <x:c r="I237" s="1" t="n">
        <x:v>271</x:v>
      </x:c>
      <x:c r="J237" s="1"/>
      <x:c r="K237" s="1" t="str">
        <x:v>GRAND-LIVRE-ORIGINAL-feuille-1.csv, ligne 271</x:v>
      </x:c>
    </x:row>
    <x:row r="238" ht="22" customHeight="1">
      <x:c r="A238" s="1" t="str">
        <x:v>5200</x:v>
      </x:c>
      <x:c r="B238" s="1" t="str">
        <x:v>Purchases</x:v>
      </x:c>
      <x:c r="C238" s="7" t="d">
        <x:v>2025-06-01T12:00:00.000Z</x:v>
      </x:c>
      <x:c r="D238" s="1" t="str">
        <x:v>Les Delice Lafrente</x:v>
      </x:c>
      <x:c r="E238" s="1" t="str">
        <x:v>Cash</x:v>
      </x:c>
      <x:c r="F238" s="1" t="str">
        <x:v>J608</x:v>
      </x:c>
      <x:c r="G238" s="9" t="n">
        <x:v>147.5</x:v>
      </x:c>
      <x:c r="H238" s="9" t="n">
        <x:v>0</x:v>
      </x:c>
      <x:c r="I238" s="1" t="n">
        <x:v>272</x:v>
      </x:c>
      <x:c r="J238" s="1"/>
      <x:c r="K238" s="1" t="str">
        <x:v>GRAND-LIVRE-ORIGINAL-feuille-1.csv, ligne 272</x:v>
      </x:c>
    </x:row>
    <x:row r="239" ht="22" customHeight="1">
      <x:c r="A239" s="1" t="str">
        <x:v>5200</x:v>
      </x:c>
      <x:c r="B239" s="1" t="str">
        <x:v>Purchases</x:v>
      </x:c>
      <x:c r="C239" s="7" t="d">
        <x:v>2025-06-30T12:00:00.000Z</x:v>
      </x:c>
      <x:c r="D239" s="1" t="str">
        <x:v>Rudolph</x:v>
      </x:c>
      <x:c r="E239" s="1" t="str">
        <x:v>Cash</x:v>
      </x:c>
      <x:c r="F239" s="1" t="str">
        <x:v>J624</x:v>
      </x:c>
      <x:c r="G239" s="9" t="n">
        <x:v>3947.7</x:v>
      </x:c>
      <x:c r="H239" s="9" t="n">
        <x:v>0</x:v>
      </x:c>
      <x:c r="I239" s="1" t="n">
        <x:v>273</x:v>
      </x:c>
      <x:c r="J239" s="1"/>
      <x:c r="K239" s="1" t="str">
        <x:v>GRAND-LIVRE-ORIGINAL-feuille-1.csv, ligne 273</x:v>
      </x:c>
    </x:row>
    <x:row r="240" ht="22" customHeight="1">
      <x:c r="A240" s="1" t="str">
        <x:v>5200</x:v>
      </x:c>
      <x:c r="B240" s="1" t="str">
        <x:v>Purchases</x:v>
      </x:c>
      <x:c r="C240" s="7" t="d">
        <x:v>2025-06-30T12:00:00.000Z</x:v>
      </x:c>
      <x:c r="D240" s="1" t="str">
        <x:v>Services De Cafe Van Houter</x:v>
      </x:c>
      <x:c r="E240" s="1" t="str">
        <x:v>Cash</x:v>
      </x:c>
      <x:c r="F240" s="1" t="str">
        <x:v>J633</x:v>
      </x:c>
      <x:c r="G240" s="9" t="n">
        <x:v>378.43</x:v>
      </x:c>
      <x:c r="H240" s="9" t="n">
        <x:v>0</x:v>
      </x:c>
      <x:c r="I240" s="1" t="n">
        <x:v>274</x:v>
      </x:c>
      <x:c r="J240" s="1"/>
      <x:c r="K240" s="1" t="str">
        <x:v>GRAND-LIVRE-ORIGINAL-feuille-1.csv, ligne 274</x:v>
      </x:c>
    </x:row>
    <x:row r="241" ht="22" customHeight="1">
      <x:c r="A241" s="1" t="str">
        <x:v>5200</x:v>
      </x:c>
      <x:c r="B241" s="1" t="str">
        <x:v>Purchases</x:v>
      </x:c>
      <x:c r="C241" s="7" t="d">
        <x:v>2025-06-30T12:00:00.000Z</x:v>
      </x:c>
      <x:c r="D241" s="1" t="str">
        <x:v>Services De Cafe Van Houter</x:v>
      </x:c>
      <x:c r="E241" s="1" t="str">
        <x:v>Cash</x:v>
      </x:c>
      <x:c r="F241" s="1" t="str">
        <x:v>J634</x:v>
      </x:c>
      <x:c r="G241" s="9" t="n">
        <x:v>153.9</x:v>
      </x:c>
      <x:c r="H241" s="9" t="n">
        <x:v>0</x:v>
      </x:c>
      <x:c r="I241" s="1" t="n">
        <x:v>275</x:v>
      </x:c>
      <x:c r="J241" s="1"/>
      <x:c r="K241" s="1" t="str">
        <x:v>GRAND-LIVRE-ORIGINAL-feuille-1.csv, ligne 275</x:v>
      </x:c>
    </x:row>
    <x:row r="242" ht="22" customHeight="1">
      <x:c r="A242" s="1" t="str">
        <x:v>5200</x:v>
      </x:c>
      <x:c r="B242" s="1" t="str">
        <x:v>Purchases</x:v>
      </x:c>
      <x:c r="C242" s="7" t="d">
        <x:v>2025-06-30T12:00:00.000Z</x:v>
      </x:c>
      <x:c r="D242" s="1" t="str">
        <x:v>Services De Cafe Van Houter</x:v>
      </x:c>
      <x:c r="E242" s="1" t="str">
        <x:v>Cash</x:v>
      </x:c>
      <x:c r="F242" s="1" t="str">
        <x:v>J635</x:v>
      </x:c>
      <x:c r="G242" s="9" t="n">
        <x:v>0</x:v>
      </x:c>
      <x:c r="H242" s="9" t="n">
        <x:v>124.62</x:v>
      </x:c>
      <x:c r="I242" s="1" t="n">
        <x:v>276</x:v>
      </x:c>
      <x:c r="J242" s="1"/>
      <x:c r="K242" s="1" t="str">
        <x:v>GRAND-LIVRE-ORIGINAL-feuille-1.csv, ligne 276</x:v>
      </x:c>
    </x:row>
    <x:row r="243" ht="22" customHeight="1">
      <x:c r="A243" s="1" t="str">
        <x:v>5200</x:v>
      </x:c>
      <x:c r="B243" s="1" t="str">
        <x:v>Purchases</x:v>
      </x:c>
      <x:c r="C243" s="7" t="d">
        <x:v>2025-06-30T12:00:00.000Z</x:v>
      </x:c>
      <x:c r="D243" s="1" t="str">
        <x:v>Services De Cafe Van Houter</x:v>
      </x:c>
      <x:c r="E243" s="1" t="str">
        <x:v>Cash</x:v>
      </x:c>
      <x:c r="F243" s="1" t="str">
        <x:v>J636</x:v>
      </x:c>
      <x:c r="G243" s="9" t="n">
        <x:v>378.43</x:v>
      </x:c>
      <x:c r="H243" s="9" t="n">
        <x:v>0</x:v>
      </x:c>
      <x:c r="I243" s="1" t="n">
        <x:v>277</x:v>
      </x:c>
      <x:c r="J243" s="1"/>
      <x:c r="K243" s="1" t="str">
        <x:v>GRAND-LIVRE-ORIGINAL-feuille-1.csv, ligne 277</x:v>
      </x:c>
    </x:row>
    <x:row r="244" ht="22" customHeight="1">
      <x:c r="A244" s="1" t="str">
        <x:v>5200</x:v>
      </x:c>
      <x:c r="B244" s="1" t="str">
        <x:v>Purchases</x:v>
      </x:c>
      <x:c r="C244" s="7" t="d">
        <x:v>2025-06-30T12:00:00.000Z</x:v>
      </x:c>
      <x:c r="D244" s="1" t="str">
        <x:v>Sysco</x:v>
      </x:c>
      <x:c r="E244" s="1" t="str">
        <x:v>Cash</x:v>
      </x:c>
      <x:c r="F244" s="1" t="str">
        <x:v>J637</x:v>
      </x:c>
      <x:c r="G244" s="9" t="n">
        <x:v>1264.23</x:v>
      </x:c>
      <x:c r="H244" s="9" t="n">
        <x:v>0</x:v>
      </x:c>
      <x:c r="I244" s="1" t="n">
        <x:v>278</x:v>
      </x:c>
      <x:c r="J244" s="1"/>
      <x:c r="K244" s="1" t="str">
        <x:v>GRAND-LIVRE-ORIGINAL-feuille-1.csv, ligne 278</x:v>
      </x:c>
    </x:row>
    <x:row r="245" ht="22" customHeight="1">
      <x:c r="A245" s="1" t="str">
        <x:v>5200</x:v>
      </x:c>
      <x:c r="B245" s="1" t="str">
        <x:v>Purchases</x:v>
      </x:c>
      <x:c r="C245" s="7" t="d">
        <x:v>2025-06-30T12:00:00.000Z</x:v>
      </x:c>
      <x:c r="D245" s="1" t="str">
        <x:v>Rudolph</x:v>
      </x:c>
      <x:c r="E245" s="1" t="str">
        <x:v>Cash</x:v>
      </x:c>
      <x:c r="F245" s="1" t="str">
        <x:v>J640</x:v>
      </x:c>
      <x:c r="G245" s="9" t="n">
        <x:v>3363.7</x:v>
      </x:c>
      <x:c r="H245" s="9" t="n">
        <x:v>0</x:v>
      </x:c>
      <x:c r="I245" s="1" t="n">
        <x:v>279</x:v>
      </x:c>
      <x:c r="J245" s="1"/>
      <x:c r="K245" s="1" t="str">
        <x:v>GRAND-LIVRE-ORIGINAL-feuille-1.csv, ligne 279</x:v>
      </x:c>
    </x:row>
    <x:row r="246" ht="22" customHeight="1">
      <x:c r="A246" s="1" t="str">
        <x:v>5200</x:v>
      </x:c>
      <x:c r="B246" s="1" t="str">
        <x:v>Purchases</x:v>
      </x:c>
      <x:c r="C246" s="7" t="d">
        <x:v>2025-06-30T12:00:00.000Z</x:v>
      </x:c>
      <x:c r="D246" s="1" t="str">
        <x:v>Scc Auger</x:v>
      </x:c>
      <x:c r="E246" s="1" t="str">
        <x:v>Cash</x:v>
      </x:c>
      <x:c r="F246" s="1" t="str">
        <x:v>J663</x:v>
      </x:c>
      <x:c r="G246" s="9" t="n">
        <x:v>308.75</x:v>
      </x:c>
      <x:c r="H246" s="9" t="n">
        <x:v>0</x:v>
      </x:c>
      <x:c r="I246" s="1" t="n">
        <x:v>280</x:v>
      </x:c>
      <x:c r="J246" s="1"/>
      <x:c r="K246" s="1" t="str">
        <x:v>GRAND-LIVRE-ORIGINAL-feuille-1.csv, ligne 280</x:v>
      </x:c>
    </x:row>
    <x:row r="247" ht="22" customHeight="1">
      <x:c r="A247" s="1" t="str">
        <x:v>5200</x:v>
      </x:c>
      <x:c r="B247" s="1" t="str">
        <x:v>Purchases</x:v>
      </x:c>
      <x:c r="C247" s="7" t="d">
        <x:v>2025-06-30T12:00:00.000Z</x:v>
      </x:c>
      <x:c r="D247" s="1" t="str">
        <x:v>Scc Auger</x:v>
      </x:c>
      <x:c r="E247" s="1" t="str">
        <x:v>Cash</x:v>
      </x:c>
      <x:c r="F247" s="1" t="str">
        <x:v>J665</x:v>
      </x:c>
      <x:c r="G247" s="9" t="n">
        <x:v>118.74</x:v>
      </x:c>
      <x:c r="H247" s="9" t="n">
        <x:v>0</x:v>
      </x:c>
      <x:c r="I247" s="1" t="n">
        <x:v>281</x:v>
      </x:c>
      <x:c r="J247" s="1"/>
      <x:c r="K247" s="1" t="str">
        <x:v>GRAND-LIVRE-ORIGINAL-feuille-1.csv, ligne 281</x:v>
      </x:c>
    </x:row>
    <x:row r="248" ht="22" customHeight="1">
      <x:c r="A248" s="1" t="str">
        <x:v>5200</x:v>
      </x:c>
      <x:c r="B248" s="1" t="str">
        <x:v>Purchases</x:v>
      </x:c>
      <x:c r="C248" s="7" t="d">
        <x:v>2025-06-30T12:00:00.000Z</x:v>
      </x:c>
      <x:c r="D248" s="1" t="str">
        <x:v>Les Delice Lafrente</x:v>
      </x:c>
      <x:c r="E248" s="1" t="str">
        <x:v>Cash</x:v>
      </x:c>
      <x:c r="F248" s="1" t="str">
        <x:v>J666</x:v>
      </x:c>
      <x:c r="G248" s="9" t="n">
        <x:v>845</x:v>
      </x:c>
      <x:c r="H248" s="9" t="n">
        <x:v>0</x:v>
      </x:c>
      <x:c r="I248" s="1" t="n">
        <x:v>282</x:v>
      </x:c>
      <x:c r="J248" s="1"/>
      <x:c r="K248" s="1" t="str">
        <x:v>GRAND-LIVRE-ORIGINAL-feuille-1.csv, ligne 282</x:v>
      </x:c>
    </x:row>
    <x:row r="249" ht="22" customHeight="1">
      <x:c r="A249" s="1" t="str">
        <x:v>5200</x:v>
      </x:c>
      <x:c r="B249" s="1" t="str">
        <x:v>Purchases</x:v>
      </x:c>
      <x:c r="C249" s="7" t="d">
        <x:v>2025-06-30T12:00:00.000Z</x:v>
      </x:c>
      <x:c r="D249" s="1" t="str">
        <x:v>Les Delice Lafrente</x:v>
      </x:c>
      <x:c r="E249" s="1" t="str">
        <x:v>Cash</x:v>
      </x:c>
      <x:c r="F249" s="1" t="str">
        <x:v>J668</x:v>
      </x:c>
      <x:c r="G249" s="9" t="n">
        <x:v>845</x:v>
      </x:c>
      <x:c r="H249" s="9" t="n">
        <x:v>0</x:v>
      </x:c>
      <x:c r="I249" s="1" t="n">
        <x:v>283</x:v>
      </x:c>
      <x:c r="J249" s="1"/>
      <x:c r="K249" s="1" t="str">
        <x:v>GRAND-LIVRE-ORIGINAL-feuille-1.csv, ligne 283</x:v>
      </x:c>
    </x:row>
    <x:row r="250" ht="22" customHeight="1">
      <x:c r="A250" s="1" t="str">
        <x:v>5200</x:v>
      </x:c>
      <x:c r="B250" s="1" t="str">
        <x:v>Purchases</x:v>
      </x:c>
      <x:c r="C250" s="7" t="d">
        <x:v>2025-06-30T12:00:00.000Z</x:v>
      </x:c>
      <x:c r="D250" s="1" t="str">
        <x:v>Les Delice Lafrente</x:v>
      </x:c>
      <x:c r="E250" s="1" t="str">
        <x:v>Cash</x:v>
      </x:c>
      <x:c r="F250" s="1" t="str">
        <x:v>J669</x:v>
      </x:c>
      <x:c r="G250" s="9" t="n">
        <x:v>148.5</x:v>
      </x:c>
      <x:c r="H250" s="9" t="n">
        <x:v>0</x:v>
      </x:c>
      <x:c r="I250" s="1" t="n">
        <x:v>284</x:v>
      </x:c>
      <x:c r="J250" s="1"/>
      <x:c r="K250" s="1" t="str">
        <x:v>GRAND-LIVRE-ORIGINAL-feuille-1.csv, ligne 284</x:v>
      </x:c>
    </x:row>
    <x:row r="251" ht="22" customHeight="1">
      <x:c r="A251" s="1" t="str">
        <x:v>5200</x:v>
      </x:c>
      <x:c r="B251" s="1" t="str">
        <x:v>Purchases</x:v>
      </x:c>
      <x:c r="C251" s="7" t="d">
        <x:v>2025-06-30T12:00:00.000Z</x:v>
      </x:c>
      <x:c r="D251" s="1" t="str">
        <x:v>Les Delice Lafrente</x:v>
      </x:c>
      <x:c r="E251" s="1" t="str">
        <x:v>Cash</x:v>
      </x:c>
      <x:c r="F251" s="1" t="str">
        <x:v>J670</x:v>
      </x:c>
      <x:c r="G251" s="9" t="n">
        <x:v>338.5</x:v>
      </x:c>
      <x:c r="H251" s="9" t="n">
        <x:v>0</x:v>
      </x:c>
      <x:c r="I251" s="1" t="n">
        <x:v>285</x:v>
      </x:c>
      <x:c r="J251" s="1"/>
      <x:c r="K251" s="1" t="str">
        <x:v>GRAND-LIVRE-ORIGINAL-feuille-1.csv, ligne 285</x:v>
      </x:c>
    </x:row>
    <x:row r="252" ht="22" customHeight="1">
      <x:c r="A252" s="1" t="str">
        <x:v>5200</x:v>
      </x:c>
      <x:c r="B252" s="1" t="str">
        <x:v>Purchases</x:v>
      </x:c>
      <x:c r="C252" s="7" t="d">
        <x:v>2025-06-30T12:00:00.000Z</x:v>
      </x:c>
      <x:c r="D252" s="1" t="str">
        <x:v>Les Delice Lafrente</x:v>
      </x:c>
      <x:c r="E252" s="1" t="str">
        <x:v>Cash</x:v>
      </x:c>
      <x:c r="F252" s="1" t="str">
        <x:v>J671</x:v>
      </x:c>
      <x:c r="G252" s="9" t="n">
        <x:v>845</x:v>
      </x:c>
      <x:c r="H252" s="9" t="n">
        <x:v>0</x:v>
      </x:c>
      <x:c r="I252" s="1" t="n">
        <x:v>286</x:v>
      </x:c>
      <x:c r="J252" s="1"/>
      <x:c r="K252" s="1" t="str">
        <x:v>GRAND-LIVRE-ORIGINAL-feuille-1.csv, ligne 286</x:v>
      </x:c>
    </x:row>
    <x:row r="253" ht="22" customHeight="1">
      <x:c r="A253" s="1" t="str">
        <x:v>5200</x:v>
      </x:c>
      <x:c r="B253" s="1" t="str">
        <x:v>Purchases</x:v>
      </x:c>
      <x:c r="C253" s="7" t="d">
        <x:v>2025-06-30T12:00:00.000Z</x:v>
      </x:c>
      <x:c r="D253" s="1" t="str">
        <x:v>Les Delice Lafrente</x:v>
      </x:c>
      <x:c r="E253" s="1" t="str">
        <x:v>Cash</x:v>
      </x:c>
      <x:c r="F253" s="1" t="str">
        <x:v>J672</x:v>
      </x:c>
      <x:c r="G253" s="9" t="n">
        <x:v>922</x:v>
      </x:c>
      <x:c r="H253" s="9" t="n">
        <x:v>0</x:v>
      </x:c>
      <x:c r="I253" s="1" t="n">
        <x:v>287</x:v>
      </x:c>
      <x:c r="J253" s="1"/>
      <x:c r="K253" s="1" t="str">
        <x:v>GRAND-LIVRE-ORIGINAL-feuille-1.csv, ligne 287</x:v>
      </x:c>
    </x:row>
    <x:row r="254" ht="22" customHeight="1">
      <x:c r="A254" s="1" t="str">
        <x:v>5200</x:v>
      </x:c>
      <x:c r="B254" s="1" t="str">
        <x:v>Purchases</x:v>
      </x:c>
      <x:c r="C254" s="7" t="d">
        <x:v>2025-06-30T12:00:00.000Z</x:v>
      </x:c>
      <x:c r="D254" s="1" t="str">
        <x:v>Les Delice Lafrente</x:v>
      </x:c>
      <x:c r="E254" s="1" t="str">
        <x:v>Cash</x:v>
      </x:c>
      <x:c r="F254" s="1" t="str">
        <x:v>J677</x:v>
      </x:c>
      <x:c r="G254" s="9" t="n">
        <x:v>147.5</x:v>
      </x:c>
      <x:c r="H254" s="9" t="n">
        <x:v>0</x:v>
      </x:c>
      <x:c r="I254" s="1" t="n">
        <x:v>288</x:v>
      </x:c>
      <x:c r="J254" s="1"/>
      <x:c r="K254" s="1" t="str">
        <x:v>GRAND-LIVRE-ORIGINAL-feuille-1.csv, ligne 288</x:v>
      </x:c>
    </x:row>
    <x:row r="255" ht="22" customHeight="1">
      <x:c r="A255" s="1" t="str">
        <x:v>5200</x:v>
      </x:c>
      <x:c r="B255" s="1" t="str">
        <x:v>Purchases</x:v>
      </x:c>
      <x:c r="C255" s="7" t="d">
        <x:v>2025-06-30T12:00:00.000Z</x:v>
      </x:c>
      <x:c r="D255" s="1" t="str">
        <x:v>Les Delice Lafrente</x:v>
      </x:c>
      <x:c r="E255" s="1" t="str">
        <x:v>Cash</x:v>
      </x:c>
      <x:c r="F255" s="1" t="str">
        <x:v>J678</x:v>
      </x:c>
      <x:c r="G255" s="9" t="n">
        <x:v>479.75</x:v>
      </x:c>
      <x:c r="H255" s="9" t="n">
        <x:v>0</x:v>
      </x:c>
      <x:c r="I255" s="1" t="n">
        <x:v>289</x:v>
      </x:c>
      <x:c r="J255" s="1"/>
      <x:c r="K255" s="1" t="str">
        <x:v>GRAND-LIVRE-ORIGINAL-feuille-1.csv, ligne 289</x:v>
      </x:c>
    </x:row>
    <x:row r="256" ht="22" customHeight="1">
      <x:c r="A256" s="1" t="str">
        <x:v>5200</x:v>
      </x:c>
      <x:c r="B256" s="1" t="str">
        <x:v>Purchases</x:v>
      </x:c>
      <x:c r="C256" s="7" t="d">
        <x:v>2025-06-30T12:00:00.000Z</x:v>
      </x:c>
      <x:c r="D256" s="1" t="str">
        <x:v>Les Delice Lafrente</x:v>
      </x:c>
      <x:c r="E256" s="1" t="str">
        <x:v>Cash</x:v>
      </x:c>
      <x:c r="F256" s="1" t="str">
        <x:v>J679</x:v>
      </x:c>
      <x:c r="G256" s="9" t="n">
        <x:v>320.75</x:v>
      </x:c>
      <x:c r="H256" s="9" t="n">
        <x:v>0</x:v>
      </x:c>
      <x:c r="I256" s="1" t="n">
        <x:v>290</x:v>
      </x:c>
      <x:c r="J256" s="1"/>
      <x:c r="K256" s="1" t="str">
        <x:v>GRAND-LIVRE-ORIGINAL-feuille-1.csv, ligne 290</x:v>
      </x:c>
    </x:row>
    <x:row r="257" ht="22" customHeight="1">
      <x:c r="A257" s="1" t="str">
        <x:v>5200</x:v>
      </x:c>
      <x:c r="B257" s="1" t="str">
        <x:v>Purchases</x:v>
      </x:c>
      <x:c r="C257" s="7" t="d">
        <x:v>2025-06-30T12:00:00.000Z</x:v>
      </x:c>
      <x:c r="D257" s="1" t="str">
        <x:v>Les Delice Lafrente</x:v>
      </x:c>
      <x:c r="E257" s="1" t="str">
        <x:v>Cash</x:v>
      </x:c>
      <x:c r="F257" s="1" t="str">
        <x:v>J680</x:v>
      </x:c>
      <x:c r="G257" s="9" t="n">
        <x:v>224.5</x:v>
      </x:c>
      <x:c r="H257" s="9" t="n">
        <x:v>0</x:v>
      </x:c>
      <x:c r="I257" s="1" t="n">
        <x:v>291</x:v>
      </x:c>
      <x:c r="J257" s="1"/>
      <x:c r="K257" s="1" t="str">
        <x:v>GRAND-LIVRE-ORIGINAL-feuille-1.csv, ligne 291</x:v>
      </x:c>
    </x:row>
    <x:row r="258" ht="22" customHeight="1">
      <x:c r="A258" s="1" t="str">
        <x:v>5200</x:v>
      </x:c>
      <x:c r="B258" s="1" t="str">
        <x:v>Purchases</x:v>
      </x:c>
      <x:c r="C258" s="7" t="d">
        <x:v>2025-06-30T12:00:00.000Z</x:v>
      </x:c>
      <x:c r="D258" s="1" t="str">
        <x:v>Les Delice Lafrente</x:v>
      </x:c>
      <x:c r="E258" s="1" t="str">
        <x:v>Cash</x:v>
      </x:c>
      <x:c r="F258" s="1" t="str">
        <x:v>J681</x:v>
      </x:c>
      <x:c r="G258" s="9" t="n">
        <x:v>104.5</x:v>
      </x:c>
      <x:c r="H258" s="9" t="n">
        <x:v>0</x:v>
      </x:c>
      <x:c r="I258" s="1" t="n">
        <x:v>292</x:v>
      </x:c>
      <x:c r="J258" s="1"/>
      <x:c r="K258" s="1" t="str">
        <x:v>GRAND-LIVRE-ORIGINAL-feuille-1.csv, ligne 292</x:v>
      </x:c>
    </x:row>
    <x:row r="259" ht="22" customHeight="1">
      <x:c r="A259" s="1" t="str">
        <x:v>5200</x:v>
      </x:c>
      <x:c r="B259" s="1" t="str">
        <x:v>Purchases</x:v>
      </x:c>
      <x:c r="C259" s="7" t="d">
        <x:v>2025-06-30T12:00:00.000Z</x:v>
      </x:c>
      <x:c r="D259" s="1" t="str">
        <x:v>Les Delice Lafrente</x:v>
      </x:c>
      <x:c r="E259" s="1" t="str">
        <x:v>Cash</x:v>
      </x:c>
      <x:c r="F259" s="1" t="str">
        <x:v>J682</x:v>
      </x:c>
      <x:c r="G259" s="9" t="n">
        <x:v>364.5</x:v>
      </x:c>
      <x:c r="H259" s="9" t="n">
        <x:v>0</x:v>
      </x:c>
      <x:c r="I259" s="1" t="n">
        <x:v>293</x:v>
      </x:c>
      <x:c r="J259" s="1"/>
      <x:c r="K259" s="1" t="str">
        <x:v>GRAND-LIVRE-ORIGINAL-feuille-1.csv, ligne 293</x:v>
      </x:c>
    </x:row>
    <x:row r="260" ht="22" customHeight="1">
      <x:c r="A260" s="1" t="str">
        <x:v>5200</x:v>
      </x:c>
      <x:c r="B260" s="1" t="str">
        <x:v>Purchases</x:v>
      </x:c>
      <x:c r="C260" s="7" t="d">
        <x:v>2025-06-30T12:00:00.000Z</x:v>
      </x:c>
      <x:c r="D260" s="1" t="str">
        <x:v>Les Delice Lafrente</x:v>
      </x:c>
      <x:c r="E260" s="1" t="str">
        <x:v>Cash</x:v>
      </x:c>
      <x:c r="F260" s="1" t="str">
        <x:v>J683</x:v>
      </x:c>
      <x:c r="G260" s="9" t="n">
        <x:v>364.5</x:v>
      </x:c>
      <x:c r="H260" s="9" t="n">
        <x:v>0</x:v>
      </x:c>
      <x:c r="I260" s="1" t="n">
        <x:v>294</x:v>
      </x:c>
      <x:c r="J260" s="1"/>
      <x:c r="K260" s="1" t="str">
        <x:v>GRAND-LIVRE-ORIGINAL-feuille-1.csv, ligne 294</x:v>
      </x:c>
    </x:row>
    <x:row r="261" ht="22" customHeight="1">
      <x:c r="A261" s="1" t="str">
        <x:v>5200</x:v>
      </x:c>
      <x:c r="B261" s="1" t="str">
        <x:v>Purchases</x:v>
      </x:c>
      <x:c r="C261" s="7" t="d">
        <x:v>2025-06-30T12:00:00.000Z</x:v>
      </x:c>
      <x:c r="D261" s="1" t="str">
        <x:v>Les Delice Lafrente</x:v>
      </x:c>
      <x:c r="E261" s="1" t="str">
        <x:v>Cash</x:v>
      </x:c>
      <x:c r="F261" s="1" t="str">
        <x:v>J684</x:v>
      </x:c>
      <x:c r="G261" s="9" t="n">
        <x:v>883</x:v>
      </x:c>
      <x:c r="H261" s="9" t="n">
        <x:v>0</x:v>
      </x:c>
      <x:c r="I261" s="1" t="n">
        <x:v>295</x:v>
      </x:c>
      <x:c r="J261" s="1"/>
      <x:c r="K261" s="1" t="str">
        <x:v>GRAND-LIVRE-ORIGINAL-feuille-1.csv, ligne 295</x:v>
      </x:c>
    </x:row>
    <x:row r="262" ht="22" customHeight="1">
      <x:c r="A262" s="1" t="str">
        <x:v>5200</x:v>
      </x:c>
      <x:c r="B262" s="1" t="str">
        <x:v>Purchases</x:v>
      </x:c>
      <x:c r="C262" s="7" t="d">
        <x:v>2025-06-30T12:00:00.000Z</x:v>
      </x:c>
      <x:c r="D262" s="1" t="str">
        <x:v>Les Delice Lafrente</x:v>
      </x:c>
      <x:c r="E262" s="1" t="str">
        <x:v>Cash</x:v>
      </x:c>
      <x:c r="F262" s="1" t="str">
        <x:v>J685</x:v>
      </x:c>
      <x:c r="G262" s="9" t="n">
        <x:v>327</x:v>
      </x:c>
      <x:c r="H262" s="9" t="n">
        <x:v>0</x:v>
      </x:c>
      <x:c r="I262" s="1" t="n">
        <x:v>296</x:v>
      </x:c>
      <x:c r="J262" s="1"/>
      <x:c r="K262" s="1" t="str">
        <x:v>GRAND-LIVRE-ORIGINAL-feuille-1.csv, ligne 296</x:v>
      </x:c>
    </x:row>
    <x:row r="263" ht="22" customHeight="1">
      <x:c r="A263" s="1" t="str">
        <x:v>5200</x:v>
      </x:c>
      <x:c r="B263" s="1" t="str">
        <x:v>Purchases</x:v>
      </x:c>
      <x:c r="C263" s="7" t="d">
        <x:v>2025-06-30T12:00:00.000Z</x:v>
      </x:c>
      <x:c r="D263" s="1" t="str">
        <x:v>Les Delice Lafrente</x:v>
      </x:c>
      <x:c r="E263" s="1" t="str">
        <x:v>Cash</x:v>
      </x:c>
      <x:c r="F263" s="1" t="str">
        <x:v>J686</x:v>
      </x:c>
      <x:c r="G263" s="9" t="n">
        <x:v>148.5</x:v>
      </x:c>
      <x:c r="H263" s="9" t="n">
        <x:v>0</x:v>
      </x:c>
      <x:c r="I263" s="1" t="n">
        <x:v>297</x:v>
      </x:c>
      <x:c r="J263" s="1"/>
      <x:c r="K263" s="1" t="str">
        <x:v>GRAND-LIVRE-ORIGINAL-feuille-1.csv, ligne 297</x:v>
      </x:c>
    </x:row>
    <x:row r="264" ht="22" customHeight="1">
      <x:c r="A264" s="1" t="str">
        <x:v>5200</x:v>
      </x:c>
      <x:c r="B264" s="1" t="str">
        <x:v>Purchases</x:v>
      </x:c>
      <x:c r="C264" s="7" t="d">
        <x:v>2025-06-30T12:00:00.000Z</x:v>
      </x:c>
      <x:c r="D264" s="1" t="str">
        <x:v>Les Delice Lafrente</x:v>
      </x:c>
      <x:c r="E264" s="1" t="str">
        <x:v>Cash</x:v>
      </x:c>
      <x:c r="F264" s="1" t="str">
        <x:v>J687</x:v>
      </x:c>
      <x:c r="G264" s="9" t="n">
        <x:v>845</x:v>
      </x:c>
      <x:c r="H264" s="9" t="n">
        <x:v>0</x:v>
      </x:c>
      <x:c r="I264" s="1" t="n">
        <x:v>298</x:v>
      </x:c>
      <x:c r="J264" s="1"/>
      <x:c r="K264" s="1" t="str">
        <x:v>GRAND-LIVRE-ORIGINAL-feuille-1.csv, ligne 298</x:v>
      </x:c>
    </x:row>
    <x:row r="265" ht="22" customHeight="1">
      <x:c r="A265" s="1" t="str">
        <x:v>5200</x:v>
      </x:c>
      <x:c r="B265" s="1" t="str">
        <x:v>Purchases</x:v>
      </x:c>
      <x:c r="C265" s="7" t="d">
        <x:v>2025-06-30T12:00:00.000Z</x:v>
      </x:c>
      <x:c r="D265" s="1" t="str">
        <x:v>Les Delice Lafrente</x:v>
      </x:c>
      <x:c r="E265" s="1" t="str">
        <x:v>Cash</x:v>
      </x:c>
      <x:c r="F265" s="1" t="str">
        <x:v>J688</x:v>
      </x:c>
      <x:c r="G265" s="9" t="n">
        <x:v>838.5</x:v>
      </x:c>
      <x:c r="H265" s="9" t="n">
        <x:v>0</x:v>
      </x:c>
      <x:c r="I265" s="1" t="n">
        <x:v>299</x:v>
      </x:c>
      <x:c r="J265" s="1"/>
      <x:c r="K265" s="1" t="str">
        <x:v>GRAND-LIVRE-ORIGINAL-feuille-1.csv, ligne 299</x:v>
      </x:c>
    </x:row>
    <x:row r="266" ht="22" customHeight="1">
      <x:c r="A266" s="1" t="str">
        <x:v>5200</x:v>
      </x:c>
      <x:c r="B266" s="1" t="str">
        <x:v>Purchases</x:v>
      </x:c>
      <x:c r="C266" s="7" t="d">
        <x:v>2025-06-30T12:00:00.000Z</x:v>
      </x:c>
      <x:c r="D266" s="1" t="str">
        <x:v>Les Delice Lafrente</x:v>
      </x:c>
      <x:c r="E266" s="1" t="str">
        <x:v>Cash</x:v>
      </x:c>
      <x:c r="F266" s="1" t="str">
        <x:v>J689</x:v>
      </x:c>
      <x:c r="G266" s="9" t="n">
        <x:v>922</x:v>
      </x:c>
      <x:c r="H266" s="9" t="n">
        <x:v>0</x:v>
      </x:c>
      <x:c r="I266" s="1" t="n">
        <x:v>300</x:v>
      </x:c>
      <x:c r="J266" s="1"/>
      <x:c r="K266" s="1" t="str">
        <x:v>GRAND-LIVRE-ORIGINAL-feuille-1.csv, ligne 300</x:v>
      </x:c>
    </x:row>
    <x:row r="267" ht="22" customHeight="1">
      <x:c r="A267" s="1" t="str">
        <x:v>5200</x:v>
      </x:c>
      <x:c r="B267" s="1" t="str">
        <x:v>Purchases</x:v>
      </x:c>
      <x:c r="C267" s="7" t="d">
        <x:v>2025-06-30T12:00:00.000Z</x:v>
      </x:c>
      <x:c r="D267" s="1" t="str">
        <x:v>L'Hermine SENC</x:v>
      </x:c>
      <x:c r="E267" s="1" t="str">
        <x:v>Cash</x:v>
      </x:c>
      <x:c r="F267" s="1" t="str">
        <x:v>J698</x:v>
      </x:c>
      <x:c r="G267" s="9" t="n">
        <x:v>353.24</x:v>
      </x:c>
      <x:c r="H267" s="9" t="n">
        <x:v>0</x:v>
      </x:c>
      <x:c r="I267" s="1" t="n">
        <x:v>301</x:v>
      </x:c>
      <x:c r="J267" s="1"/>
      <x:c r="K267" s="1" t="str">
        <x:v>GRAND-LIVRE-ORIGINAL-feuille-1.csv, ligne 301</x:v>
      </x:c>
    </x:row>
    <x:row r="268" ht="22" customHeight="1">
      <x:c r="A268" s="1" t="str">
        <x:v>5200</x:v>
      </x:c>
      <x:c r="B268" s="1" t="str">
        <x:v>Purchases</x:v>
      </x:c>
      <x:c r="C268" s="7" t="d">
        <x:v>2025-06-30T12:00:00.000Z</x:v>
      </x:c>
      <x:c r="D268" s="1" t="str">
        <x:v>Kenzap</x:v>
      </x:c>
      <x:c r="E268" s="1" t="str">
        <x:v>Cash</x:v>
      </x:c>
      <x:c r="F268" s="1" t="str">
        <x:v>J699</x:v>
      </x:c>
      <x:c r="G268" s="9" t="n">
        <x:v>45</x:v>
      </x:c>
      <x:c r="H268" s="9" t="n">
        <x:v>0</x:v>
      </x:c>
      <x:c r="I268" s="1" t="n">
        <x:v>302</x:v>
      </x:c>
      <x:c r="J268" s="1"/>
      <x:c r="K268" s="1" t="str">
        <x:v>GRAND-LIVRE-ORIGINAL-feuille-1.csv, ligne 302</x:v>
      </x:c>
    </x:row>
    <x:row r="269" ht="22" customHeight="1">
      <x:c r="A269" s="1" t="str">
        <x:v>5200</x:v>
      </x:c>
      <x:c r="B269" s="1" t="str">
        <x:v>Purchases</x:v>
      </x:c>
      <x:c r="C269" s="7" t="d">
        <x:v>2025-06-30T12:00:00.000Z</x:v>
      </x:c>
      <x:c r="D269" s="1" t="str">
        <x:v>Les Delice Lafrente</x:v>
      </x:c>
      <x:c r="E269" s="1" t="str">
        <x:v>Cash</x:v>
      </x:c>
      <x:c r="F269" s="1" t="str">
        <x:v>J700</x:v>
      </x:c>
      <x:c r="G269" s="9" t="n">
        <x:v>922</x:v>
      </x:c>
      <x:c r="H269" s="9" t="n">
        <x:v>0</x:v>
      </x:c>
      <x:c r="I269" s="1" t="n">
        <x:v>303</x:v>
      </x:c>
      <x:c r="J269" s="1"/>
      <x:c r="K269" s="1" t="str">
        <x:v>GRAND-LIVRE-ORIGINAL-feuille-1.csv, ligne 303</x:v>
      </x:c>
    </x:row>
    <x:row r="270" ht="22" customHeight="1">
      <x:c r="A270" s="1" t="str">
        <x:v>5200</x:v>
      </x:c>
      <x:c r="B270" s="1" t="str">
        <x:v>Purchases</x:v>
      </x:c>
      <x:c r="C270" s="7" t="d">
        <x:v>2025-06-30T12:00:00.000Z</x:v>
      </x:c>
      <x:c r="D270" s="1" t="str">
        <x:v>Carrousel</x:v>
      </x:c>
      <x:c r="E270" s="1" t="str">
        <x:v>Cash</x:v>
      </x:c>
      <x:c r="F270" s="1" t="str">
        <x:v>J701</x:v>
      </x:c>
      <x:c r="G270" s="9" t="n">
        <x:v>1102.54</x:v>
      </x:c>
      <x:c r="H270" s="9" t="n">
        <x:v>0</x:v>
      </x:c>
      <x:c r="I270" s="1" t="n">
        <x:v>304</x:v>
      </x:c>
      <x:c r="J270" s="1"/>
      <x:c r="K270" s="1" t="str">
        <x:v>GRAND-LIVRE-ORIGINAL-feuille-1.csv, ligne 304</x:v>
      </x:c>
    </x:row>
    <x:row r="271" ht="22" customHeight="1">
      <x:c r="A271" s="1" t="str">
        <x:v>5200</x:v>
      </x:c>
      <x:c r="B271" s="1" t="str">
        <x:v>Purchases</x:v>
      </x:c>
      <x:c r="C271" s="7" t="d">
        <x:v>2025-06-30T12:00:00.000Z</x:v>
      </x:c>
      <x:c r="D271" s="1" t="str">
        <x:v>Jus Dose</x:v>
      </x:c>
      <x:c r="E271" s="1" t="str">
        <x:v>Cash</x:v>
      </x:c>
      <x:c r="F271" s="1" t="str">
        <x:v>J702</x:v>
      </x:c>
      <x:c r="G271" s="9" t="n">
        <x:v>2056.8</x:v>
      </x:c>
      <x:c r="H271" s="9" t="n">
        <x:v>0</x:v>
      </x:c>
      <x:c r="I271" s="1" t="n">
        <x:v>305</x:v>
      </x:c>
      <x:c r="J271" s="1"/>
      <x:c r="K271" s="1" t="str">
        <x:v>GRAND-LIVRE-ORIGINAL-feuille-1.csv, ligne 305</x:v>
      </x:c>
    </x:row>
    <x:row r="272" ht="22" customHeight="1">
      <x:c r="A272" s="1" t="str">
        <x:v>5200</x:v>
      </x:c>
      <x:c r="B272" s="1" t="str">
        <x:v>Purchases</x:v>
      </x:c>
      <x:c r="C272" s="7" t="d">
        <x:v>2025-06-30T12:00:00.000Z</x:v>
      </x:c>
      <x:c r="D272" s="1" t="str">
        <x:v>Jus Dose</x:v>
      </x:c>
      <x:c r="E272" s="1" t="str">
        <x:v>Cash</x:v>
      </x:c>
      <x:c r="F272" s="1" t="str">
        <x:v>J703</x:v>
      </x:c>
      <x:c r="G272" s="9" t="n">
        <x:v>2283.06</x:v>
      </x:c>
      <x:c r="H272" s="9" t="n">
        <x:v>0</x:v>
      </x:c>
      <x:c r="I272" s="1" t="n">
        <x:v>306</x:v>
      </x:c>
      <x:c r="J272" s="1"/>
      <x:c r="K272" s="1" t="str">
        <x:v>GRAND-LIVRE-ORIGINAL-feuille-1.csv, ligne 306</x:v>
      </x:c>
    </x:row>
    <x:row r="273" ht="22" customHeight="1">
      <x:c r="A273" s="1" t="str">
        <x:v>5200</x:v>
      </x:c>
      <x:c r="B273" s="1" t="str">
        <x:v>Purchases</x:v>
      </x:c>
      <x:c r="C273" s="7" t="d">
        <x:v>2025-06-30T12:00:00.000Z</x:v>
      </x:c>
      <x:c r="D273" s="1" t="str">
        <x:v>Jus Dose</x:v>
      </x:c>
      <x:c r="E273" s="1" t="str">
        <x:v>Cash</x:v>
      </x:c>
      <x:c r="F273" s="1" t="str">
        <x:v>J704</x:v>
      </x:c>
      <x:c r="G273" s="9" t="n">
        <x:v>2157.36</x:v>
      </x:c>
      <x:c r="H273" s="9" t="n">
        <x:v>0</x:v>
      </x:c>
      <x:c r="I273" s="1" t="n">
        <x:v>307</x:v>
      </x:c>
      <x:c r="J273" s="1"/>
      <x:c r="K273" s="1" t="str">
        <x:v>GRAND-LIVRE-ORIGINAL-feuille-1.csv, ligne 307</x:v>
      </x:c>
    </x:row>
    <x:row r="274" ht="22" customHeight="1">
      <x:c r="A274" s="1" t="str">
        <x:v>5200</x:v>
      </x:c>
      <x:c r="B274" s="1" t="str">
        <x:v>Purchases</x:v>
      </x:c>
      <x:c r="C274" s="7" t="d">
        <x:v>2025-06-30T12:00:00.000Z</x:v>
      </x:c>
      <x:c r="D274" s="1" t="str">
        <x:v>Les Delice Lafrente</x:v>
      </x:c>
      <x:c r="E274" s="1" t="str">
        <x:v>Cash</x:v>
      </x:c>
      <x:c r="F274" s="1" t="str">
        <x:v>J706</x:v>
      </x:c>
      <x:c r="G274" s="9" t="n">
        <x:v>338.5</x:v>
      </x:c>
      <x:c r="H274" s="9" t="n">
        <x:v>0</x:v>
      </x:c>
      <x:c r="I274" s="1" t="n">
        <x:v>308</x:v>
      </x:c>
      <x:c r="J274" s="1"/>
      <x:c r="K274" s="1" t="str">
        <x:v>GRAND-LIVRE-ORIGINAL-feuille-1.csv, ligne 308</x:v>
      </x:c>
    </x:row>
    <x:row r="275" ht="22" customHeight="1">
      <x:c r="A275" s="1" t="str">
        <x:v>5200</x:v>
      </x:c>
      <x:c r="B275" s="1" t="str">
        <x:v>Purchases</x:v>
      </x:c>
      <x:c r="C275" s="7" t="d">
        <x:v>2025-06-30T12:00:00.000Z</x:v>
      </x:c>
      <x:c r="D275" s="1" t="str">
        <x:v>Rudolph</x:v>
      </x:c>
      <x:c r="E275" s="1" t="str">
        <x:v>Cash</x:v>
      </x:c>
      <x:c r="F275" s="1" t="str">
        <x:v>J707</x:v>
      </x:c>
      <x:c r="G275" s="9" t="n">
        <x:v>3363.7</x:v>
      </x:c>
      <x:c r="H275" s="9" t="n">
        <x:v>0</x:v>
      </x:c>
      <x:c r="I275" s="1" t="n">
        <x:v>309</x:v>
      </x:c>
      <x:c r="J275" s="1"/>
      <x:c r="K275" s="1" t="str">
        <x:v>GRAND-LIVRE-ORIGINAL-feuille-1.csv, ligne 309</x:v>
      </x:c>
    </x:row>
    <x:row r="276" ht="22" customHeight="1">
      <x:c r="A276" s="1" t="str">
        <x:v>5200</x:v>
      </x:c>
      <x:c r="B276" s="1" t="str">
        <x:v>Purchases</x:v>
      </x:c>
      <x:c r="C276" s="7" t="d">
        <x:v>2025-06-30T12:00:00.000Z</x:v>
      </x:c>
      <x:c r="D276" s="1" t="str">
        <x:v>Too Good to Go</x:v>
      </x:c>
      <x:c r="E276" s="1" t="str">
        <x:v>Cash</x:v>
      </x:c>
      <x:c r="F276" s="1" t="str">
        <x:v>J708</x:v>
      </x:c>
      <x:c r="G276" s="9" t="n">
        <x:v>4.99</x:v>
      </x:c>
      <x:c r="H276" s="9" t="n">
        <x:v>0</x:v>
      </x:c>
      <x:c r="I276" s="1" t="n">
        <x:v>310</x:v>
      </x:c>
      <x:c r="J276" s="1"/>
      <x:c r="K276" s="1" t="str">
        <x:v>GRAND-LIVRE-ORIGINAL-feuille-1.csv, ligne 310</x:v>
      </x:c>
    </x:row>
    <x:row r="277" ht="22" customHeight="1">
      <x:c r="A277" s="1" t="str">
        <x:v>5200</x:v>
      </x:c>
      <x:c r="B277" s="1" t="str">
        <x:v>Purchases</x:v>
      </x:c>
      <x:c r="C277" s="7" t="d">
        <x:v>2025-06-30T12:00:00.000Z</x:v>
      </x:c>
      <x:c r="D277" s="1" t="str">
        <x:v>Too Good to Go</x:v>
      </x:c>
      <x:c r="E277" s="1" t="str">
        <x:v>Cash</x:v>
      </x:c>
      <x:c r="F277" s="1" t="str">
        <x:v>J709</x:v>
      </x:c>
      <x:c r="G277" s="9" t="n">
        <x:v>4.99</x:v>
      </x:c>
      <x:c r="H277" s="9" t="n">
        <x:v>0</x:v>
      </x:c>
      <x:c r="I277" s="1" t="n">
        <x:v>311</x:v>
      </x:c>
      <x:c r="J277" s="1"/>
      <x:c r="K277" s="1" t="str">
        <x:v>GRAND-LIVRE-ORIGINAL-feuille-1.csv, ligne 311</x:v>
      </x:c>
    </x:row>
    <x:row r="278" ht="22" customHeight="1">
      <x:c r="A278" s="1" t="str">
        <x:v>5200</x:v>
      </x:c>
      <x:c r="B278" s="1" t="str">
        <x:v>Purchases</x:v>
      </x:c>
      <x:c r="C278" s="7" t="d">
        <x:v>2025-06-30T12:00:00.000Z</x:v>
      </x:c>
      <x:c r="D278" s="1" t="str">
        <x:v>Too Good to Go</x:v>
      </x:c>
      <x:c r="E278" s="1" t="str">
        <x:v>Cash</x:v>
      </x:c>
      <x:c r="F278" s="1" t="str">
        <x:v>J710</x:v>
      </x:c>
      <x:c r="G278" s="9" t="n">
        <x:v>49.92</x:v>
      </x:c>
      <x:c r="H278" s="9" t="n">
        <x:v>0</x:v>
      </x:c>
      <x:c r="I278" s="1" t="n">
        <x:v>312</x:v>
      </x:c>
      <x:c r="J278" s="1"/>
      <x:c r="K278" s="1" t="str">
        <x:v>GRAND-LIVRE-ORIGINAL-feuille-1.csv, ligne 312</x:v>
      </x:c>
    </x:row>
    <x:row r="279" ht="22" customHeight="1">
      <x:c r="A279" s="1" t="str">
        <x:v>5300</x:v>
      </x:c>
      <x:c r="B279" s="1" t="str">
        <x:v>Freight Expense</x:v>
      </x:c>
      <x:c r="C279" s="7" t="d">
        <x:v>2025-02-01T12:00:00.000Z</x:v>
      </x:c>
      <x:c r="D279" s="1" t="str">
        <x:v>Harmony Movers</x:v>
      </x:c>
      <x:c r="E279" s="1" t="str">
        <x:v>Cash</x:v>
      </x:c>
      <x:c r="F279" s="1" t="str">
        <x:v>J402</x:v>
      </x:c>
      <x:c r="G279" s="9" t="n">
        <x:v>25</x:v>
      </x:c>
      <x:c r="H279" s="9" t="n">
        <x:v>0</x:v>
      </x:c>
      <x:c r="I279" s="1" t="n">
        <x:v>320</x:v>
      </x:c>
      <x:c r="J279" s="1"/>
      <x:c r="K279" s="1" t="str">
        <x:v>GRAND-LIVRE-ORIGINAL-feuille-1.csv, ligne 320</x:v>
      </x:c>
    </x:row>
    <x:row r="280" ht="22" customHeight="1">
      <x:c r="A280" s="1" t="str">
        <x:v>5300</x:v>
      </x:c>
      <x:c r="B280" s="1" t="str">
        <x:v>Freight Expense</x:v>
      </x:c>
      <x:c r="C280" s="7" t="d">
        <x:v>2025-06-01T12:00:00.000Z</x:v>
      </x:c>
      <x:c r="D280" s="1" t="str">
        <x:v>U-Haul</x:v>
      </x:c>
      <x:c r="E280" s="1" t="str">
        <x:v>Cash</x:v>
      </x:c>
      <x:c r="F280" s="1" t="str">
        <x:v>J583</x:v>
      </x:c>
      <x:c r="G280" s="9" t="n">
        <x:v>552.83</x:v>
      </x:c>
      <x:c r="H280" s="9" t="n">
        <x:v>0</x:v>
      </x:c>
      <x:c r="I280" s="1" t="n">
        <x:v>321</x:v>
      </x:c>
      <x:c r="J280" s="1"/>
      <x:c r="K280" s="1" t="str">
        <x:v>GRAND-LIVRE-ORIGINAL-feuille-1.csv, ligne 321</x:v>
      </x:c>
    </x:row>
    <x:row r="281" ht="22" customHeight="1">
      <x:c r="A281" s="1" t="str">
        <x:v>5300</x:v>
      </x:c>
      <x:c r="B281" s="1" t="str">
        <x:v>Freight Expense</x:v>
      </x:c>
      <x:c r="C281" s="7" t="d">
        <x:v>2025-06-01T12:00:00.000Z</x:v>
      </x:c>
      <x:c r="D281" s="1" t="str">
        <x:v>U-Haul</x:v>
      </x:c>
      <x:c r="E281" s="1" t="str">
        <x:v>Cash</x:v>
      </x:c>
      <x:c r="F281" s="1" t="str">
        <x:v>J586</x:v>
      </x:c>
      <x:c r="G281" s="9" t="n">
        <x:v>513.24</x:v>
      </x:c>
      <x:c r="H281" s="9" t="n">
        <x:v>0</x:v>
      </x:c>
      <x:c r="I281" s="1" t="n">
        <x:v>322</x:v>
      </x:c>
      <x:c r="J281" s="1"/>
      <x:c r="K281" s="1" t="str">
        <x:v>GRAND-LIVRE-ORIGINAL-feuille-1.csv, ligne 322</x:v>
      </x:c>
    </x:row>
    <x:row r="282" ht="22" customHeight="1">
      <x:c r="A282" s="1" t="str">
        <x:v>5300</x:v>
      </x:c>
      <x:c r="B282" s="1" t="str">
        <x:v>Freight Expense</x:v>
      </x:c>
      <x:c r="C282" s="7" t="d">
        <x:v>2025-06-30T12:00:00.000Z</x:v>
      </x:c>
      <x:c r="D282" s="1" t="str">
        <x:v>SLM Distributiuon</x:v>
      </x:c>
      <x:c r="E282" s="1" t="str">
        <x:v>Cash</x:v>
      </x:c>
      <x:c r="F282" s="1" t="str">
        <x:v>J638</x:v>
      </x:c>
      <x:c r="G282" s="9" t="n">
        <x:v>1045.76</x:v>
      </x:c>
      <x:c r="H282" s="9" t="n">
        <x:v>0</x:v>
      </x:c>
      <x:c r="I282" s="1" t="n">
        <x:v>323</x:v>
      </x:c>
      <x:c r="J282" s="1"/>
      <x:c r="K282" s="1" t="str">
        <x:v>GRAND-LIVRE-ORIGINAL-feuille-1.csv, ligne 323</x:v>
      </x:c>
    </x:row>
    <x:row r="283" ht="22" customHeight="1">
      <x:c r="A283" s="1" t="str">
        <x:v>5300</x:v>
      </x:c>
      <x:c r="B283" s="1" t="str">
        <x:v>Freight Expense</x:v>
      </x:c>
      <x:c r="C283" s="7" t="d">
        <x:v>2025-06-30T12:00:00.000Z</x:v>
      </x:c>
      <x:c r="D283" s="1" t="str">
        <x:v>SLM Distributiuon</x:v>
      </x:c>
      <x:c r="E283" s="1" t="str">
        <x:v>Cash</x:v>
      </x:c>
      <x:c r="F283" s="1" t="str">
        <x:v>J639</x:v>
      </x:c>
      <x:c r="G283" s="9" t="n">
        <x:v>59.99</x:v>
      </x:c>
      <x:c r="H283" s="9" t="n">
        <x:v>0</x:v>
      </x:c>
      <x:c r="I283" s="1" t="n">
        <x:v>324</x:v>
      </x:c>
      <x:c r="J283" s="1"/>
      <x:c r="K283" s="1" t="str">
        <x:v>GRAND-LIVRE-ORIGINAL-feuille-1.csv, ligne 324</x:v>
      </x:c>
    </x:row>
    <x:row r="284" ht="22" customHeight="1">
      <x:c r="A284" s="1" t="str">
        <x:v>5610</x:v>
      </x:c>
      <x:c r="B284" s="1" t="str">
        <x:v>Accounting &amp; Legal</x:v>
      </x:c>
      <x:c r="C284" s="7" t="d">
        <x:v>2024-11-26T12:00:00.000Z</x:v>
      </x:c>
      <x:c r="D284" s="1" t="str">
        <x:v>Comptable</x:v>
      </x:c>
      <x:c r="E284" s="1" t="str">
        <x:v>Cash</x:v>
      </x:c>
      <x:c r="F284" s="1" t="str">
        <x:v>J80</x:v>
      </x:c>
      <x:c r="G284" s="9" t="n">
        <x:v>300</x:v>
      </x:c>
      <x:c r="H284" s="9" t="n">
        <x:v>0</x:v>
      </x:c>
      <x:c r="I284" s="1" t="n">
        <x:v>354</x:v>
      </x:c>
      <x:c r="J284" s="1"/>
      <x:c r="K284" s="1" t="str">
        <x:v>GRAND-LIVRE-ORIGINAL-feuille-1.csv, ligne 354</x:v>
      </x:c>
    </x:row>
    <x:row r="285" ht="22" customHeight="1">
      <x:c r="A285" s="1" t="str">
        <x:v>5610</x:v>
      </x:c>
      <x:c r="B285" s="1" t="str">
        <x:v>Accounting &amp; Legal</x:v>
      </x:c>
      <x:c r="C285" s="7" t="d">
        <x:v>2024-12-11T12:00:00.000Z</x:v>
      </x:c>
      <x:c r="D285" s="1" t="str">
        <x:v>Comptable</x:v>
      </x:c>
      <x:c r="E285" s="1" t="str">
        <x:v>Cash</x:v>
      </x:c>
      <x:c r="F285" s="1" t="str">
        <x:v>J121</x:v>
      </x:c>
      <x:c r="G285" s="9" t="n">
        <x:v>173.95</x:v>
      </x:c>
      <x:c r="H285" s="9" t="n">
        <x:v>0</x:v>
      </x:c>
      <x:c r="I285" s="1" t="n">
        <x:v>355</x:v>
      </x:c>
      <x:c r="J285" s="1"/>
      <x:c r="K285" s="1" t="str">
        <x:v>GRAND-LIVRE-ORIGINAL-feuille-1.csv, ligne 355</x:v>
      </x:c>
    </x:row>
    <x:row r="286" ht="22" customHeight="1">
      <x:c r="A286" s="1" t="str">
        <x:v>5610</x:v>
      </x:c>
      <x:c r="B286" s="1" t="str">
        <x:v>Accounting &amp; Legal</x:v>
      </x:c>
      <x:c r="C286" s="7" t="d">
        <x:v>2024-12-19T12:00:00.000Z</x:v>
      </x:c>
      <x:c r="D286" s="1" t="str">
        <x:v>Comptable</x:v>
      </x:c>
      <x:c r="E286" s="1" t="str">
        <x:v>Cash</x:v>
      </x:c>
      <x:c r="F286" s="1" t="str">
        <x:v>J143</x:v>
      </x:c>
      <x:c r="G286" s="9" t="n">
        <x:v>630</x:v>
      </x:c>
      <x:c r="H286" s="9" t="n">
        <x:v>0</x:v>
      </x:c>
      <x:c r="I286" s="1" t="n">
        <x:v>356</x:v>
      </x:c>
      <x:c r="J286" s="1"/>
      <x:c r="K286" s="1" t="str">
        <x:v>GRAND-LIVRE-ORIGINAL-feuille-1.csv, ligne 356</x:v>
      </x:c>
    </x:row>
    <x:row r="287" ht="22" customHeight="1">
      <x:c r="A287" s="1" t="str">
        <x:v>5615</x:v>
      </x:c>
      <x:c r="B287" s="1" t="str">
        <x:v>Advertising &amp; Promotions</x:v>
      </x:c>
      <x:c r="C287" s="7" t="d">
        <x:v>2024-11-14T12:00:00.000Z</x:v>
      </x:c>
      <x:c r="D287" s="1" t="str">
        <x:v>VIdeo Editing</x:v>
      </x:c>
      <x:c r="E287" s="1" t="str">
        <x:v>Cash</x:v>
      </x:c>
      <x:c r="F287" s="1" t="str">
        <x:v>J67</x:v>
      </x:c>
      <x:c r="G287" s="9" t="n">
        <x:v>86.97</x:v>
      </x:c>
      <x:c r="H287" s="9" t="n">
        <x:v>0</x:v>
      </x:c>
      <x:c r="I287" s="1" t="n">
        <x:v>360</x:v>
      </x:c>
      <x:c r="J287" s="1"/>
      <x:c r="K287" s="1" t="str">
        <x:v>GRAND-LIVRE-ORIGINAL-feuille-1.csv, ligne 360</x:v>
      </x:c>
    </x:row>
    <x:row r="288" ht="22" customHeight="1">
      <x:c r="A288" s="1" t="str">
        <x:v>5615</x:v>
      </x:c>
      <x:c r="B288" s="1" t="str">
        <x:v>Advertising &amp; Promotions</x:v>
      </x:c>
      <x:c r="C288" s="7" t="d">
        <x:v>2025-06-01T12:00:00.000Z</x:v>
      </x:c>
      <x:c r="D288" s="1" t="str">
        <x:v>VIdeo Editing</x:v>
      </x:c>
      <x:c r="E288" s="1" t="str">
        <x:v>Cash</x:v>
      </x:c>
      <x:c r="F288" s="1" t="str">
        <x:v>J610</x:v>
      </x:c>
      <x:c r="G288" s="9" t="n">
        <x:v>163.57</x:v>
      </x:c>
      <x:c r="H288" s="9" t="n">
        <x:v>0</x:v>
      </x:c>
      <x:c r="I288" s="1" t="n">
        <x:v>361</x:v>
      </x:c>
      <x:c r="J288" s="1"/>
      <x:c r="K288" s="1" t="str">
        <x:v>GRAND-LIVRE-ORIGINAL-feuille-1.csv, ligne 361</x:v>
      </x:c>
    </x:row>
    <x:row r="289" ht="22" customHeight="1">
      <x:c r="A289" s="1" t="str">
        <x:v>5625</x:v>
      </x:c>
      <x:c r="B289" s="1" t="str">
        <x:v>Business Fees &amp; Licenses</x:v>
      </x:c>
      <x:c r="C289" s="7" t="d">
        <x:v>2024-10-08T12:00:00.000Z</x:v>
      </x:c>
      <x:c r="D289" s="1" t="str">
        <x:v>Revenu Quebec</x:v>
      </x:c>
      <x:c r="E289" s="1" t="str">
        <x:v>Cash</x:v>
      </x:c>
      <x:c r="F289" s="1" t="str">
        <x:v>J41</x:v>
      </x:c>
      <x:c r="G289" s="9" t="n">
        <x:v>102.03</x:v>
      </x:c>
      <x:c r="H289" s="9" t="n">
        <x:v>0</x:v>
      </x:c>
      <x:c r="I289" s="1" t="n">
        <x:v>367</x:v>
      </x:c>
      <x:c r="J289" s="1"/>
      <x:c r="K289" s="1" t="str">
        <x:v>GRAND-LIVRE-ORIGINAL-feuille-1.csv, ligne 367</x:v>
      </x:c>
    </x:row>
    <x:row r="290" ht="22" customHeight="1">
      <x:c r="A290" s="1" t="str">
        <x:v>5625</x:v>
      </x:c>
      <x:c r="B290" s="1" t="str">
        <x:v>Business Fees &amp; Licenses</x:v>
      </x:c>
      <x:c r="C290" s="7" t="d">
        <x:v>2024-12-01T12:00:00.000Z</x:v>
      </x:c>
      <x:c r="D290" s="1" t="str">
        <x:v>City of Montreal</x:v>
      </x:c>
      <x:c r="E290" s="1" t="str">
        <x:v>Cash</x:v>
      </x:c>
      <x:c r="F290" s="1" t="str">
        <x:v>J385</x:v>
      </x:c>
      <x:c r="G290" s="9" t="n">
        <x:v>549</x:v>
      </x:c>
      <x:c r="H290" s="9" t="n">
        <x:v>0</x:v>
      </x:c>
      <x:c r="I290" s="1" t="n">
        <x:v>368</x:v>
      </x:c>
      <x:c r="J290" s="1"/>
      <x:c r="K290" s="1" t="str">
        <x:v>GRAND-LIVRE-ORIGINAL-feuille-1.csv, ligne 368</x:v>
      </x:c>
    </x:row>
    <x:row r="291" ht="22" customHeight="1">
      <x:c r="A291" s="1" t="str">
        <x:v>5625</x:v>
      </x:c>
      <x:c r="B291" s="1" t="str">
        <x:v>Business Fees &amp; Licenses</x:v>
      </x:c>
      <x:c r="C291" s="7" t="d">
        <x:v>2024-12-01T12:00:00.000Z</x:v>
      </x:c>
      <x:c r="D291" s="1" t="str">
        <x:v>City of Montreal</x:v>
      </x:c>
      <x:c r="E291" s="1" t="str">
        <x:v>Cash</x:v>
      </x:c>
      <x:c r="F291" s="1" t="str">
        <x:v>J386</x:v>
      </x:c>
      <x:c r="G291" s="9" t="n">
        <x:v>100</x:v>
      </x:c>
      <x:c r="H291" s="9" t="n">
        <x:v>0</x:v>
      </x:c>
      <x:c r="I291" s="1" t="n">
        <x:v>369</x:v>
      </x:c>
      <x:c r="J291" s="1"/>
      <x:c r="K291" s="1" t="str">
        <x:v>GRAND-LIVRE-ORIGINAL-feuille-1.csv, ligne 369</x:v>
      </x:c>
    </x:row>
    <x:row r="292" ht="22" customHeight="1">
      <x:c r="A292" s="1" t="str">
        <x:v>5625</x:v>
      </x:c>
      <x:c r="B292" s="1" t="str">
        <x:v>Business Fees &amp; Licenses</x:v>
      </x:c>
      <x:c r="C292" s="7" t="d">
        <x:v>2025-03-01T12:00:00.000Z</x:v>
      </x:c>
      <x:c r="D292" s="1" t="str">
        <x:v>City of Montreal</x:v>
      </x:c>
      <x:c r="E292" s="1" t="str">
        <x:v>Cash</x:v>
      </x:c>
      <x:c r="F292" s="1" t="str">
        <x:v>J514</x:v>
      </x:c>
      <x:c r="G292" s="9" t="n">
        <x:v>1635</x:v>
      </x:c>
      <x:c r="H292" s="9" t="n">
        <x:v>0</x:v>
      </x:c>
      <x:c r="I292" s="1" t="n">
        <x:v>370</x:v>
      </x:c>
      <x:c r="J292" s="1"/>
      <x:c r="K292" s="1" t="str">
        <x:v>GRAND-LIVRE-ORIGINAL-feuille-1.csv, ligne 370</x:v>
      </x:c>
    </x:row>
    <x:row r="293" ht="22" customHeight="1">
      <x:c r="A293" s="1" t="str">
        <x:v>5625</x:v>
      </x:c>
      <x:c r="B293" s="1" t="str">
        <x:v>Business Fees &amp; Licenses</x:v>
      </x:c>
      <x:c r="C293" s="7" t="d">
        <x:v>2025-05-01T12:00:00.000Z</x:v>
      </x:c>
      <x:c r="D293" s="1" t="str">
        <x:v>City of Waterloo</x:v>
      </x:c>
      <x:c r="E293" s="1" t="str">
        <x:v>Cash</x:v>
      </x:c>
      <x:c r="F293" s="1" t="str">
        <x:v>J562</x:v>
      </x:c>
      <x:c r="G293" s="9" t="n">
        <x:v>361</x:v>
      </x:c>
      <x:c r="H293" s="9" t="n">
        <x:v>0</x:v>
      </x:c>
      <x:c r="I293" s="1" t="n">
        <x:v>371</x:v>
      </x:c>
      <x:c r="J293" s="1"/>
      <x:c r="K293" s="1" t="str">
        <x:v>GRAND-LIVRE-ORIGINAL-feuille-1.csv, ligne 371</x:v>
      </x:c>
    </x:row>
    <x:row r="294" ht="22" customHeight="1">
      <x:c r="A294" s="1" t="str">
        <x:v>5625</x:v>
      </x:c>
      <x:c r="B294" s="1" t="str">
        <x:v>Business Fees &amp; Licenses</x:v>
      </x:c>
      <x:c r="C294" s="7" t="d">
        <x:v>2025-06-01T12:00:00.000Z</x:v>
      </x:c>
      <x:c r="D294" s="1" t="str">
        <x:v>City of Waterloo</x:v>
      </x:c>
      <x:c r="E294" s="1" t="str">
        <x:v>Cash</x:v>
      </x:c>
      <x:c r="F294" s="1" t="str">
        <x:v>J563</x:v>
      </x:c>
      <x:c r="G294" s="9" t="n">
        <x:v>489</x:v>
      </x:c>
      <x:c r="H294" s="9" t="n">
        <x:v>0</x:v>
      </x:c>
      <x:c r="I294" s="1" t="n">
        <x:v>372</x:v>
      </x:c>
      <x:c r="J294" s="1"/>
      <x:c r="K294" s="1" t="str">
        <x:v>GRAND-LIVRE-ORIGINAL-feuille-1.csv, ligne 372</x:v>
      </x:c>
    </x:row>
    <x:row r="295" ht="22" customHeight="1">
      <x:c r="A295" s="1" t="str">
        <x:v>5625</x:v>
      </x:c>
      <x:c r="B295" s="1" t="str">
        <x:v>Business Fees &amp; Licenses</x:v>
      </x:c>
      <x:c r="C295" s="7" t="d">
        <x:v>2025-06-01T12:00:00.000Z</x:v>
      </x:c>
      <x:c r="D295" s="1" t="str">
        <x:v>City of Waterloo</x:v>
      </x:c>
      <x:c r="E295" s="1" t="str">
        <x:v>Cash</x:v>
      </x:c>
      <x:c r="F295" s="1" t="str">
        <x:v>J564</x:v>
      </x:c>
      <x:c r="G295" s="9" t="n">
        <x:v>345</x:v>
      </x:c>
      <x:c r="H295" s="9" t="n">
        <x:v>0</x:v>
      </x:c>
      <x:c r="I295" s="1" t="n">
        <x:v>373</x:v>
      </x:c>
      <x:c r="J295" s="1"/>
      <x:c r="K295" s="1" t="str">
        <x:v>GRAND-LIVRE-ORIGINAL-feuille-1.csv, ligne 373</x:v>
      </x:c>
    </x:row>
    <x:row r="296" ht="22" customHeight="1">
      <x:c r="A296" s="1" t="str">
        <x:v>5625</x:v>
      </x:c>
      <x:c r="B296" s="1" t="str">
        <x:v>Business Fees &amp; Licenses</x:v>
      </x:c>
      <x:c r="C296" s="7" t="d">
        <x:v>2025-06-01T12:00:00.000Z</x:v>
      </x:c>
      <x:c r="D296" s="1" t="str">
        <x:v>City of Waterloo</x:v>
      </x:c>
      <x:c r="E296" s="1" t="str">
        <x:v>Cash</x:v>
      </x:c>
      <x:c r="F296" s="1" t="str">
        <x:v>J565</x:v>
      </x:c>
      <x:c r="G296" s="9" t="n">
        <x:v>590</x:v>
      </x:c>
      <x:c r="H296" s="9" t="n">
        <x:v>0</x:v>
      </x:c>
      <x:c r="I296" s="1" t="n">
        <x:v>374</x:v>
      </x:c>
      <x:c r="J296" s="1"/>
      <x:c r="K296" s="1" t="str">
        <x:v>GRAND-LIVRE-ORIGINAL-feuille-1.csv, ligne 374</x:v>
      </x:c>
    </x:row>
    <x:row r="297" ht="22" customHeight="1">
      <x:c r="A297" s="1" t="str">
        <x:v>5625</x:v>
      </x:c>
      <x:c r="B297" s="1" t="str">
        <x:v>Business Fees &amp; Licenses</x:v>
      </x:c>
      <x:c r="C297" s="7" t="d">
        <x:v>2025-06-01T12:00:00.000Z</x:v>
      </x:c>
      <x:c r="D297" s="1" t="str">
        <x:v>City of Montreal</x:v>
      </x:c>
      <x:c r="E297" s="1" t="str">
        <x:v>Cash</x:v>
      </x:c>
      <x:c r="F297" s="1" t="str">
        <x:v>J587</x:v>
      </x:c>
      <x:c r="G297" s="9" t="n">
        <x:v>36.75</x:v>
      </x:c>
      <x:c r="H297" s="9" t="n">
        <x:v>0</x:v>
      </x:c>
      <x:c r="I297" s="1" t="n">
        <x:v>375</x:v>
      </x:c>
      <x:c r="J297" s="1"/>
      <x:c r="K297" s="1" t="str">
        <x:v>GRAND-LIVRE-ORIGINAL-feuille-1.csv, ligne 375</x:v>
      </x:c>
    </x:row>
    <x:row r="298" ht="22" customHeight="1">
      <x:c r="A298" s="1" t="str">
        <x:v>5640</x:v>
      </x:c>
      <x:c r="B298" s="1" t="str">
        <x:v>Courier &amp; Postage</x:v>
      </x:c>
      <x:c r="C298" s="7" t="d">
        <x:v>2024-12-20T12:00:00.000Z</x:v>
      </x:c>
      <x:c r="D298" s="1" t="str">
        <x:v>Transport Jahn</x:v>
      </x:c>
      <x:c r="E298" s="1" t="str">
        <x:v>Cash</x:v>
      </x:c>
      <x:c r="F298" s="1" t="str">
        <x:v>J149</x:v>
      </x:c>
      <x:c r="G298" s="9" t="n">
        <x:v>130.47</x:v>
      </x:c>
      <x:c r="H298" s="9" t="n">
        <x:v>0</x:v>
      </x:c>
      <x:c r="I298" s="1" t="n">
        <x:v>381</x:v>
      </x:c>
      <x:c r="J298" s="1"/>
      <x:c r="K298" s="1" t="str">
        <x:v>GRAND-LIVRE-ORIGINAL-feuille-1.csv, ligne 381</x:v>
      </x:c>
    </x:row>
    <x:row r="299" ht="22" customHeight="1">
      <x:c r="A299" s="1" t="str">
        <x:v>5685</x:v>
      </x:c>
      <x:c r="B299" s="1" t="str">
        <x:v>Insurance</x:v>
      </x:c>
      <x:c r="C299" s="7" t="d">
        <x:v>2025-01-02T12:00:00.000Z</x:v>
      </x:c>
      <x:c r="D299" s="1" t="str">
        <x:v>Assurance</x:v>
      </x:c>
      <x:c r="E299" s="1" t="str">
        <x:v>Cash</x:v>
      </x:c>
      <x:c r="F299" s="1" t="str">
        <x:v>J195</x:v>
      </x:c>
      <x:c r="G299" s="9" t="n">
        <x:v>1701.35</x:v>
      </x:c>
      <x:c r="H299" s="9" t="n">
        <x:v>0</x:v>
      </x:c>
      <x:c r="I299" s="1" t="n">
        <x:v>392</x:v>
      </x:c>
      <x:c r="J299" s="1"/>
      <x:c r="K299" s="1" t="str">
        <x:v>GRAND-LIVRE-ORIGINAL-feuille-1.csv, ligne 392</x:v>
      </x:c>
    </x:row>
    <x:row r="300" ht="22" customHeight="1">
      <x:c r="A300" s="1" t="str">
        <x:v>5685</x:v>
      </x:c>
      <x:c r="B300" s="1" t="str">
        <x:v>Insurance</x:v>
      </x:c>
      <x:c r="C300" s="7" t="d">
        <x:v>2025-01-27T12:00:00.000Z</x:v>
      </x:c>
      <x:c r="D300" s="1" t="str">
        <x:v>Assurance</x:v>
      </x:c>
      <x:c r="E300" s="1" t="str">
        <x:v>Cash</x:v>
      </x:c>
      <x:c r="F300" s="1" t="str">
        <x:v>J246</x:v>
      </x:c>
      <x:c r="G300" s="9" t="n">
        <x:v>1900</x:v>
      </x:c>
      <x:c r="H300" s="9" t="n">
        <x:v>0</x:v>
      </x:c>
      <x:c r="I300" s="1" t="n">
        <x:v>393</x:v>
      </x:c>
      <x:c r="J300" s="1"/>
      <x:c r="K300" s="1" t="str">
        <x:v>GRAND-LIVRE-ORIGINAL-feuille-1.csv, ligne 393</x:v>
      </x:c>
    </x:row>
    <x:row r="301" ht="22" customHeight="1">
      <x:c r="A301" s="1" t="str">
        <x:v>5685</x:v>
      </x:c>
      <x:c r="B301" s="1" t="str">
        <x:v>Insurance</x:v>
      </x:c>
      <x:c r="C301" s="7" t="d">
        <x:v>2025-02-05T12:00:00.000Z</x:v>
      </x:c>
      <x:c r="D301" s="1" t="str">
        <x:v>Assurance</x:v>
      </x:c>
      <x:c r="E301" s="1" t="str">
        <x:v>Cash</x:v>
      </x:c>
      <x:c r="F301" s="1" t="str">
        <x:v>J275</x:v>
      </x:c>
      <x:c r="G301" s="9" t="n">
        <x:v>1500</x:v>
      </x:c>
      <x:c r="H301" s="9" t="n">
        <x:v>0</x:v>
      </x:c>
      <x:c r="I301" s="1" t="n">
        <x:v>394</x:v>
      </x:c>
      <x:c r="J301" s="1"/>
      <x:c r="K301" s="1" t="str">
        <x:v>GRAND-LIVRE-ORIGINAL-feuille-1.csv, ligne 394</x:v>
      </x:c>
    </x:row>
    <x:row r="302" ht="22" customHeight="1">
      <x:c r="A302" s="1" t="str">
        <x:v>5685</x:v>
      </x:c>
      <x:c r="B302" s="1" t="str">
        <x:v>Insurance</x:v>
      </x:c>
      <x:c r="C302" s="7" t="d">
        <x:v>2025-06-30T12:00:00.000Z</x:v>
      </x:c>
      <x:c r="D302" s="1" t="str">
        <x:v>Insurance</x:v>
      </x:c>
      <x:c r="E302" s="1" t="str">
        <x:v>Cash</x:v>
      </x:c>
      <x:c r="F302" s="1" t="str">
        <x:v>J641</x:v>
      </x:c>
      <x:c r="G302" s="9" t="n">
        <x:v>1368.36</x:v>
      </x:c>
      <x:c r="H302" s="9" t="n">
        <x:v>0</x:v>
      </x:c>
      <x:c r="I302" s="1" t="n">
        <x:v>395</x:v>
      </x:c>
      <x:c r="J302" s="1"/>
      <x:c r="K302" s="1" t="str">
        <x:v>GRAND-LIVRE-ORIGINAL-feuille-1.csv, ligne 395</x:v>
      </x:c>
    </x:row>
    <x:row r="303" ht="22" customHeight="1">
      <x:c r="A303" s="1" t="str">
        <x:v>5690</x:v>
      </x:c>
      <x:c r="B303" s="1" t="str">
        <x:v>Interest &amp; Bank Charges</x:v>
      </x:c>
      <x:c r="C303" s="7" t="d">
        <x:v>2024-07-31T12:00:00.000Z</x:v>
      </x:c>
      <x:c r="D303" s="1" t="str">
        <x:v>Bank Fees</x:v>
      </x:c>
      <x:c r="E303" s="1" t="str">
        <x:v>Cash</x:v>
      </x:c>
      <x:c r="F303" s="1" t="str">
        <x:v>J14</x:v>
      </x:c>
      <x:c r="G303" s="9" t="n">
        <x:v>127.2</x:v>
      </x:c>
      <x:c r="H303" s="9" t="n">
        <x:v>0</x:v>
      </x:c>
      <x:c r="I303" s="1" t="n">
        <x:v>399</x:v>
      </x:c>
      <x:c r="J303" s="1"/>
      <x:c r="K303" s="1" t="str">
        <x:v>GRAND-LIVRE-ORIGINAL-feuille-1.csv, ligne 399</x:v>
      </x:c>
    </x:row>
    <x:row r="304" ht="22" customHeight="1">
      <x:c r="A304" s="1" t="str">
        <x:v>5690</x:v>
      </x:c>
      <x:c r="B304" s="1" t="str">
        <x:v>Interest &amp; Bank Charges</x:v>
      </x:c>
      <x:c r="C304" s="7" t="d">
        <x:v>2024-08-31T12:00:00.000Z</x:v>
      </x:c>
      <x:c r="D304" s="1" t="str">
        <x:v>Bank Fees</x:v>
      </x:c>
      <x:c r="E304" s="1" t="str">
        <x:v>Cash</x:v>
      </x:c>
      <x:c r="F304" s="1" t="str">
        <x:v>J29</x:v>
      </x:c>
      <x:c r="G304" s="9" t="n">
        <x:v>113.45</x:v>
      </x:c>
      <x:c r="H304" s="9" t="n">
        <x:v>0</x:v>
      </x:c>
      <x:c r="I304" s="1" t="n">
        <x:v>400</x:v>
      </x:c>
      <x:c r="J304" s="1"/>
      <x:c r="K304" s="1" t="str">
        <x:v>GRAND-LIVRE-ORIGINAL-feuille-1.csv, ligne 400</x:v>
      </x:c>
    </x:row>
    <x:row r="305" ht="22" customHeight="1">
      <x:c r="A305" s="1" t="str">
        <x:v>5690</x:v>
      </x:c>
      <x:c r="B305" s="1" t="str">
        <x:v>Interest &amp; Bank Charges</x:v>
      </x:c>
      <x:c r="C305" s="7" t="d">
        <x:v>2024-09-30T12:00:00.000Z</x:v>
      </x:c>
      <x:c r="D305" s="1" t="str">
        <x:v>Bank Fees</x:v>
      </x:c>
      <x:c r="E305" s="1" t="str">
        <x:v>Cash</x:v>
      </x:c>
      <x:c r="F305" s="1" t="str">
        <x:v>J35</x:v>
      </x:c>
      <x:c r="G305" s="9" t="n">
        <x:v>113.45</x:v>
      </x:c>
      <x:c r="H305" s="9" t="n">
        <x:v>0</x:v>
      </x:c>
      <x:c r="I305" s="1" t="n">
        <x:v>401</x:v>
      </x:c>
      <x:c r="J305" s="1"/>
      <x:c r="K305" s="1" t="str">
        <x:v>GRAND-LIVRE-ORIGINAL-feuille-1.csv, ligne 401</x:v>
      </x:c>
    </x:row>
    <x:row r="306" ht="22" customHeight="1">
      <x:c r="A306" s="1" t="str">
        <x:v>5690</x:v>
      </x:c>
      <x:c r="B306" s="1" t="str">
        <x:v>Interest &amp; Bank Charges</x:v>
      </x:c>
      <x:c r="C306" s="7" t="d">
        <x:v>2024-10-08T12:00:00.000Z</x:v>
      </x:c>
      <x:c r="D306" s="1" t="str">
        <x:v>Revenu Quebec</x:v>
      </x:c>
      <x:c r="E306" s="1" t="str">
        <x:v>Cash</x:v>
      </x:c>
      <x:c r="F306" s="1" t="str">
        <x:v>J42</x:v>
      </x:c>
      <x:c r="G306" s="9" t="n">
        <x:v>2.52</x:v>
      </x:c>
      <x:c r="H306" s="9" t="n">
        <x:v>0</x:v>
      </x:c>
      <x:c r="I306" s="1" t="n">
        <x:v>402</x:v>
      </x:c>
      <x:c r="J306" s="1"/>
      <x:c r="K306" s="1" t="str">
        <x:v>GRAND-LIVRE-ORIGINAL-feuille-1.csv, ligne 402</x:v>
      </x:c>
    </x:row>
    <x:row r="307" ht="22" customHeight="1">
      <x:c r="A307" s="1" t="str">
        <x:v>5690</x:v>
      </x:c>
      <x:c r="B307" s="1" t="str">
        <x:v>Interest &amp; Bank Charges</x:v>
      </x:c>
      <x:c r="C307" s="7" t="d">
        <x:v>2024-10-31T12:00:00.000Z</x:v>
      </x:c>
      <x:c r="D307" s="1" t="str">
        <x:v>Bank Fees</x:v>
      </x:c>
      <x:c r="E307" s="1" t="str">
        <x:v>Cash</x:v>
      </x:c>
      <x:c r="F307" s="1" t="str">
        <x:v>J39</x:v>
      </x:c>
      <x:c r="G307" s="9" t="n">
        <x:v>134.7</x:v>
      </x:c>
      <x:c r="H307" s="9" t="n">
        <x:v>0</x:v>
      </x:c>
      <x:c r="I307" s="1" t="n">
        <x:v>403</x:v>
      </x:c>
      <x:c r="J307" s="1"/>
      <x:c r="K307" s="1" t="str">
        <x:v>GRAND-LIVRE-ORIGINAL-feuille-1.csv, ligne 403</x:v>
      </x:c>
    </x:row>
    <x:row r="308" ht="22" customHeight="1">
      <x:c r="A308" s="1" t="str">
        <x:v>5690</x:v>
      </x:c>
      <x:c r="B308" s="1" t="str">
        <x:v>Interest &amp; Bank Charges</x:v>
      </x:c>
      <x:c r="C308" s="7" t="d">
        <x:v>2024-11-12T12:00:00.000Z</x:v>
      </x:c>
      <x:c r="D308" s="1" t="str">
        <x:v>Bank Fees</x:v>
      </x:c>
      <x:c r="E308" s="1" t="str">
        <x:v>Cash</x:v>
      </x:c>
      <x:c r="F308" s="1" t="str">
        <x:v>J65</x:v>
      </x:c>
      <x:c r="G308" s="9" t="n">
        <x:v>95.48</x:v>
      </x:c>
      <x:c r="H308" s="9" t="n">
        <x:v>0</x:v>
      </x:c>
      <x:c r="I308" s="1" t="n">
        <x:v>404</x:v>
      </x:c>
      <x:c r="J308" s="1"/>
      <x:c r="K308" s="1" t="str">
        <x:v>GRAND-LIVRE-ORIGINAL-feuille-1.csv, ligne 404</x:v>
      </x:c>
    </x:row>
    <x:row r="309" ht="22" customHeight="1">
      <x:c r="A309" s="1" t="str">
        <x:v>5690</x:v>
      </x:c>
      <x:c r="B309" s="1" t="str">
        <x:v>Interest &amp; Bank Charges</x:v>
      </x:c>
      <x:c r="C309" s="7" t="d">
        <x:v>2024-11-30T12:00:00.000Z</x:v>
      </x:c>
      <x:c r="D309" s="1" t="str">
        <x:v>Bank Fees</x:v>
      </x:c>
      <x:c r="E309" s="1" t="str">
        <x:v>Cash</x:v>
      </x:c>
      <x:c r="F309" s="1" t="str">
        <x:v>J91</x:v>
      </x:c>
      <x:c r="G309" s="9" t="n">
        <x:v>153.45</x:v>
      </x:c>
      <x:c r="H309" s="9" t="n">
        <x:v>0</x:v>
      </x:c>
      <x:c r="I309" s="1" t="n">
        <x:v>405</x:v>
      </x:c>
      <x:c r="J309" s="1"/>
      <x:c r="K309" s="1" t="str">
        <x:v>GRAND-LIVRE-ORIGINAL-feuille-1.csv, ligne 405</x:v>
      </x:c>
    </x:row>
    <x:row r="310" ht="22" customHeight="1">
      <x:c r="A310" s="1" t="str">
        <x:v>5690</x:v>
      </x:c>
      <x:c r="B310" s="1" t="str">
        <x:v>Interest &amp; Bank Charges</x:v>
      </x:c>
      <x:c r="C310" s="7" t="d">
        <x:v>2024-12-02T12:00:00.000Z</x:v>
      </x:c>
      <x:c r="D310" s="1" t="str">
        <x:v>Bank Fees</x:v>
      </x:c>
      <x:c r="E310" s="1" t="str">
        <x:v>Cash</x:v>
      </x:c>
      <x:c r="F310" s="1" t="str">
        <x:v>J98</x:v>
      </x:c>
      <x:c r="G310" s="9" t="n">
        <x:v>0</x:v>
      </x:c>
      <x:c r="H310" s="9" t="n">
        <x:v>383.75</x:v>
      </x:c>
      <x:c r="I310" s="1" t="n">
        <x:v>406</x:v>
      </x:c>
      <x:c r="J310" s="1"/>
      <x:c r="K310" s="1" t="str">
        <x:v>GRAND-LIVRE-ORIGINAL-feuille-1.csv, ligne 406</x:v>
      </x:c>
    </x:row>
    <x:row r="311" ht="22" customHeight="1">
      <x:c r="A311" s="1" t="str">
        <x:v>5690</x:v>
      </x:c>
      <x:c r="B311" s="1" t="str">
        <x:v>Interest &amp; Bank Charges</x:v>
      </x:c>
      <x:c r="C311" s="7" t="d">
        <x:v>2024-12-31T12:00:00.000Z</x:v>
      </x:c>
      <x:c r="D311" s="1" t="str">
        <x:v>Bank Fees</x:v>
      </x:c>
      <x:c r="E311" s="1" t="str">
        <x:v>Cash</x:v>
      </x:c>
      <x:c r="F311" s="1" t="str">
        <x:v>J188</x:v>
      </x:c>
      <x:c r="G311" s="9" t="n">
        <x:v>186.45</x:v>
      </x:c>
      <x:c r="H311" s="9" t="n">
        <x:v>0</x:v>
      </x:c>
      <x:c r="I311" s="1" t="n">
        <x:v>407</x:v>
      </x:c>
      <x:c r="J311" s="1"/>
      <x:c r="K311" s="1" t="str">
        <x:v>GRAND-LIVRE-ORIGINAL-feuille-1.csv, ligne 407</x:v>
      </x:c>
    </x:row>
    <x:row r="312" ht="22" customHeight="1">
      <x:c r="A312" s="1" t="str">
        <x:v>5690</x:v>
      </x:c>
      <x:c r="B312" s="1" t="str">
        <x:v>Interest &amp; Bank Charges</x:v>
      </x:c>
      <x:c r="C312" s="7" t="d">
        <x:v>2025-01-31T12:00:00.000Z</x:v>
      </x:c>
      <x:c r="D312" s="1" t="str">
        <x:v>Bank Fees</x:v>
      </x:c>
      <x:c r="E312" s="1" t="str">
        <x:v>Cash</x:v>
      </x:c>
      <x:c r="F312" s="1" t="str">
        <x:v>J250</x:v>
      </x:c>
      <x:c r="G312" s="9" t="n">
        <x:v>90.2</x:v>
      </x:c>
      <x:c r="H312" s="9" t="n">
        <x:v>0</x:v>
      </x:c>
      <x:c r="I312" s="1" t="n">
        <x:v>408</x:v>
      </x:c>
      <x:c r="J312" s="1"/>
      <x:c r="K312" s="1" t="str">
        <x:v>GRAND-LIVRE-ORIGINAL-feuille-1.csv, ligne 408</x:v>
      </x:c>
    </x:row>
    <x:row r="313" ht="22" customHeight="1">
      <x:c r="A313" s="1" t="str">
        <x:v>5690</x:v>
      </x:c>
      <x:c r="B313" s="1" t="str">
        <x:v>Interest &amp; Bank Charges</x:v>
      </x:c>
      <x:c r="C313" s="7" t="d">
        <x:v>2025-02-28T12:00:00.000Z</x:v>
      </x:c>
      <x:c r="D313" s="1" t="str">
        <x:v>Bank Fees</x:v>
      </x:c>
      <x:c r="E313" s="1" t="str">
        <x:v>Cash</x:v>
      </x:c>
      <x:c r="F313" s="1" t="str">
        <x:v>J273</x:v>
      </x:c>
      <x:c r="G313" s="9" t="n">
        <x:v>73.95</x:v>
      </x:c>
      <x:c r="H313" s="9" t="n">
        <x:v>0</x:v>
      </x:c>
      <x:c r="I313" s="1" t="n">
        <x:v>409</x:v>
      </x:c>
      <x:c r="J313" s="1"/>
      <x:c r="K313" s="1" t="str">
        <x:v>GRAND-LIVRE-ORIGINAL-feuille-1.csv, ligne 409</x:v>
      </x:c>
    </x:row>
    <x:row r="314" ht="22" customHeight="1">
      <x:c r="A314" s="1" t="str">
        <x:v>5690</x:v>
      </x:c>
      <x:c r="B314" s="1" t="str">
        <x:v>Interest &amp; Bank Charges</x:v>
      </x:c>
      <x:c r="C314" s="7" t="d">
        <x:v>2025-03-31T12:00:00.000Z</x:v>
      </x:c>
      <x:c r="D314" s="1" t="str">
        <x:v>Bank Fees</x:v>
      </x:c>
      <x:c r="E314" s="1" t="str">
        <x:v>Cash</x:v>
      </x:c>
      <x:c r="F314" s="1" t="str">
        <x:v>J282</x:v>
      </x:c>
      <x:c r="G314" s="9" t="n">
        <x:v>75.9</x:v>
      </x:c>
      <x:c r="H314" s="9" t="n">
        <x:v>0</x:v>
      </x:c>
      <x:c r="I314" s="1" t="n">
        <x:v>410</x:v>
      </x:c>
      <x:c r="J314" s="1"/>
      <x:c r="K314" s="1" t="str">
        <x:v>GRAND-LIVRE-ORIGINAL-feuille-1.csv, ligne 410</x:v>
      </x:c>
    </x:row>
    <x:row r="315" ht="22" customHeight="1">
      <x:c r="A315" s="1" t="str">
        <x:v>5690</x:v>
      </x:c>
      <x:c r="B315" s="1" t="str">
        <x:v>Interest &amp; Bank Charges</x:v>
      </x:c>
      <x:c r="C315" s="7" t="d">
        <x:v>2025-04-30T12:00:00.000Z</x:v>
      </x:c>
      <x:c r="D315" s="1" t="str">
        <x:v>Bank Fees</x:v>
      </x:c>
      <x:c r="E315" s="1" t="str">
        <x:v>Cash</x:v>
      </x:c>
      <x:c r="F315" s="1" t="str">
        <x:v>J305</x:v>
      </x:c>
      <x:c r="G315" s="9" t="n">
        <x:v>73.95</x:v>
      </x:c>
      <x:c r="H315" s="9" t="n">
        <x:v>0</x:v>
      </x:c>
      <x:c r="I315" s="1" t="n">
        <x:v>411</x:v>
      </x:c>
      <x:c r="J315" s="1"/>
      <x:c r="K315" s="1" t="str">
        <x:v>GRAND-LIVRE-ORIGINAL-feuille-1.csv, ligne 411</x:v>
      </x:c>
    </x:row>
    <x:row r="316" ht="22" customHeight="1">
      <x:c r="A316" s="1" t="str">
        <x:v>5690</x:v>
      </x:c>
      <x:c r="B316" s="1" t="str">
        <x:v>Interest &amp; Bank Charges</x:v>
      </x:c>
      <x:c r="C316" s="7" t="d">
        <x:v>2025-05-31T12:00:00.000Z</x:v>
      </x:c>
      <x:c r="D316" s="1" t="str">
        <x:v>Bank Fees</x:v>
      </x:c>
      <x:c r="E316" s="1" t="str">
        <x:v>Cash</x:v>
      </x:c>
      <x:c r="F316" s="1" t="str">
        <x:v>J315</x:v>
      </x:c>
      <x:c r="G316" s="9" t="n">
        <x:v>73.95</x:v>
      </x:c>
      <x:c r="H316" s="9" t="n">
        <x:v>0</x:v>
      </x:c>
      <x:c r="I316" s="1" t="n">
        <x:v>412</x:v>
      </x:c>
      <x:c r="J316" s="1"/>
      <x:c r="K316" s="1" t="str">
        <x:v>GRAND-LIVRE-ORIGINAL-feuille-1.csv, ligne 412</x:v>
      </x:c>
    </x:row>
    <x:row r="317" ht="22" customHeight="1">
      <x:c r="A317" s="1" t="str">
        <x:v>5690</x:v>
      </x:c>
      <x:c r="B317" s="1" t="str">
        <x:v>Interest &amp; Bank Charges</x:v>
      </x:c>
      <x:c r="C317" s="7" t="d">
        <x:v>2025-06-30T12:00:00.000Z</x:v>
      </x:c>
      <x:c r="D317" s="1" t="str">
        <x:v>Bank Fees</x:v>
      </x:c>
      <x:c r="E317" s="1" t="str">
        <x:v>Cash</x:v>
      </x:c>
      <x:c r="F317" s="1" t="str">
        <x:v>J316</x:v>
      </x:c>
      <x:c r="G317" s="9" t="n">
        <x:v>71.3</x:v>
      </x:c>
      <x:c r="H317" s="9" t="n">
        <x:v>0</x:v>
      </x:c>
      <x:c r="I317" s="1" t="n">
        <x:v>413</x:v>
      </x:c>
      <x:c r="J317" s="1"/>
      <x:c r="K317" s="1" t="str">
        <x:v>GRAND-LIVRE-ORIGINAL-feuille-1.csv, ligne 413</x:v>
      </x:c>
    </x:row>
    <x:row r="318" ht="22" customHeight="1">
      <x:c r="A318" s="1" t="str">
        <x:v>5700</x:v>
      </x:c>
      <x:c r="B318" s="1" t="str">
        <x:v>Office Supplies</x:v>
      </x:c>
      <x:c r="C318" s="7" t="d">
        <x:v>2024-07-01T12:00:00.000Z</x:v>
      </x:c>
      <x:c r="D318" s="1" t="str">
        <x:v>Quadro Holdings</x:v>
      </x:c>
      <x:c r="E318" s="1" t="str">
        <x:v>Cash</x:v>
      </x:c>
      <x:c r="F318" s="1" t="str">
        <x:v>J782</x:v>
      </x:c>
      <x:c r="G318" s="9" t="n">
        <x:v>10673.53</x:v>
      </x:c>
      <x:c r="H318" s="9" t="n">
        <x:v>0</x:v>
      </x:c>
      <x:c r="I318" s="1" t="n">
        <x:v>417</x:v>
      </x:c>
      <x:c r="J318" s="1"/>
      <x:c r="K318" s="1" t="str">
        <x:v>GRAND-LIVRE-ORIGINAL-feuille-1.csv, ligne 417</x:v>
      </x:c>
    </x:row>
    <x:row r="319" ht="22" customHeight="1">
      <x:c r="A319" s="1" t="str">
        <x:v>5700</x:v>
      </x:c>
      <x:c r="B319" s="1" t="str">
        <x:v>Office Supplies</x:v>
      </x:c>
      <x:c r="C319" s="7" t="d">
        <x:v>2024-10-22T12:00:00.000Z</x:v>
      </x:c>
      <x:c r="D319" s="1" t="str">
        <x:v>Entrepot Logis</x:v>
      </x:c>
      <x:c r="E319" s="1" t="str">
        <x:v>Cash</x:v>
      </x:c>
      <x:c r="F319" s="1" t="str">
        <x:v>J47</x:v>
      </x:c>
      <x:c r="G319" s="9" t="n">
        <x:v>521.86</x:v>
      </x:c>
      <x:c r="H319" s="9" t="n">
        <x:v>0</x:v>
      </x:c>
      <x:c r="I319" s="1" t="n">
        <x:v>418</x:v>
      </x:c>
      <x:c r="J319" s="1"/>
      <x:c r="K319" s="1" t="str">
        <x:v>GRAND-LIVRE-ORIGINAL-feuille-1.csv, ligne 418</x:v>
      </x:c>
    </x:row>
    <x:row r="320" ht="22" customHeight="1">
      <x:c r="A320" s="1" t="str">
        <x:v>5700</x:v>
      </x:c>
      <x:c r="B320" s="1" t="str">
        <x:v>Office Supplies</x:v>
      </x:c>
      <x:c r="C320" s="7" t="d">
        <x:v>2024-12-06T12:00:00.000Z</x:v>
      </x:c>
      <x:c r="D320" s="1" t="str">
        <x:v>Pharmaprix</x:v>
      </x:c>
      <x:c r="E320" s="1" t="str">
        <x:v>Cash</x:v>
      </x:c>
      <x:c r="F320" s="1" t="str">
        <x:v>J107</x:v>
      </x:c>
      <x:c r="G320" s="9" t="n">
        <x:v>66.87</x:v>
      </x:c>
      <x:c r="H320" s="9" t="n">
        <x:v>0</x:v>
      </x:c>
      <x:c r="I320" s="1" t="n">
        <x:v>419</x:v>
      </x:c>
      <x:c r="J320" s="1"/>
      <x:c r="K320" s="1" t="str">
        <x:v>GRAND-LIVRE-ORIGINAL-feuille-1.csv, ligne 419</x:v>
      </x:c>
    </x:row>
    <x:row r="321" ht="22" customHeight="1">
      <x:c r="A321" s="1" t="str">
        <x:v>5700</x:v>
      </x:c>
      <x:c r="B321" s="1" t="str">
        <x:v>Office Supplies</x:v>
      </x:c>
      <x:c r="C321" s="7" t="d">
        <x:v>2024-12-27T12:00:00.000Z</x:v>
      </x:c>
      <x:c r="D321" s="1" t="str">
        <x:v>Pharmaprix</x:v>
      </x:c>
      <x:c r="E321" s="1" t="str">
        <x:v>Cash</x:v>
      </x:c>
      <x:c r="F321" s="1" t="str">
        <x:v>J171</x:v>
      </x:c>
      <x:c r="G321" s="9" t="n">
        <x:v>68.6</x:v>
      </x:c>
      <x:c r="H321" s="9" t="n">
        <x:v>0</x:v>
      </x:c>
      <x:c r="I321" s="1" t="n">
        <x:v>420</x:v>
      </x:c>
      <x:c r="J321" s="1"/>
      <x:c r="K321" s="1" t="str">
        <x:v>GRAND-LIVRE-ORIGINAL-feuille-1.csv, ligne 420</x:v>
      </x:c>
    </x:row>
    <x:row r="322" ht="22" customHeight="1">
      <x:c r="A322" s="1" t="str">
        <x:v>5700</x:v>
      </x:c>
      <x:c r="B322" s="1" t="str">
        <x:v>Office Supplies</x:v>
      </x:c>
      <x:c r="C322" s="7" t="d">
        <x:v>2024-12-27T12:00:00.000Z</x:v>
      </x:c>
      <x:c r="D322" s="1" t="str">
        <x:v>Pharmaprix</x:v>
      </x:c>
      <x:c r="E322" s="1" t="str">
        <x:v>Cash</x:v>
      </x:c>
      <x:c r="F322" s="1" t="str">
        <x:v>J175</x:v>
      </x:c>
      <x:c r="G322" s="9" t="n">
        <x:v>76.84</x:v>
      </x:c>
      <x:c r="H322" s="9" t="n">
        <x:v>0</x:v>
      </x:c>
      <x:c r="I322" s="1" t="n">
        <x:v>421</x:v>
      </x:c>
      <x:c r="J322" s="1"/>
      <x:c r="K322" s="1" t="str">
        <x:v>GRAND-LIVRE-ORIGINAL-feuille-1.csv, ligne 421</x:v>
      </x:c>
    </x:row>
    <x:row r="323" ht="22" customHeight="1">
      <x:c r="A323" s="1" t="str">
        <x:v>5700</x:v>
      </x:c>
      <x:c r="B323" s="1" t="str">
        <x:v>Office Supplies</x:v>
      </x:c>
      <x:c r="C323" s="7" t="d">
        <x:v>2025-04-10T12:00:00.000Z</x:v>
      </x:c>
      <x:c r="D323" s="1" t="str">
        <x:v>Pharmaprix</x:v>
      </x:c>
      <x:c r="E323" s="1" t="str">
        <x:v>Cash</x:v>
      </x:c>
      <x:c r="F323" s="1" t="str">
        <x:v>J307</x:v>
      </x:c>
      <x:c r="G323" s="9" t="n">
        <x:v>20.16</x:v>
      </x:c>
      <x:c r="H323" s="9" t="n">
        <x:v>0</x:v>
      </x:c>
      <x:c r="I323" s="1" t="n">
        <x:v>422</x:v>
      </x:c>
      <x:c r="J323" s="1"/>
      <x:c r="K323" s="1" t="str">
        <x:v>GRAND-LIVRE-ORIGINAL-feuille-1.csv, ligne 422</x:v>
      </x:c>
    </x:row>
    <x:row r="324" ht="22" customHeight="1">
      <x:c r="A324" s="1" t="str">
        <x:v>5700</x:v>
      </x:c>
      <x:c r="B324" s="1" t="str">
        <x:v>Office Supplies</x:v>
      </x:c>
      <x:c r="C324" s="7" t="d">
        <x:v>2025-06-30T12:00:00.000Z</x:v>
      </x:c>
      <x:c r="D324" s="1" t="str">
        <x:v>Pyxa.ai</x:v>
      </x:c>
      <x:c r="E324" s="1" t="str">
        <x:v>Cash</x:v>
      </x:c>
      <x:c r="F324" s="1" t="str">
        <x:v>J705</x:v>
      </x:c>
      <x:c r="G324" s="9" t="n">
        <x:v>249.99</x:v>
      </x:c>
      <x:c r="H324" s="9" t="n">
        <x:v>0</x:v>
      </x:c>
      <x:c r="I324" s="1" t="n">
        <x:v>423</x:v>
      </x:c>
      <x:c r="J324" s="1"/>
      <x:c r="K324" s="1" t="str">
        <x:v>GRAND-LIVRE-ORIGINAL-feuille-1.csv, ligne 423</x:v>
      </x:c>
    </x:row>
    <x:row r="325" ht="22" customHeight="1">
      <x:c r="A325" s="1" t="str">
        <x:v>5700</x:v>
      </x:c>
      <x:c r="B325" s="1" t="str">
        <x:v>Office Supplies</x:v>
      </x:c>
      <x:c r="C325" s="7" t="d">
        <x:v>2025-06-30T12:00:00.000Z</x:v>
      </x:c>
      <x:c r="D325" s="1" t="str">
        <x:v>Groupe Takatak</x:v>
      </x:c>
      <x:c r="E325" s="1" t="str">
        <x:v>Cash</x:v>
      </x:c>
      <x:c r="F325" s="1" t="str">
        <x:v>J739</x:v>
      </x:c>
      <x:c r="G325" s="9" t="n">
        <x:v>17324.46</x:v>
      </x:c>
      <x:c r="H325" s="9" t="n">
        <x:v>0</x:v>
      </x:c>
      <x:c r="I325" s="1" t="n">
        <x:v>424</x:v>
      </x:c>
      <x:c r="J325" s="1"/>
      <x:c r="K325" s="1" t="str">
        <x:v>GRAND-LIVRE-ORIGINAL-feuille-1.csv, ligne 424</x:v>
      </x:c>
    </x:row>
    <x:row r="326" ht="22" customHeight="1">
      <x:c r="A326" s="1" t="str">
        <x:v>5700</x:v>
      </x:c>
      <x:c r="B326" s="1" t="str">
        <x:v>Office Supplies</x:v>
      </x:c>
      <x:c r="C326" s="7" t="d">
        <x:v>2025-06-30T12:00:00.000Z</x:v>
      </x:c>
      <x:c r="D326" s="1" t="str">
        <x:v>Groupe Takatak</x:v>
      </x:c>
      <x:c r="E326" s="1" t="str">
        <x:v>Cash</x:v>
      </x:c>
      <x:c r="F326" s="1" t="str">
        <x:v>J741</x:v>
      </x:c>
      <x:c r="G326" s="9" t="n">
        <x:v>1451.27</x:v>
      </x:c>
      <x:c r="H326" s="9" t="n">
        <x:v>0</x:v>
      </x:c>
      <x:c r="I326" s="1" t="n">
        <x:v>425</x:v>
      </x:c>
      <x:c r="J326" s="1"/>
      <x:c r="K326" s="1" t="str">
        <x:v>GRAND-LIVRE-ORIGINAL-feuille-1.csv, ligne 425</x:v>
      </x:c>
    </x:row>
    <x:row r="327" ht="22" customHeight="1">
      <x:c r="A327" s="1" t="str">
        <x:v>5700</x:v>
      </x:c>
      <x:c r="B327" s="1" t="str">
        <x:v>Office Supplies</x:v>
      </x:c>
      <x:c r="C327" s="7" t="d">
        <x:v>2025-06-30T12:00:00.000Z</x:v>
      </x:c>
      <x:c r="D327" s="1" t="str">
        <x:v>Groupe Takatak</x:v>
      </x:c>
      <x:c r="E327" s="1" t="str">
        <x:v>Cash</x:v>
      </x:c>
      <x:c r="F327" s="1" t="str">
        <x:v>J743</x:v>
      </x:c>
      <x:c r="G327" s="9" t="n">
        <x:v>331.62</x:v>
      </x:c>
      <x:c r="H327" s="9" t="n">
        <x:v>0</x:v>
      </x:c>
      <x:c r="I327" s="1" t="n">
        <x:v>426</x:v>
      </x:c>
      <x:c r="J327" s="1"/>
      <x:c r="K327" s="1" t="str">
        <x:v>GRAND-LIVRE-ORIGINAL-feuille-1.csv, ligne 426</x:v>
      </x:c>
    </x:row>
    <x:row r="328" ht="22" customHeight="1">
      <x:c r="A328" s="1" t="str">
        <x:v>5725</x:v>
      </x:c>
      <x:c r="B328" s="1" t="str">
        <x:v>Rental</x:v>
      </x:c>
      <x:c r="C328" s="7" t="d">
        <x:v>2025-06-30T12:00:00.000Z</x:v>
      </x:c>
      <x:c r="D328" s="1" t="str">
        <x:v>1672 Ste-Catherine Est</x:v>
      </x:c>
      <x:c r="E328" s="1" t="str">
        <x:v>Cash</x:v>
      </x:c>
      <x:c r="F328" s="1" t="str">
        <x:v>J625</x:v>
      </x:c>
      <x:c r="G328" s="9" t="n">
        <x:v>7557.99</x:v>
      </x:c>
      <x:c r="H328" s="9" t="n">
        <x:v>0</x:v>
      </x:c>
      <x:c r="I328" s="1" t="n">
        <x:v>432</x:v>
      </x:c>
      <x:c r="J328" s="1"/>
      <x:c r="K328" s="1" t="str">
        <x:v>GRAND-LIVRE-ORIGINAL-feuille-1.csv, ligne 432</x:v>
      </x:c>
    </x:row>
    <x:row r="329" ht="22" customHeight="1">
      <x:c r="A329" s="1" t="str">
        <x:v>5730</x:v>
      </x:c>
      <x:c r="B329" s="1" t="str">
        <x:v>Motor Vehicle Expenses</x:v>
      </x:c>
      <x:c r="C329" s="7" t="d">
        <x:v>2024-10-22T12:00:00.000Z</x:v>
      </x:c>
      <x:c r="D329" s="1" t="str">
        <x:v>Auto</x:v>
      </x:c>
      <x:c r="E329" s="1" t="str">
        <x:v>Cash</x:v>
      </x:c>
      <x:c r="F329" s="1" t="str">
        <x:v>J49</x:v>
      </x:c>
      <x:c r="G329" s="9" t="n">
        <x:v>500</x:v>
      </x:c>
      <x:c r="H329" s="9" t="n">
        <x:v>0</x:v>
      </x:c>
      <x:c r="I329" s="1" t="n">
        <x:v>435</x:v>
      </x:c>
      <x:c r="J329" s="1"/>
      <x:c r="K329" s="1" t="str">
        <x:v>GRAND-LIVRE-ORIGINAL-feuille-1.csv, ligne 435</x:v>
      </x:c>
    </x:row>
    <x:row r="330" ht="22" customHeight="1">
      <x:c r="A330" s="1" t="str">
        <x:v>5730</x:v>
      </x:c>
      <x:c r="B330" s="1" t="str">
        <x:v>Motor Vehicle Expenses</x:v>
      </x:c>
      <x:c r="C330" s="7" t="d">
        <x:v>2024-11-15T12:00:00.000Z</x:v>
      </x:c>
      <x:c r="D330" s="1" t="str">
        <x:v>Gas</x:v>
      </x:c>
      <x:c r="E330" s="1" t="str">
        <x:v>Cash</x:v>
      </x:c>
      <x:c r="F330" s="1" t="str">
        <x:v>J69</x:v>
      </x:c>
      <x:c r="G330" s="9" t="n">
        <x:v>86.97</x:v>
      </x:c>
      <x:c r="H330" s="9" t="n">
        <x:v>0</x:v>
      </x:c>
      <x:c r="I330" s="1" t="n">
        <x:v>436</x:v>
      </x:c>
      <x:c r="J330" s="1"/>
      <x:c r="K330" s="1" t="str">
        <x:v>GRAND-LIVRE-ORIGINAL-feuille-1.csv, ligne 436</x:v>
      </x:c>
    </x:row>
    <x:row r="331" ht="22" customHeight="1">
      <x:c r="A331" s="1" t="str">
        <x:v>5730</x:v>
      </x:c>
      <x:c r="B331" s="1" t="str">
        <x:v>Motor Vehicle Expenses</x:v>
      </x:c>
      <x:c r="C331" s="7" t="d">
        <x:v>2024-11-15T12:00:00.000Z</x:v>
      </x:c>
      <x:c r="D331" s="1" t="str">
        <x:v>Gas</x:v>
      </x:c>
      <x:c r="E331" s="1" t="str">
        <x:v>Cash</x:v>
      </x:c>
      <x:c r="F331" s="1" t="str">
        <x:v>J70</x:v>
      </x:c>
      <x:c r="G331" s="9" t="n">
        <x:v>130.47</x:v>
      </x:c>
      <x:c r="H331" s="9" t="n">
        <x:v>0</x:v>
      </x:c>
      <x:c r="I331" s="1" t="n">
        <x:v>437</x:v>
      </x:c>
      <x:c r="J331" s="1"/>
      <x:c r="K331" s="1" t="str">
        <x:v>GRAND-LIVRE-ORIGINAL-feuille-1.csv, ligne 437</x:v>
      </x:c>
    </x:row>
    <x:row r="332" ht="22" customHeight="1">
      <x:c r="A332" s="1" t="str">
        <x:v>5730</x:v>
      </x:c>
      <x:c r="B332" s="1" t="str">
        <x:v>Motor Vehicle Expenses</x:v>
      </x:c>
      <x:c r="C332" s="7" t="d">
        <x:v>2024-11-15T12:00:00.000Z</x:v>
      </x:c>
      <x:c r="D332" s="1" t="str">
        <x:v>Gas</x:v>
      </x:c>
      <x:c r="E332" s="1" t="str">
        <x:v>Cash</x:v>
      </x:c>
      <x:c r="F332" s="1" t="str">
        <x:v>J71</x:v>
      </x:c>
      <x:c r="G332" s="9" t="n">
        <x:v>34.79</x:v>
      </x:c>
      <x:c r="H332" s="9" t="n">
        <x:v>0</x:v>
      </x:c>
      <x:c r="I332" s="1" t="n">
        <x:v>438</x:v>
      </x:c>
      <x:c r="J332" s="1"/>
      <x:c r="K332" s="1" t="str">
        <x:v>GRAND-LIVRE-ORIGINAL-feuille-1.csv, ligne 438</x:v>
      </x:c>
    </x:row>
    <x:row r="333" ht="22" customHeight="1">
      <x:c r="A333" s="1" t="str">
        <x:v>5730</x:v>
      </x:c>
      <x:c r="B333" s="1" t="str">
        <x:v>Motor Vehicle Expenses</x:v>
      </x:c>
      <x:c r="C333" s="7" t="d">
        <x:v>2024-11-20T12:00:00.000Z</x:v>
      </x:c>
      <x:c r="D333" s="1" t="str">
        <x:v>Gas</x:v>
      </x:c>
      <x:c r="E333" s="1" t="str">
        <x:v>Cash</x:v>
      </x:c>
      <x:c r="F333" s="1" t="str">
        <x:v>J74</x:v>
      </x:c>
      <x:c r="G333" s="9" t="n">
        <x:v>34.79</x:v>
      </x:c>
      <x:c r="H333" s="9" t="n">
        <x:v>0</x:v>
      </x:c>
      <x:c r="I333" s="1" t="n">
        <x:v>439</x:v>
      </x:c>
      <x:c r="J333" s="1"/>
      <x:c r="K333" s="1" t="str">
        <x:v>GRAND-LIVRE-ORIGINAL-feuille-1.csv, ligne 439</x:v>
      </x:c>
    </x:row>
    <x:row r="334" ht="22" customHeight="1">
      <x:c r="A334" s="1" t="str">
        <x:v>5730</x:v>
      </x:c>
      <x:c r="B334" s="1" t="str">
        <x:v>Motor Vehicle Expenses</x:v>
      </x:c>
      <x:c r="C334" s="7" t="d">
        <x:v>2024-11-21T12:00:00.000Z</x:v>
      </x:c>
      <x:c r="D334" s="1" t="str">
        <x:v>Gas</x:v>
      </x:c>
      <x:c r="E334" s="1" t="str">
        <x:v>Cash</x:v>
      </x:c>
      <x:c r="F334" s="1" t="str">
        <x:v>J75</x:v>
      </x:c>
      <x:c r="G334" s="9" t="n">
        <x:v>34.79</x:v>
      </x:c>
      <x:c r="H334" s="9" t="n">
        <x:v>0</x:v>
      </x:c>
      <x:c r="I334" s="1" t="n">
        <x:v>440</x:v>
      </x:c>
      <x:c r="J334" s="1"/>
      <x:c r="K334" s="1" t="str">
        <x:v>GRAND-LIVRE-ORIGINAL-feuille-1.csv, ligne 440</x:v>
      </x:c>
    </x:row>
    <x:row r="335" ht="22" customHeight="1">
      <x:c r="A335" s="1" t="str">
        <x:v>5730</x:v>
      </x:c>
      <x:c r="B335" s="1" t="str">
        <x:v>Motor Vehicle Expenses</x:v>
      </x:c>
      <x:c r="C335" s="7" t="d">
        <x:v>2024-11-21T12:00:00.000Z</x:v>
      </x:c>
      <x:c r="D335" s="1" t="str">
        <x:v>Gas</x:v>
      </x:c>
      <x:c r="E335" s="1" t="str">
        <x:v>Cash</x:v>
      </x:c>
      <x:c r="F335" s="1" t="str">
        <x:v>J76</x:v>
      </x:c>
      <x:c r="G335" s="9" t="n">
        <x:v>34.79</x:v>
      </x:c>
      <x:c r="H335" s="9" t="n">
        <x:v>0</x:v>
      </x:c>
      <x:c r="I335" s="1" t="n">
        <x:v>441</x:v>
      </x:c>
      <x:c r="J335" s="1"/>
      <x:c r="K335" s="1" t="str">
        <x:v>GRAND-LIVRE-ORIGINAL-feuille-1.csv, ligne 441</x:v>
      </x:c>
    </x:row>
    <x:row r="336" ht="22" customHeight="1">
      <x:c r="A336" s="1" t="str">
        <x:v>5730</x:v>
      </x:c>
      <x:c r="B336" s="1" t="str">
        <x:v>Motor Vehicle Expenses</x:v>
      </x:c>
      <x:c r="C336" s="7" t="d">
        <x:v>2024-11-28T12:00:00.000Z</x:v>
      </x:c>
      <x:c r="D336" s="1" t="str">
        <x:v>Gas</x:v>
      </x:c>
      <x:c r="E336" s="1" t="str">
        <x:v>Cash</x:v>
      </x:c>
      <x:c r="F336" s="1" t="str">
        <x:v>J82</x:v>
      </x:c>
      <x:c r="G336" s="9" t="n">
        <x:v>34.79</x:v>
      </x:c>
      <x:c r="H336" s="9" t="n">
        <x:v>0</x:v>
      </x:c>
      <x:c r="I336" s="1" t="n">
        <x:v>442</x:v>
      </x:c>
      <x:c r="J336" s="1"/>
      <x:c r="K336" s="1" t="str">
        <x:v>GRAND-LIVRE-ORIGINAL-feuille-1.csv, ligne 442</x:v>
      </x:c>
    </x:row>
    <x:row r="337" ht="22" customHeight="1">
      <x:c r="A337" s="1" t="str">
        <x:v>5730</x:v>
      </x:c>
      <x:c r="B337" s="1" t="str">
        <x:v>Motor Vehicle Expenses</x:v>
      </x:c>
      <x:c r="C337" s="7" t="d">
        <x:v>2024-11-28T12:00:00.000Z</x:v>
      </x:c>
      <x:c r="D337" s="1" t="str">
        <x:v>Gas</x:v>
      </x:c>
      <x:c r="E337" s="1" t="str">
        <x:v>Cash</x:v>
      </x:c>
      <x:c r="F337" s="1" t="str">
        <x:v>J83</x:v>
      </x:c>
      <x:c r="G337" s="9" t="n">
        <x:v>23.28</x:v>
      </x:c>
      <x:c r="H337" s="9" t="n">
        <x:v>0</x:v>
      </x:c>
      <x:c r="I337" s="1" t="n">
        <x:v>443</x:v>
      </x:c>
      <x:c r="J337" s="1"/>
      <x:c r="K337" s="1" t="str">
        <x:v>GRAND-LIVRE-ORIGINAL-feuille-1.csv, ligne 443</x:v>
      </x:c>
    </x:row>
    <x:row r="338" ht="22" customHeight="1">
      <x:c r="A338" s="1" t="str">
        <x:v>5730</x:v>
      </x:c>
      <x:c r="B338" s="1" t="str">
        <x:v>Motor Vehicle Expenses</x:v>
      </x:c>
      <x:c r="C338" s="7" t="d">
        <x:v>2024-11-29T12:00:00.000Z</x:v>
      </x:c>
      <x:c r="D338" s="1" t="str">
        <x:v>Gas</x:v>
      </x:c>
      <x:c r="E338" s="1" t="str">
        <x:v>Cash</x:v>
      </x:c>
      <x:c r="F338" s="1" t="str">
        <x:v>J88</x:v>
      </x:c>
      <x:c r="G338" s="9" t="n">
        <x:v>34.79</x:v>
      </x:c>
      <x:c r="H338" s="9" t="n">
        <x:v>0</x:v>
      </x:c>
      <x:c r="I338" s="1" t="n">
        <x:v>444</x:v>
      </x:c>
      <x:c r="J338" s="1"/>
      <x:c r="K338" s="1" t="str">
        <x:v>GRAND-LIVRE-ORIGINAL-feuille-1.csv, ligne 444</x:v>
      </x:c>
    </x:row>
    <x:row r="339" ht="22" customHeight="1">
      <x:c r="A339" s="1" t="str">
        <x:v>5730</x:v>
      </x:c>
      <x:c r="B339" s="1" t="str">
        <x:v>Motor Vehicle Expenses</x:v>
      </x:c>
      <x:c r="C339" s="7" t="d">
        <x:v>2024-11-29T12:00:00.000Z</x:v>
      </x:c>
      <x:c r="D339" s="1" t="str">
        <x:v>Gas</x:v>
      </x:c>
      <x:c r="E339" s="1" t="str">
        <x:v>Cash</x:v>
      </x:c>
      <x:c r="F339" s="1" t="str">
        <x:v>J89</x:v>
      </x:c>
      <x:c r="G339" s="9" t="n">
        <x:v>26.78</x:v>
      </x:c>
      <x:c r="H339" s="9" t="n">
        <x:v>0</x:v>
      </x:c>
      <x:c r="I339" s="1" t="n">
        <x:v>445</x:v>
      </x:c>
      <x:c r="J339" s="1"/>
      <x:c r="K339" s="1" t="str">
        <x:v>GRAND-LIVRE-ORIGINAL-feuille-1.csv, ligne 445</x:v>
      </x:c>
    </x:row>
    <x:row r="340" ht="22" customHeight="1">
      <x:c r="A340" s="1" t="str">
        <x:v>5730</x:v>
      </x:c>
      <x:c r="B340" s="1" t="str">
        <x:v>Motor Vehicle Expenses</x:v>
      </x:c>
      <x:c r="C340" s="7" t="d">
        <x:v>2024-12-09T12:00:00.000Z</x:v>
      </x:c>
      <x:c r="D340" s="1" t="str">
        <x:v>Gas</x:v>
      </x:c>
      <x:c r="E340" s="1" t="str">
        <x:v>Cash</x:v>
      </x:c>
      <x:c r="F340" s="1" t="str">
        <x:v>J113</x:v>
      </x:c>
      <x:c r="G340" s="9" t="n">
        <x:v>34.79</x:v>
      </x:c>
      <x:c r="H340" s="9" t="n">
        <x:v>0</x:v>
      </x:c>
      <x:c r="I340" s="1" t="n">
        <x:v>446</x:v>
      </x:c>
      <x:c r="J340" s="1"/>
      <x:c r="K340" s="1" t="str">
        <x:v>GRAND-LIVRE-ORIGINAL-feuille-1.csv, ligne 446</x:v>
      </x:c>
    </x:row>
    <x:row r="341" ht="22" customHeight="1">
      <x:c r="A341" s="1" t="str">
        <x:v>5730</x:v>
      </x:c>
      <x:c r="B341" s="1" t="str">
        <x:v>Motor Vehicle Expenses</x:v>
      </x:c>
      <x:c r="C341" s="7" t="d">
        <x:v>2024-12-11T12:00:00.000Z</x:v>
      </x:c>
      <x:c r="D341" s="1" t="str">
        <x:v>Auto</x:v>
      </x:c>
      <x:c r="E341" s="1" t="str">
        <x:v>Cash</x:v>
      </x:c>
      <x:c r="F341" s="1" t="str">
        <x:v>J122</x:v>
      </x:c>
      <x:c r="G341" s="9" t="n">
        <x:v>500</x:v>
      </x:c>
      <x:c r="H341" s="9" t="n">
        <x:v>0</x:v>
      </x:c>
      <x:c r="I341" s="1" t="n">
        <x:v>447</x:v>
      </x:c>
      <x:c r="J341" s="1"/>
      <x:c r="K341" s="1" t="str">
        <x:v>GRAND-LIVRE-ORIGINAL-feuille-1.csv, ligne 447</x:v>
      </x:c>
    </x:row>
    <x:row r="342" ht="22" customHeight="1">
      <x:c r="A342" s="1" t="str">
        <x:v>5730</x:v>
      </x:c>
      <x:c r="B342" s="1" t="str">
        <x:v>Motor Vehicle Expenses</x:v>
      </x:c>
      <x:c r="C342" s="7" t="d">
        <x:v>2024-12-11T12:00:00.000Z</x:v>
      </x:c>
      <x:c r="D342" s="1" t="str">
        <x:v>Gas</x:v>
      </x:c>
      <x:c r="E342" s="1" t="str">
        <x:v>Cash</x:v>
      </x:c>
      <x:c r="F342" s="1" t="str">
        <x:v>J123</x:v>
      </x:c>
      <x:c r="G342" s="9" t="n">
        <x:v>86.97</x:v>
      </x:c>
      <x:c r="H342" s="9" t="n">
        <x:v>0</x:v>
      </x:c>
      <x:c r="I342" s="1" t="n">
        <x:v>448</x:v>
      </x:c>
      <x:c r="J342" s="1"/>
      <x:c r="K342" s="1" t="str">
        <x:v>GRAND-LIVRE-ORIGINAL-feuille-1.csv, ligne 448</x:v>
      </x:c>
    </x:row>
    <x:row r="343" ht="22" customHeight="1">
      <x:c r="A343" s="1" t="str">
        <x:v>5730</x:v>
      </x:c>
      <x:c r="B343" s="1" t="str">
        <x:v>Motor Vehicle Expenses</x:v>
      </x:c>
      <x:c r="C343" s="7" t="d">
        <x:v>2024-12-12T12:00:00.000Z</x:v>
      </x:c>
      <x:c r="D343" s="1" t="str">
        <x:v>Gas</x:v>
      </x:c>
      <x:c r="E343" s="1" t="str">
        <x:v>Cash</x:v>
      </x:c>
      <x:c r="F343" s="1" t="str">
        <x:v>J135</x:v>
      </x:c>
      <x:c r="G343" s="9" t="n">
        <x:v>34.79</x:v>
      </x:c>
      <x:c r="H343" s="9" t="n">
        <x:v>0</x:v>
      </x:c>
      <x:c r="I343" s="1" t="n">
        <x:v>449</x:v>
      </x:c>
      <x:c r="J343" s="1"/>
      <x:c r="K343" s="1" t="str">
        <x:v>GRAND-LIVRE-ORIGINAL-feuille-1.csv, ligne 449</x:v>
      </x:c>
    </x:row>
    <x:row r="344" ht="22" customHeight="1">
      <x:c r="A344" s="1" t="str">
        <x:v>5730</x:v>
      </x:c>
      <x:c r="B344" s="1" t="str">
        <x:v>Motor Vehicle Expenses</x:v>
      </x:c>
      <x:c r="C344" s="7" t="d">
        <x:v>2024-12-12T12:00:00.000Z</x:v>
      </x:c>
      <x:c r="D344" s="1" t="str">
        <x:v>Gas</x:v>
      </x:c>
      <x:c r="E344" s="1" t="str">
        <x:v>Cash</x:v>
      </x:c>
      <x:c r="F344" s="1" t="str">
        <x:v>J139</x:v>
      </x:c>
      <x:c r="G344" s="9" t="n">
        <x:v>61.59</x:v>
      </x:c>
      <x:c r="H344" s="9" t="n">
        <x:v>0</x:v>
      </x:c>
      <x:c r="I344" s="1" t="n">
        <x:v>450</x:v>
      </x:c>
      <x:c r="J344" s="1"/>
      <x:c r="K344" s="1" t="str">
        <x:v>GRAND-LIVRE-ORIGINAL-feuille-1.csv, ligne 450</x:v>
      </x:c>
    </x:row>
    <x:row r="345" ht="22" customHeight="1">
      <x:c r="A345" s="1" t="str">
        <x:v>5730</x:v>
      </x:c>
      <x:c r="B345" s="1" t="str">
        <x:v>Motor Vehicle Expenses</x:v>
      </x:c>
      <x:c r="C345" s="7" t="d">
        <x:v>2024-12-19T12:00:00.000Z</x:v>
      </x:c>
      <x:c r="D345" s="1" t="str">
        <x:v>Gas</x:v>
      </x:c>
      <x:c r="E345" s="1" t="str">
        <x:v>Cash</x:v>
      </x:c>
      <x:c r="F345" s="1" t="str">
        <x:v>J144</x:v>
      </x:c>
      <x:c r="G345" s="9" t="n">
        <x:v>34.79</x:v>
      </x:c>
      <x:c r="H345" s="9" t="n">
        <x:v>0</x:v>
      </x:c>
      <x:c r="I345" s="1" t="n">
        <x:v>451</x:v>
      </x:c>
      <x:c r="J345" s="1"/>
      <x:c r="K345" s="1" t="str">
        <x:v>GRAND-LIVRE-ORIGINAL-feuille-1.csv, ligne 451</x:v>
      </x:c>
    </x:row>
    <x:row r="346" ht="22" customHeight="1">
      <x:c r="A346" s="1" t="str">
        <x:v>5730</x:v>
      </x:c>
      <x:c r="B346" s="1" t="str">
        <x:v>Motor Vehicle Expenses</x:v>
      </x:c>
      <x:c r="C346" s="7" t="d">
        <x:v>2024-12-19T12:00:00.000Z</x:v>
      </x:c>
      <x:c r="D346" s="1" t="str">
        <x:v>Gas</x:v>
      </x:c>
      <x:c r="E346" s="1" t="str">
        <x:v>Cash</x:v>
      </x:c>
      <x:c r="F346" s="1" t="str">
        <x:v>J145</x:v>
      </x:c>
      <x:c r="G346" s="9" t="n">
        <x:v>23.28</x:v>
      </x:c>
      <x:c r="H346" s="9" t="n">
        <x:v>0</x:v>
      </x:c>
      <x:c r="I346" s="1" t="n">
        <x:v>452</x:v>
      </x:c>
      <x:c r="J346" s="1"/>
      <x:c r="K346" s="1" t="str">
        <x:v>GRAND-LIVRE-ORIGINAL-feuille-1.csv, ligne 452</x:v>
      </x:c>
    </x:row>
    <x:row r="347" ht="22" customHeight="1">
      <x:c r="A347" s="1" t="str">
        <x:v>5730</x:v>
      </x:c>
      <x:c r="B347" s="1" t="str">
        <x:v>Motor Vehicle Expenses</x:v>
      </x:c>
      <x:c r="C347" s="7" t="d">
        <x:v>2024-12-19T12:00:00.000Z</x:v>
      </x:c>
      <x:c r="D347" s="1" t="str">
        <x:v>Gas</x:v>
      </x:c>
      <x:c r="E347" s="1" t="str">
        <x:v>Cash</x:v>
      </x:c>
      <x:c r="F347" s="1" t="str">
        <x:v>J147</x:v>
      </x:c>
      <x:c r="G347" s="9" t="n">
        <x:v>34.79</x:v>
      </x:c>
      <x:c r="H347" s="9" t="n">
        <x:v>0</x:v>
      </x:c>
      <x:c r="I347" s="1" t="n">
        <x:v>453</x:v>
      </x:c>
      <x:c r="J347" s="1"/>
      <x:c r="K347" s="1" t="str">
        <x:v>GRAND-LIVRE-ORIGINAL-feuille-1.csv, ligne 453</x:v>
      </x:c>
    </x:row>
    <x:row r="348" ht="22" customHeight="1">
      <x:c r="A348" s="1" t="str">
        <x:v>5730</x:v>
      </x:c>
      <x:c r="B348" s="1" t="str">
        <x:v>Motor Vehicle Expenses</x:v>
      </x:c>
      <x:c r="C348" s="7" t="d">
        <x:v>2024-12-23T12:00:00.000Z</x:v>
      </x:c>
      <x:c r="D348" s="1" t="str">
        <x:v>Gas</x:v>
      </x:c>
      <x:c r="E348" s="1" t="str">
        <x:v>Cash</x:v>
      </x:c>
      <x:c r="F348" s="1" t="str">
        <x:v>J160</x:v>
      </x:c>
      <x:c r="G348" s="9" t="n">
        <x:v>43.49</x:v>
      </x:c>
      <x:c r="H348" s="9" t="n">
        <x:v>0</x:v>
      </x:c>
      <x:c r="I348" s="1" t="n">
        <x:v>454</x:v>
      </x:c>
      <x:c r="J348" s="1"/>
      <x:c r="K348" s="1" t="str">
        <x:v>GRAND-LIVRE-ORIGINAL-feuille-1.csv, ligne 454</x:v>
      </x:c>
    </x:row>
    <x:row r="349" ht="22" customHeight="1">
      <x:c r="A349" s="1" t="str">
        <x:v>5730</x:v>
      </x:c>
      <x:c r="B349" s="1" t="str">
        <x:v>Motor Vehicle Expenses</x:v>
      </x:c>
      <x:c r="C349" s="7" t="d">
        <x:v>2024-12-31T12:00:00.000Z</x:v>
      </x:c>
      <x:c r="D349" s="1" t="str">
        <x:v>Gas</x:v>
      </x:c>
      <x:c r="E349" s="1" t="str">
        <x:v>Cash</x:v>
      </x:c>
      <x:c r="F349" s="1" t="str">
        <x:v>J181</x:v>
      </x:c>
      <x:c r="G349" s="9" t="n">
        <x:v>26.85</x:v>
      </x:c>
      <x:c r="H349" s="9" t="n">
        <x:v>0</x:v>
      </x:c>
      <x:c r="I349" s="1" t="n">
        <x:v>455</x:v>
      </x:c>
      <x:c r="J349" s="1"/>
      <x:c r="K349" s="1" t="str">
        <x:v>GRAND-LIVRE-ORIGINAL-feuille-1.csv, ligne 455</x:v>
      </x:c>
    </x:row>
    <x:row r="350" ht="22" customHeight="1">
      <x:c r="A350" s="1" t="str">
        <x:v>5730</x:v>
      </x:c>
      <x:c r="B350" s="1" t="str">
        <x:v>Motor Vehicle Expenses</x:v>
      </x:c>
      <x:c r="C350" s="7" t="d">
        <x:v>2024-12-31T12:00:00.000Z</x:v>
      </x:c>
      <x:c r="D350" s="1" t="str">
        <x:v>Gas</x:v>
      </x:c>
      <x:c r="E350" s="1" t="str">
        <x:v>Cash</x:v>
      </x:c>
      <x:c r="F350" s="1" t="str">
        <x:v>J184</x:v>
      </x:c>
      <x:c r="G350" s="9" t="n">
        <x:v>50.45</x:v>
      </x:c>
      <x:c r="H350" s="9" t="n">
        <x:v>0</x:v>
      </x:c>
      <x:c r="I350" s="1" t="n">
        <x:v>456</x:v>
      </x:c>
      <x:c r="J350" s="1"/>
      <x:c r="K350" s="1" t="str">
        <x:v>GRAND-LIVRE-ORIGINAL-feuille-1.csv, ligne 456</x:v>
      </x:c>
    </x:row>
    <x:row r="351" ht="22" customHeight="1">
      <x:c r="A351" s="1" t="str">
        <x:v>5730</x:v>
      </x:c>
      <x:c r="B351" s="1" t="str">
        <x:v>Motor Vehicle Expenses</x:v>
      </x:c>
      <x:c r="C351" s="7" t="d">
        <x:v>2025-01-01T12:00:00.000Z</x:v>
      </x:c>
      <x:c r="D351" s="1" t="str">
        <x:v>Gas</x:v>
      </x:c>
      <x:c r="E351" s="1" t="str">
        <x:v>Cash</x:v>
      </x:c>
      <x:c r="F351" s="1" t="str">
        <x:v>J192</x:v>
      </x:c>
      <x:c r="G351" s="9" t="n">
        <x:v>22.67</x:v>
      </x:c>
      <x:c r="H351" s="9" t="n">
        <x:v>0</x:v>
      </x:c>
      <x:c r="I351" s="1" t="n">
        <x:v>457</x:v>
      </x:c>
      <x:c r="J351" s="1"/>
      <x:c r="K351" s="1" t="str">
        <x:v>GRAND-LIVRE-ORIGINAL-feuille-1.csv, ligne 457</x:v>
      </x:c>
    </x:row>
    <x:row r="352" ht="22" customHeight="1">
      <x:c r="A352" s="1" t="str">
        <x:v>5730</x:v>
      </x:c>
      <x:c r="B352" s="1" t="str">
        <x:v>Motor Vehicle Expenses</x:v>
      </x:c>
      <x:c r="C352" s="7" t="d">
        <x:v>2025-01-03T12:00:00.000Z</x:v>
      </x:c>
      <x:c r="D352" s="1" t="str">
        <x:v>Gas</x:v>
      </x:c>
      <x:c r="E352" s="1" t="str">
        <x:v>Cash</x:v>
      </x:c>
      <x:c r="F352" s="1" t="str">
        <x:v>J204</x:v>
      </x:c>
      <x:c r="G352" s="9" t="n">
        <x:v>23.28</x:v>
      </x:c>
      <x:c r="H352" s="9" t="n">
        <x:v>0</x:v>
      </x:c>
      <x:c r="I352" s="1" t="n">
        <x:v>458</x:v>
      </x:c>
      <x:c r="J352" s="1"/>
      <x:c r="K352" s="1" t="str">
        <x:v>GRAND-LIVRE-ORIGINAL-feuille-1.csv, ligne 458</x:v>
      </x:c>
    </x:row>
    <x:row r="353" ht="22" customHeight="1">
      <x:c r="A353" s="1" t="str">
        <x:v>5730</x:v>
      </x:c>
      <x:c r="B353" s="1" t="str">
        <x:v>Motor Vehicle Expenses</x:v>
      </x:c>
      <x:c r="C353" s="7" t="d">
        <x:v>2025-01-03T12:00:00.000Z</x:v>
      </x:c>
      <x:c r="D353" s="1" t="str">
        <x:v>Gas</x:v>
      </x:c>
      <x:c r="E353" s="1" t="str">
        <x:v>Cash</x:v>
      </x:c>
      <x:c r="F353" s="1" t="str">
        <x:v>J209</x:v>
      </x:c>
      <x:c r="G353" s="9" t="n">
        <x:v>37.37</x:v>
      </x:c>
      <x:c r="H353" s="9" t="n">
        <x:v>0</x:v>
      </x:c>
      <x:c r="I353" s="1" t="n">
        <x:v>459</x:v>
      </x:c>
      <x:c r="J353" s="1"/>
      <x:c r="K353" s="1" t="str">
        <x:v>GRAND-LIVRE-ORIGINAL-feuille-1.csv, ligne 459</x:v>
      </x:c>
    </x:row>
    <x:row r="354" ht="22" customHeight="1">
      <x:c r="A354" s="1" t="str">
        <x:v>5730</x:v>
      </x:c>
      <x:c r="B354" s="1" t="str">
        <x:v>Motor Vehicle Expenses</x:v>
      </x:c>
      <x:c r="C354" s="7" t="d">
        <x:v>2025-01-06T12:00:00.000Z</x:v>
      </x:c>
      <x:c r="D354" s="1" t="str">
        <x:v>Gas</x:v>
      </x:c>
      <x:c r="E354" s="1" t="str">
        <x:v>Cash</x:v>
      </x:c>
      <x:c r="F354" s="1" t="str">
        <x:v>J218</x:v>
      </x:c>
      <x:c r="G354" s="9" t="n">
        <x:v>26.1</x:v>
      </x:c>
      <x:c r="H354" s="9" t="n">
        <x:v>0</x:v>
      </x:c>
      <x:c r="I354" s="1" t="n">
        <x:v>460</x:v>
      </x:c>
      <x:c r="J354" s="1"/>
      <x:c r="K354" s="1" t="str">
        <x:v>GRAND-LIVRE-ORIGINAL-feuille-1.csv, ligne 460</x:v>
      </x:c>
    </x:row>
    <x:row r="355" ht="22" customHeight="1">
      <x:c r="A355" s="1" t="str">
        <x:v>5730</x:v>
      </x:c>
      <x:c r="B355" s="1" t="str">
        <x:v>Motor Vehicle Expenses</x:v>
      </x:c>
      <x:c r="C355" s="7" t="d">
        <x:v>2025-01-06T12:00:00.000Z</x:v>
      </x:c>
      <x:c r="D355" s="1" t="str">
        <x:v>Gas</x:v>
      </x:c>
      <x:c r="E355" s="1" t="str">
        <x:v>Cash</x:v>
      </x:c>
      <x:c r="F355" s="1" t="str">
        <x:v>J219</x:v>
      </x:c>
      <x:c r="G355" s="9" t="n">
        <x:v>32.03</x:v>
      </x:c>
      <x:c r="H355" s="9" t="n">
        <x:v>0</x:v>
      </x:c>
      <x:c r="I355" s="1" t="n">
        <x:v>461</x:v>
      </x:c>
      <x:c r="J355" s="1"/>
      <x:c r="K355" s="1" t="str">
        <x:v>GRAND-LIVRE-ORIGINAL-feuille-1.csv, ligne 461</x:v>
      </x:c>
    </x:row>
    <x:row r="356" ht="22" customHeight="1">
      <x:c r="A356" s="1" t="str">
        <x:v>5730</x:v>
      </x:c>
      <x:c r="B356" s="1" t="str">
        <x:v>Motor Vehicle Expenses</x:v>
      </x:c>
      <x:c r="C356" s="7" t="d">
        <x:v>2025-01-08T12:00:00.000Z</x:v>
      </x:c>
      <x:c r="D356" s="1" t="str">
        <x:v>Gas</x:v>
      </x:c>
      <x:c r="E356" s="1" t="str">
        <x:v>Cash</x:v>
      </x:c>
      <x:c r="F356" s="1" t="str">
        <x:v>J227</x:v>
      </x:c>
      <x:c r="G356" s="9" t="n">
        <x:v>18.27</x:v>
      </x:c>
      <x:c r="H356" s="9" t="n">
        <x:v>0</x:v>
      </x:c>
      <x:c r="I356" s="1" t="n">
        <x:v>462</x:v>
      </x:c>
      <x:c r="J356" s="1"/>
      <x:c r="K356" s="1" t="str">
        <x:v>GRAND-LIVRE-ORIGINAL-feuille-1.csv, ligne 462</x:v>
      </x:c>
    </x:row>
    <x:row r="357" ht="22" customHeight="1">
      <x:c r="A357" s="1" t="str">
        <x:v>5730</x:v>
      </x:c>
      <x:c r="B357" s="1" t="str">
        <x:v>Motor Vehicle Expenses</x:v>
      </x:c>
      <x:c r="C357" s="7" t="d">
        <x:v>2025-03-01T12:00:00.000Z</x:v>
      </x:c>
      <x:c r="D357" s="1" t="str">
        <x:v>Saaq</x:v>
      </x:c>
      <x:c r="E357" s="1" t="str">
        <x:v>Cash</x:v>
      </x:c>
      <x:c r="F357" s="1" t="str">
        <x:v>J418</x:v>
      </x:c>
      <x:c r="G357" s="9" t="n">
        <x:v>38.81</x:v>
      </x:c>
      <x:c r="H357" s="9" t="n">
        <x:v>0</x:v>
      </x:c>
      <x:c r="I357" s="1" t="n">
        <x:v>463</x:v>
      </x:c>
      <x:c r="J357" s="1"/>
      <x:c r="K357" s="1" t="str">
        <x:v>GRAND-LIVRE-ORIGINAL-feuille-1.csv, ligne 463</x:v>
      </x:c>
    </x:row>
    <x:row r="358" ht="22" customHeight="1">
      <x:c r="A358" s="1" t="str">
        <x:v>5730</x:v>
      </x:c>
      <x:c r="B358" s="1" t="str">
        <x:v>Motor Vehicle Expenses</x:v>
      </x:c>
      <x:c r="C358" s="7" t="d">
        <x:v>2025-03-01T12:00:00.000Z</x:v>
      </x:c>
      <x:c r="D358" s="1" t="str">
        <x:v>Gas</x:v>
      </x:c>
      <x:c r="E358" s="1" t="str">
        <x:v>Cash</x:v>
      </x:c>
      <x:c r="F358" s="1" t="str">
        <x:v>J420</x:v>
      </x:c>
      <x:c r="G358" s="9" t="n">
        <x:v>43.49</x:v>
      </x:c>
      <x:c r="H358" s="9" t="n">
        <x:v>0</x:v>
      </x:c>
      <x:c r="I358" s="1" t="n">
        <x:v>464</x:v>
      </x:c>
      <x:c r="J358" s="1"/>
      <x:c r="K358" s="1" t="str">
        <x:v>GRAND-LIVRE-ORIGINAL-feuille-1.csv, ligne 464</x:v>
      </x:c>
    </x:row>
    <x:row r="359" ht="22" customHeight="1">
      <x:c r="A359" s="1" t="str">
        <x:v>5730</x:v>
      </x:c>
      <x:c r="B359" s="1" t="str">
        <x:v>Motor Vehicle Expenses</x:v>
      </x:c>
      <x:c r="C359" s="7" t="d">
        <x:v>2025-03-01T12:00:00.000Z</x:v>
      </x:c>
      <x:c r="D359" s="1" t="str">
        <x:v>Gas</x:v>
      </x:c>
      <x:c r="E359" s="1" t="str">
        <x:v>Cash</x:v>
      </x:c>
      <x:c r="F359" s="1" t="str">
        <x:v>J421</x:v>
      </x:c>
      <x:c r="G359" s="9" t="n">
        <x:v>16.99</x:v>
      </x:c>
      <x:c r="H359" s="9" t="n">
        <x:v>0</x:v>
      </x:c>
      <x:c r="I359" s="1" t="n">
        <x:v>465</x:v>
      </x:c>
      <x:c r="J359" s="1"/>
      <x:c r="K359" s="1" t="str">
        <x:v>GRAND-LIVRE-ORIGINAL-feuille-1.csv, ligne 465</x:v>
      </x:c>
    </x:row>
    <x:row r="360" ht="22" customHeight="1">
      <x:c r="A360" s="1" t="str">
        <x:v>5730</x:v>
      </x:c>
      <x:c r="B360" s="1" t="str">
        <x:v>Motor Vehicle Expenses</x:v>
      </x:c>
      <x:c r="C360" s="7" t="d">
        <x:v>2025-03-01T12:00:00.000Z</x:v>
      </x:c>
      <x:c r="D360" s="1" t="str">
        <x:v>Gas</x:v>
      </x:c>
      <x:c r="E360" s="1" t="str">
        <x:v>Cash</x:v>
      </x:c>
      <x:c r="F360" s="1" t="str">
        <x:v>J424</x:v>
      </x:c>
      <x:c r="G360" s="9" t="n">
        <x:v>43.49</x:v>
      </x:c>
      <x:c r="H360" s="9" t="n">
        <x:v>0</x:v>
      </x:c>
      <x:c r="I360" s="1" t="n">
        <x:v>466</x:v>
      </x:c>
      <x:c r="J360" s="1"/>
      <x:c r="K360" s="1" t="str">
        <x:v>GRAND-LIVRE-ORIGINAL-feuille-1.csv, ligne 466</x:v>
      </x:c>
    </x:row>
    <x:row r="361" ht="22" customHeight="1">
      <x:c r="A361" s="1" t="str">
        <x:v>5730</x:v>
      </x:c>
      <x:c r="B361" s="1" t="str">
        <x:v>Motor Vehicle Expenses</x:v>
      </x:c>
      <x:c r="C361" s="7" t="d">
        <x:v>2025-03-01T12:00:00.000Z</x:v>
      </x:c>
      <x:c r="D361" s="1" t="str">
        <x:v>Gas</x:v>
      </x:c>
      <x:c r="E361" s="1" t="str">
        <x:v>Cash</x:v>
      </x:c>
      <x:c r="F361" s="1" t="str">
        <x:v>J427</x:v>
      </x:c>
      <x:c r="G361" s="9" t="n">
        <x:v>8.28</x:v>
      </x:c>
      <x:c r="H361" s="9" t="n">
        <x:v>0</x:v>
      </x:c>
      <x:c r="I361" s="1" t="n">
        <x:v>467</x:v>
      </x:c>
      <x:c r="J361" s="1"/>
      <x:c r="K361" s="1" t="str">
        <x:v>GRAND-LIVRE-ORIGINAL-feuille-1.csv, ligne 467</x:v>
      </x:c>
    </x:row>
    <x:row r="362" ht="22" customHeight="1">
      <x:c r="A362" s="1" t="str">
        <x:v>5730</x:v>
      </x:c>
      <x:c r="B362" s="1" t="str">
        <x:v>Motor Vehicle Expenses</x:v>
      </x:c>
      <x:c r="C362" s="7" t="d">
        <x:v>2025-03-01T12:00:00.000Z</x:v>
      </x:c>
      <x:c r="D362" s="1" t="str">
        <x:v>Gas</x:v>
      </x:c>
      <x:c r="E362" s="1" t="str">
        <x:v>Cash</x:v>
      </x:c>
      <x:c r="F362" s="1" t="str">
        <x:v>J428</x:v>
      </x:c>
      <x:c r="G362" s="9" t="n">
        <x:v>43.61</x:v>
      </x:c>
      <x:c r="H362" s="9" t="n">
        <x:v>0</x:v>
      </x:c>
      <x:c r="I362" s="1" t="n">
        <x:v>468</x:v>
      </x:c>
      <x:c r="J362" s="1"/>
      <x:c r="K362" s="1" t="str">
        <x:v>GRAND-LIVRE-ORIGINAL-feuille-1.csv, ligne 468</x:v>
      </x:c>
    </x:row>
    <x:row r="363" ht="22" customHeight="1">
      <x:c r="A363" s="1" t="str">
        <x:v>5730</x:v>
      </x:c>
      <x:c r="B363" s="1" t="str">
        <x:v>Motor Vehicle Expenses</x:v>
      </x:c>
      <x:c r="C363" s="7" t="d">
        <x:v>2025-03-01T12:00:00.000Z</x:v>
      </x:c>
      <x:c r="D363" s="1" t="str">
        <x:v>Gas</x:v>
      </x:c>
      <x:c r="E363" s="1" t="str">
        <x:v>Cash</x:v>
      </x:c>
      <x:c r="F363" s="1" t="str">
        <x:v>J429</x:v>
      </x:c>
      <x:c r="G363" s="9" t="n">
        <x:v>52.18</x:v>
      </x:c>
      <x:c r="H363" s="9" t="n">
        <x:v>0</x:v>
      </x:c>
      <x:c r="I363" s="1" t="n">
        <x:v>469</x:v>
      </x:c>
      <x:c r="J363" s="1"/>
      <x:c r="K363" s="1" t="str">
        <x:v>GRAND-LIVRE-ORIGINAL-feuille-1.csv, ligne 469</x:v>
      </x:c>
    </x:row>
    <x:row r="364" ht="22" customHeight="1">
      <x:c r="A364" s="1" t="str">
        <x:v>5730</x:v>
      </x:c>
      <x:c r="B364" s="1" t="str">
        <x:v>Motor Vehicle Expenses</x:v>
      </x:c>
      <x:c r="C364" s="7" t="d">
        <x:v>2025-03-01T12:00:00.000Z</x:v>
      </x:c>
      <x:c r="D364" s="1" t="str">
        <x:v>Gas</x:v>
      </x:c>
      <x:c r="E364" s="1" t="str">
        <x:v>Cash</x:v>
      </x:c>
      <x:c r="F364" s="1" t="str">
        <x:v>J430</x:v>
      </x:c>
      <x:c r="G364" s="9" t="n">
        <x:v>56.14</x:v>
      </x:c>
      <x:c r="H364" s="9" t="n">
        <x:v>0</x:v>
      </x:c>
      <x:c r="I364" s="1" t="n">
        <x:v>470</x:v>
      </x:c>
      <x:c r="J364" s="1"/>
      <x:c r="K364" s="1" t="str">
        <x:v>GRAND-LIVRE-ORIGINAL-feuille-1.csv, ligne 470</x:v>
      </x:c>
    </x:row>
    <x:row r="365" ht="22" customHeight="1">
      <x:c r="A365" s="1" t="str">
        <x:v>5730</x:v>
      </x:c>
      <x:c r="B365" s="1" t="str">
        <x:v>Motor Vehicle Expenses</x:v>
      </x:c>
      <x:c r="C365" s="7" t="d">
        <x:v>2025-03-01T12:00:00.000Z</x:v>
      </x:c>
      <x:c r="D365" s="1" t="str">
        <x:v>Gas</x:v>
      </x:c>
      <x:c r="E365" s="1" t="str">
        <x:v>Cash</x:v>
      </x:c>
      <x:c r="F365" s="1" t="str">
        <x:v>J431</x:v>
      </x:c>
      <x:c r="G365" s="9" t="n">
        <x:v>34.79</x:v>
      </x:c>
      <x:c r="H365" s="9" t="n">
        <x:v>0</x:v>
      </x:c>
      <x:c r="I365" s="1" t="n">
        <x:v>471</x:v>
      </x:c>
      <x:c r="J365" s="1"/>
      <x:c r="K365" s="1" t="str">
        <x:v>GRAND-LIVRE-ORIGINAL-feuille-1.csv, ligne 471</x:v>
      </x:c>
    </x:row>
    <x:row r="366" ht="22" customHeight="1">
      <x:c r="A366" s="1" t="str">
        <x:v>5730</x:v>
      </x:c>
      <x:c r="B366" s="1" t="str">
        <x:v>Motor Vehicle Expenses</x:v>
      </x:c>
      <x:c r="C366" s="7" t="d">
        <x:v>2025-03-01T12:00:00.000Z</x:v>
      </x:c>
      <x:c r="D366" s="1" t="str">
        <x:v>Gas</x:v>
      </x:c>
      <x:c r="E366" s="1" t="str">
        <x:v>Cash</x:v>
      </x:c>
      <x:c r="F366" s="1" t="str">
        <x:v>J441</x:v>
      </x:c>
      <x:c r="G366" s="9" t="n">
        <x:v>19.19</x:v>
      </x:c>
      <x:c r="H366" s="9" t="n">
        <x:v>0</x:v>
      </x:c>
      <x:c r="I366" s="1" t="n">
        <x:v>472</x:v>
      </x:c>
      <x:c r="J366" s="1"/>
      <x:c r="K366" s="1" t="str">
        <x:v>GRAND-LIVRE-ORIGINAL-feuille-1.csv, ligne 472</x:v>
      </x:c>
    </x:row>
    <x:row r="367" ht="22" customHeight="1">
      <x:c r="A367" s="1" t="str">
        <x:v>5730</x:v>
      </x:c>
      <x:c r="B367" s="1" t="str">
        <x:v>Motor Vehicle Expenses</x:v>
      </x:c>
      <x:c r="C367" s="7" t="d">
        <x:v>2025-03-01T12:00:00.000Z</x:v>
      </x:c>
      <x:c r="D367" s="1" t="str">
        <x:v>Gas</x:v>
      </x:c>
      <x:c r="E367" s="1" t="str">
        <x:v>Cash</x:v>
      </x:c>
      <x:c r="F367" s="1" t="str">
        <x:v>J442</x:v>
      </x:c>
      <x:c r="G367" s="9" t="n">
        <x:v>49.83</x:v>
      </x:c>
      <x:c r="H367" s="9" t="n">
        <x:v>0</x:v>
      </x:c>
      <x:c r="I367" s="1" t="n">
        <x:v>473</x:v>
      </x:c>
      <x:c r="J367" s="1"/>
      <x:c r="K367" s="1" t="str">
        <x:v>GRAND-LIVRE-ORIGINAL-feuille-1.csv, ligne 473</x:v>
      </x:c>
    </x:row>
    <x:row r="368" ht="22" customHeight="1">
      <x:c r="A368" s="1" t="str">
        <x:v>5730</x:v>
      </x:c>
      <x:c r="B368" s="1" t="str">
        <x:v>Motor Vehicle Expenses</x:v>
      </x:c>
      <x:c r="C368" s="7" t="d">
        <x:v>2025-03-01T12:00:00.000Z</x:v>
      </x:c>
      <x:c r="D368" s="1" t="str">
        <x:v>Gas</x:v>
      </x:c>
      <x:c r="E368" s="1" t="str">
        <x:v>Cash</x:v>
      </x:c>
      <x:c r="F368" s="1" t="str">
        <x:v>J443</x:v>
      </x:c>
      <x:c r="G368" s="9" t="n">
        <x:v>43.49</x:v>
      </x:c>
      <x:c r="H368" s="9" t="n">
        <x:v>0</x:v>
      </x:c>
      <x:c r="I368" s="1" t="n">
        <x:v>474</x:v>
      </x:c>
      <x:c r="J368" s="1"/>
      <x:c r="K368" s="1" t="str">
        <x:v>GRAND-LIVRE-ORIGINAL-feuille-1.csv, ligne 474</x:v>
      </x:c>
    </x:row>
    <x:row r="369" ht="22" customHeight="1">
      <x:c r="A369" s="1" t="str">
        <x:v>5730</x:v>
      </x:c>
      <x:c r="B369" s="1" t="str">
        <x:v>Motor Vehicle Expenses</x:v>
      </x:c>
      <x:c r="C369" s="7" t="d">
        <x:v>2025-03-01T12:00:00.000Z</x:v>
      </x:c>
      <x:c r="D369" s="1" t="str">
        <x:v>Gas</x:v>
      </x:c>
      <x:c r="E369" s="1" t="str">
        <x:v>Cash</x:v>
      </x:c>
      <x:c r="F369" s="1" t="str">
        <x:v>J444</x:v>
      </x:c>
      <x:c r="G369" s="9" t="n">
        <x:v>40.05</x:v>
      </x:c>
      <x:c r="H369" s="9" t="n">
        <x:v>0</x:v>
      </x:c>
      <x:c r="I369" s="1" t="n">
        <x:v>475</x:v>
      </x:c>
      <x:c r="J369" s="1"/>
      <x:c r="K369" s="1" t="str">
        <x:v>GRAND-LIVRE-ORIGINAL-feuille-1.csv, ligne 475</x:v>
      </x:c>
    </x:row>
    <x:row r="370" ht="22" customHeight="1">
      <x:c r="A370" s="1" t="str">
        <x:v>5730</x:v>
      </x:c>
      <x:c r="B370" s="1" t="str">
        <x:v>Motor Vehicle Expenses</x:v>
      </x:c>
      <x:c r="C370" s="7" t="d">
        <x:v>2025-03-01T12:00:00.000Z</x:v>
      </x:c>
      <x:c r="D370" s="1" t="str">
        <x:v>Gas</x:v>
      </x:c>
      <x:c r="E370" s="1" t="str">
        <x:v>Cash</x:v>
      </x:c>
      <x:c r="F370" s="1" t="str">
        <x:v>J447</x:v>
      </x:c>
      <x:c r="G370" s="9" t="n">
        <x:v>43.49</x:v>
      </x:c>
      <x:c r="H370" s="9" t="n">
        <x:v>0</x:v>
      </x:c>
      <x:c r="I370" s="1" t="n">
        <x:v>476</x:v>
      </x:c>
      <x:c r="J370" s="1"/>
      <x:c r="K370" s="1" t="str">
        <x:v>GRAND-LIVRE-ORIGINAL-feuille-1.csv, ligne 476</x:v>
      </x:c>
    </x:row>
    <x:row r="371" ht="22" customHeight="1">
      <x:c r="A371" s="1" t="str">
        <x:v>5730</x:v>
      </x:c>
      <x:c r="B371" s="1" t="str">
        <x:v>Motor Vehicle Expenses</x:v>
      </x:c>
      <x:c r="C371" s="7" t="d">
        <x:v>2025-03-01T12:00:00.000Z</x:v>
      </x:c>
      <x:c r="D371" s="1" t="str">
        <x:v>Gas</x:v>
      </x:c>
      <x:c r="E371" s="1" t="str">
        <x:v>Cash</x:v>
      </x:c>
      <x:c r="F371" s="1" t="str">
        <x:v>J450</x:v>
      </x:c>
      <x:c r="G371" s="9" t="n">
        <x:v>88.12</x:v>
      </x:c>
      <x:c r="H371" s="9" t="n">
        <x:v>0</x:v>
      </x:c>
      <x:c r="I371" s="1" t="n">
        <x:v>477</x:v>
      </x:c>
      <x:c r="J371" s="1"/>
      <x:c r="K371" s="1" t="str">
        <x:v>GRAND-LIVRE-ORIGINAL-feuille-1.csv, ligne 477</x:v>
      </x:c>
    </x:row>
    <x:row r="372" ht="22" customHeight="1">
      <x:c r="A372" s="1" t="str">
        <x:v>5730</x:v>
      </x:c>
      <x:c r="B372" s="1" t="str">
        <x:v>Motor Vehicle Expenses</x:v>
      </x:c>
      <x:c r="C372" s="7" t="d">
        <x:v>2025-03-01T12:00:00.000Z</x:v>
      </x:c>
      <x:c r="D372" s="1" t="str">
        <x:v>Gas</x:v>
      </x:c>
      <x:c r="E372" s="1" t="str">
        <x:v>Cash</x:v>
      </x:c>
      <x:c r="F372" s="1" t="str">
        <x:v>J451</x:v>
      </x:c>
      <x:c r="G372" s="9" t="n">
        <x:v>41.13</x:v>
      </x:c>
      <x:c r="H372" s="9" t="n">
        <x:v>0</x:v>
      </x:c>
      <x:c r="I372" s="1" t="n">
        <x:v>478</x:v>
      </x:c>
      <x:c r="J372" s="1"/>
      <x:c r="K372" s="1" t="str">
        <x:v>GRAND-LIVRE-ORIGINAL-feuille-1.csv, ligne 478</x:v>
      </x:c>
    </x:row>
    <x:row r="373" ht="22" customHeight="1">
      <x:c r="A373" s="1" t="str">
        <x:v>5730</x:v>
      </x:c>
      <x:c r="B373" s="1" t="str">
        <x:v>Motor Vehicle Expenses</x:v>
      </x:c>
      <x:c r="C373" s="7" t="d">
        <x:v>2025-03-01T12:00:00.000Z</x:v>
      </x:c>
      <x:c r="D373" s="1" t="str">
        <x:v>Gas</x:v>
      </x:c>
      <x:c r="E373" s="1" t="str">
        <x:v>Cash</x:v>
      </x:c>
      <x:c r="F373" s="1" t="str">
        <x:v>J457</x:v>
      </x:c>
      <x:c r="G373" s="9" t="n">
        <x:v>39.14</x:v>
      </x:c>
      <x:c r="H373" s="9" t="n">
        <x:v>0</x:v>
      </x:c>
      <x:c r="I373" s="1" t="n">
        <x:v>479</x:v>
      </x:c>
      <x:c r="J373" s="1"/>
      <x:c r="K373" s="1" t="str">
        <x:v>GRAND-LIVRE-ORIGINAL-feuille-1.csv, ligne 479</x:v>
      </x:c>
    </x:row>
    <x:row r="374" ht="22" customHeight="1">
      <x:c r="A374" s="1" t="str">
        <x:v>5730</x:v>
      </x:c>
      <x:c r="B374" s="1" t="str">
        <x:v>Motor Vehicle Expenses</x:v>
      </x:c>
      <x:c r="C374" s="7" t="d">
        <x:v>2025-03-01T12:00:00.000Z</x:v>
      </x:c>
      <x:c r="D374" s="1" t="str">
        <x:v>Gas</x:v>
      </x:c>
      <x:c r="E374" s="1" t="str">
        <x:v>Cash</x:v>
      </x:c>
      <x:c r="F374" s="1" t="str">
        <x:v>J458</x:v>
      </x:c>
      <x:c r="G374" s="9" t="n">
        <x:v>34.79</x:v>
      </x:c>
      <x:c r="H374" s="9" t="n">
        <x:v>0</x:v>
      </x:c>
      <x:c r="I374" s="1" t="n">
        <x:v>480</x:v>
      </x:c>
      <x:c r="J374" s="1"/>
      <x:c r="K374" s="1" t="str">
        <x:v>GRAND-LIVRE-ORIGINAL-feuille-1.csv, ligne 480</x:v>
      </x:c>
    </x:row>
    <x:row r="375" ht="22" customHeight="1">
      <x:c r="A375" s="1" t="str">
        <x:v>5730</x:v>
      </x:c>
      <x:c r="B375" s="1" t="str">
        <x:v>Motor Vehicle Expenses</x:v>
      </x:c>
      <x:c r="C375" s="7" t="d">
        <x:v>2025-03-01T12:00:00.000Z</x:v>
      </x:c>
      <x:c r="D375" s="1" t="str">
        <x:v>Gas</x:v>
      </x:c>
      <x:c r="E375" s="1" t="str">
        <x:v>Cash</x:v>
      </x:c>
      <x:c r="F375" s="1" t="str">
        <x:v>J474</x:v>
      </x:c>
      <x:c r="G375" s="9" t="n">
        <x:v>43.49</x:v>
      </x:c>
      <x:c r="H375" s="9" t="n">
        <x:v>0</x:v>
      </x:c>
      <x:c r="I375" s="1" t="n">
        <x:v>481</x:v>
      </x:c>
      <x:c r="J375" s="1"/>
      <x:c r="K375" s="1" t="str">
        <x:v>GRAND-LIVRE-ORIGINAL-feuille-1.csv, ligne 481</x:v>
      </x:c>
    </x:row>
    <x:row r="376" ht="22" customHeight="1">
      <x:c r="A376" s="1" t="str">
        <x:v>5730</x:v>
      </x:c>
      <x:c r="B376" s="1" t="str">
        <x:v>Motor Vehicle Expenses</x:v>
      </x:c>
      <x:c r="C376" s="7" t="d">
        <x:v>2025-03-01T12:00:00.000Z</x:v>
      </x:c>
      <x:c r="D376" s="1" t="str">
        <x:v>Gas</x:v>
      </x:c>
      <x:c r="E376" s="1" t="str">
        <x:v>Cash</x:v>
      </x:c>
      <x:c r="F376" s="1" t="str">
        <x:v>J475</x:v>
      </x:c>
      <x:c r="G376" s="9" t="n">
        <x:v>28.7</x:v>
      </x:c>
      <x:c r="H376" s="9" t="n">
        <x:v>0</x:v>
      </x:c>
      <x:c r="I376" s="1" t="n">
        <x:v>482</x:v>
      </x:c>
      <x:c r="J376" s="1"/>
      <x:c r="K376" s="1" t="str">
        <x:v>GRAND-LIVRE-ORIGINAL-feuille-1.csv, ligne 482</x:v>
      </x:c>
    </x:row>
    <x:row r="377" ht="22" customHeight="1">
      <x:c r="A377" s="1" t="str">
        <x:v>5730</x:v>
      </x:c>
      <x:c r="B377" s="1" t="str">
        <x:v>Motor Vehicle Expenses</x:v>
      </x:c>
      <x:c r="C377" s="7" t="d">
        <x:v>2025-03-01T12:00:00.000Z</x:v>
      </x:c>
      <x:c r="D377" s="1" t="str">
        <x:v>Gas</x:v>
      </x:c>
      <x:c r="E377" s="1" t="str">
        <x:v>Cash</x:v>
      </x:c>
      <x:c r="F377" s="1" t="str">
        <x:v>J476</x:v>
      </x:c>
      <x:c r="G377" s="9" t="n">
        <x:v>34.79</x:v>
      </x:c>
      <x:c r="H377" s="9" t="n">
        <x:v>0</x:v>
      </x:c>
      <x:c r="I377" s="1" t="n">
        <x:v>483</x:v>
      </x:c>
      <x:c r="J377" s="1"/>
      <x:c r="K377" s="1" t="str">
        <x:v>GRAND-LIVRE-ORIGINAL-feuille-1.csv, ligne 483</x:v>
      </x:c>
    </x:row>
    <x:row r="378" ht="22" customHeight="1">
      <x:c r="A378" s="1" t="str">
        <x:v>5730</x:v>
      </x:c>
      <x:c r="B378" s="1" t="str">
        <x:v>Motor Vehicle Expenses</x:v>
      </x:c>
      <x:c r="C378" s="7" t="d">
        <x:v>2025-03-01T12:00:00.000Z</x:v>
      </x:c>
      <x:c r="D378" s="1" t="str">
        <x:v>Gas</x:v>
      </x:c>
      <x:c r="E378" s="1" t="str">
        <x:v>Cash</x:v>
      </x:c>
      <x:c r="F378" s="1" t="str">
        <x:v>J477</x:v>
      </x:c>
      <x:c r="G378" s="9" t="n">
        <x:v>34.79</x:v>
      </x:c>
      <x:c r="H378" s="9" t="n">
        <x:v>0</x:v>
      </x:c>
      <x:c r="I378" s="1" t="n">
        <x:v>484</x:v>
      </x:c>
      <x:c r="J378" s="1"/>
      <x:c r="K378" s="1" t="str">
        <x:v>GRAND-LIVRE-ORIGINAL-feuille-1.csv, ligne 484</x:v>
      </x:c>
    </x:row>
    <x:row r="379" ht="22" customHeight="1">
      <x:c r="A379" s="1" t="str">
        <x:v>5730</x:v>
      </x:c>
      <x:c r="B379" s="1" t="str">
        <x:v>Motor Vehicle Expenses</x:v>
      </x:c>
      <x:c r="C379" s="7" t="d">
        <x:v>2025-03-01T12:00:00.000Z</x:v>
      </x:c>
      <x:c r="D379" s="1" t="str">
        <x:v>Gas</x:v>
      </x:c>
      <x:c r="E379" s="1" t="str">
        <x:v>Cash</x:v>
      </x:c>
      <x:c r="F379" s="1" t="str">
        <x:v>J478</x:v>
      </x:c>
      <x:c r="G379" s="9" t="n">
        <x:v>108.54</x:v>
      </x:c>
      <x:c r="H379" s="9" t="n">
        <x:v>0</x:v>
      </x:c>
      <x:c r="I379" s="1" t="n">
        <x:v>485</x:v>
      </x:c>
      <x:c r="J379" s="1"/>
      <x:c r="K379" s="1" t="str">
        <x:v>GRAND-LIVRE-ORIGINAL-feuille-1.csv, ligne 485</x:v>
      </x:c>
    </x:row>
    <x:row r="380" ht="22" customHeight="1">
      <x:c r="A380" s="1" t="str">
        <x:v>5730</x:v>
      </x:c>
      <x:c r="B380" s="1" t="str">
        <x:v>Motor Vehicle Expenses</x:v>
      </x:c>
      <x:c r="C380" s="7" t="d">
        <x:v>2025-03-01T12:00:00.000Z</x:v>
      </x:c>
      <x:c r="D380" s="1" t="str">
        <x:v>Gas</x:v>
      </x:c>
      <x:c r="E380" s="1" t="str">
        <x:v>Cash</x:v>
      </x:c>
      <x:c r="F380" s="1" t="str">
        <x:v>J479</x:v>
      </x:c>
      <x:c r="G380" s="9" t="n">
        <x:v>34.79</x:v>
      </x:c>
      <x:c r="H380" s="9" t="n">
        <x:v>0</x:v>
      </x:c>
      <x:c r="I380" s="1" t="n">
        <x:v>486</x:v>
      </x:c>
      <x:c r="J380" s="1"/>
      <x:c r="K380" s="1" t="str">
        <x:v>GRAND-LIVRE-ORIGINAL-feuille-1.csv, ligne 486</x:v>
      </x:c>
    </x:row>
    <x:row r="381" ht="22" customHeight="1">
      <x:c r="A381" s="1" t="str">
        <x:v>5730</x:v>
      </x:c>
      <x:c r="B381" s="1" t="str">
        <x:v>Motor Vehicle Expenses</x:v>
      </x:c>
      <x:c r="C381" s="7" t="d">
        <x:v>2025-03-01T12:00:00.000Z</x:v>
      </x:c>
      <x:c r="D381" s="1" t="str">
        <x:v>Gas</x:v>
      </x:c>
      <x:c r="E381" s="1" t="str">
        <x:v>Cash</x:v>
      </x:c>
      <x:c r="F381" s="1" t="str">
        <x:v>J483</x:v>
      </x:c>
      <x:c r="G381" s="9" t="n">
        <x:v>34.79</x:v>
      </x:c>
      <x:c r="H381" s="9" t="n">
        <x:v>0</x:v>
      </x:c>
      <x:c r="I381" s="1" t="n">
        <x:v>487</x:v>
      </x:c>
      <x:c r="J381" s="1"/>
      <x:c r="K381" s="1" t="str">
        <x:v>GRAND-LIVRE-ORIGINAL-feuille-1.csv, ligne 487</x:v>
      </x:c>
    </x:row>
    <x:row r="382" ht="22" customHeight="1">
      <x:c r="A382" s="1" t="str">
        <x:v>5730</x:v>
      </x:c>
      <x:c r="B382" s="1" t="str">
        <x:v>Motor Vehicle Expenses</x:v>
      </x:c>
      <x:c r="C382" s="7" t="d">
        <x:v>2025-03-01T12:00:00.000Z</x:v>
      </x:c>
      <x:c r="D382" s="1" t="str">
        <x:v>Gas</x:v>
      </x:c>
      <x:c r="E382" s="1" t="str">
        <x:v>Cash</x:v>
      </x:c>
      <x:c r="F382" s="1" t="str">
        <x:v>J484</x:v>
      </x:c>
      <x:c r="G382" s="9" t="n">
        <x:v>7.83</x:v>
      </x:c>
      <x:c r="H382" s="9" t="n">
        <x:v>0</x:v>
      </x:c>
      <x:c r="I382" s="1" t="n">
        <x:v>488</x:v>
      </x:c>
      <x:c r="J382" s="1"/>
      <x:c r="K382" s="1" t="str">
        <x:v>GRAND-LIVRE-ORIGINAL-feuille-1.csv, ligne 488</x:v>
      </x:c>
    </x:row>
    <x:row r="383" ht="22" customHeight="1">
      <x:c r="A383" s="1" t="str">
        <x:v>5730</x:v>
      </x:c>
      <x:c r="B383" s="1" t="str">
        <x:v>Motor Vehicle Expenses</x:v>
      </x:c>
      <x:c r="C383" s="7" t="d">
        <x:v>2025-03-01T12:00:00.000Z</x:v>
      </x:c>
      <x:c r="D383" s="1" t="str">
        <x:v>Gas</x:v>
      </x:c>
      <x:c r="E383" s="1" t="str">
        <x:v>Cash</x:v>
      </x:c>
      <x:c r="F383" s="1" t="str">
        <x:v>J485</x:v>
      </x:c>
      <x:c r="G383" s="9" t="n">
        <x:v>34.79</x:v>
      </x:c>
      <x:c r="H383" s="9" t="n">
        <x:v>0</x:v>
      </x:c>
      <x:c r="I383" s="1" t="n">
        <x:v>489</x:v>
      </x:c>
      <x:c r="J383" s="1"/>
      <x:c r="K383" s="1" t="str">
        <x:v>GRAND-LIVRE-ORIGINAL-feuille-1.csv, ligne 489</x:v>
      </x:c>
    </x:row>
    <x:row r="384" ht="22" customHeight="1">
      <x:c r="A384" s="1" t="str">
        <x:v>5730</x:v>
      </x:c>
      <x:c r="B384" s="1" t="str">
        <x:v>Motor Vehicle Expenses</x:v>
      </x:c>
      <x:c r="C384" s="7" t="d">
        <x:v>2025-03-01T12:00:00.000Z</x:v>
      </x:c>
      <x:c r="D384" s="1" t="str">
        <x:v>Gas</x:v>
      </x:c>
      <x:c r="E384" s="1" t="str">
        <x:v>Cash</x:v>
      </x:c>
      <x:c r="F384" s="1" t="str">
        <x:v>J486</x:v>
      </x:c>
      <x:c r="G384" s="9" t="n">
        <x:v>49.29</x:v>
      </x:c>
      <x:c r="H384" s="9" t="n">
        <x:v>0</x:v>
      </x:c>
      <x:c r="I384" s="1" t="n">
        <x:v>490</x:v>
      </x:c>
      <x:c r="J384" s="1"/>
      <x:c r="K384" s="1" t="str">
        <x:v>GRAND-LIVRE-ORIGINAL-feuille-1.csv, ligne 490</x:v>
      </x:c>
    </x:row>
    <x:row r="385" ht="22" customHeight="1">
      <x:c r="A385" s="1" t="str">
        <x:v>5730</x:v>
      </x:c>
      <x:c r="B385" s="1" t="str">
        <x:v>Motor Vehicle Expenses</x:v>
      </x:c>
      <x:c r="C385" s="7" t="d">
        <x:v>2025-03-01T12:00:00.000Z</x:v>
      </x:c>
      <x:c r="D385" s="1" t="str">
        <x:v>Gas</x:v>
      </x:c>
      <x:c r="E385" s="1" t="str">
        <x:v>Cash</x:v>
      </x:c>
      <x:c r="F385" s="1" t="str">
        <x:v>J488</x:v>
      </x:c>
      <x:c r="G385" s="9" t="n">
        <x:v>27.74</x:v>
      </x:c>
      <x:c r="H385" s="9" t="n">
        <x:v>0</x:v>
      </x:c>
      <x:c r="I385" s="1" t="n">
        <x:v>491</x:v>
      </x:c>
      <x:c r="J385" s="1"/>
      <x:c r="K385" s="1" t="str">
        <x:v>GRAND-LIVRE-ORIGINAL-feuille-1.csv, ligne 491</x:v>
      </x:c>
    </x:row>
    <x:row r="386" ht="22" customHeight="1">
      <x:c r="A386" s="1" t="str">
        <x:v>5730</x:v>
      </x:c>
      <x:c r="B386" s="1" t="str">
        <x:v>Motor Vehicle Expenses</x:v>
      </x:c>
      <x:c r="C386" s="7" t="d">
        <x:v>2025-03-01T12:00:00.000Z</x:v>
      </x:c>
      <x:c r="D386" s="1" t="str">
        <x:v>Gas</x:v>
      </x:c>
      <x:c r="E386" s="1" t="str">
        <x:v>Cash</x:v>
      </x:c>
      <x:c r="F386" s="1" t="str">
        <x:v>J489</x:v>
      </x:c>
      <x:c r="G386" s="9" t="n">
        <x:v>34.79</x:v>
      </x:c>
      <x:c r="H386" s="9" t="n">
        <x:v>0</x:v>
      </x:c>
      <x:c r="I386" s="1" t="n">
        <x:v>492</x:v>
      </x:c>
      <x:c r="J386" s="1"/>
      <x:c r="K386" s="1" t="str">
        <x:v>GRAND-LIVRE-ORIGINAL-feuille-1.csv, ligne 492</x:v>
      </x:c>
    </x:row>
    <x:row r="387" ht="22" customHeight="1">
      <x:c r="A387" s="1" t="str">
        <x:v>5730</x:v>
      </x:c>
      <x:c r="B387" s="1" t="str">
        <x:v>Motor Vehicle Expenses</x:v>
      </x:c>
      <x:c r="C387" s="7" t="d">
        <x:v>2025-03-01T12:00:00.000Z</x:v>
      </x:c>
      <x:c r="D387" s="1" t="str">
        <x:v>Gas</x:v>
      </x:c>
      <x:c r="E387" s="1" t="str">
        <x:v>Cash</x:v>
      </x:c>
      <x:c r="F387" s="1" t="str">
        <x:v>J490</x:v>
      </x:c>
      <x:c r="G387" s="9" t="n">
        <x:v>34.79</x:v>
      </x:c>
      <x:c r="H387" s="9" t="n">
        <x:v>0</x:v>
      </x:c>
      <x:c r="I387" s="1" t="n">
        <x:v>493</x:v>
      </x:c>
      <x:c r="J387" s="1"/>
      <x:c r="K387" s="1" t="str">
        <x:v>GRAND-LIVRE-ORIGINAL-feuille-1.csv, ligne 493</x:v>
      </x:c>
    </x:row>
    <x:row r="388" ht="22" customHeight="1">
      <x:c r="A388" s="1" t="str">
        <x:v>5730</x:v>
      </x:c>
      <x:c r="B388" s="1" t="str">
        <x:v>Motor Vehicle Expenses</x:v>
      </x:c>
      <x:c r="C388" s="7" t="d">
        <x:v>2025-03-01T12:00:00.000Z</x:v>
      </x:c>
      <x:c r="D388" s="1" t="str">
        <x:v>Gas</x:v>
      </x:c>
      <x:c r="E388" s="1" t="str">
        <x:v>Cash</x:v>
      </x:c>
      <x:c r="F388" s="1" t="str">
        <x:v>J495</x:v>
      </x:c>
      <x:c r="G388" s="9" t="n">
        <x:v>52.18</x:v>
      </x:c>
      <x:c r="H388" s="9" t="n">
        <x:v>0</x:v>
      </x:c>
      <x:c r="I388" s="1" t="n">
        <x:v>494</x:v>
      </x:c>
      <x:c r="J388" s="1"/>
      <x:c r="K388" s="1" t="str">
        <x:v>GRAND-LIVRE-ORIGINAL-feuille-1.csv, ligne 494</x:v>
      </x:c>
    </x:row>
    <x:row r="389" ht="22" customHeight="1">
      <x:c r="A389" s="1" t="str">
        <x:v>5730</x:v>
      </x:c>
      <x:c r="B389" s="1" t="str">
        <x:v>Motor Vehicle Expenses</x:v>
      </x:c>
      <x:c r="C389" s="7" t="d">
        <x:v>2025-03-01T12:00:00.000Z</x:v>
      </x:c>
      <x:c r="D389" s="1" t="str">
        <x:v>Gas</x:v>
      </x:c>
      <x:c r="E389" s="1" t="str">
        <x:v>Cash</x:v>
      </x:c>
      <x:c r="F389" s="1" t="str">
        <x:v>J496</x:v>
      </x:c>
      <x:c r="G389" s="9" t="n">
        <x:v>20.88</x:v>
      </x:c>
      <x:c r="H389" s="9" t="n">
        <x:v>0</x:v>
      </x:c>
      <x:c r="I389" s="1" t="n">
        <x:v>495</x:v>
      </x:c>
      <x:c r="J389" s="1"/>
      <x:c r="K389" s="1" t="str">
        <x:v>GRAND-LIVRE-ORIGINAL-feuille-1.csv, ligne 495</x:v>
      </x:c>
    </x:row>
    <x:row r="390" ht="22" customHeight="1">
      <x:c r="A390" s="1" t="str">
        <x:v>5730</x:v>
      </x:c>
      <x:c r="B390" s="1" t="str">
        <x:v>Motor Vehicle Expenses</x:v>
      </x:c>
      <x:c r="C390" s="7" t="d">
        <x:v>2025-03-01T12:00:00.000Z</x:v>
      </x:c>
      <x:c r="D390" s="1" t="str">
        <x:v>Gas</x:v>
      </x:c>
      <x:c r="E390" s="1" t="str">
        <x:v>Cash</x:v>
      </x:c>
      <x:c r="F390" s="1" t="str">
        <x:v>J504</x:v>
      </x:c>
      <x:c r="G390" s="9" t="n">
        <x:v>68.16</x:v>
      </x:c>
      <x:c r="H390" s="9" t="n">
        <x:v>0</x:v>
      </x:c>
      <x:c r="I390" s="1" t="n">
        <x:v>496</x:v>
      </x:c>
      <x:c r="J390" s="1"/>
      <x:c r="K390" s="1" t="str">
        <x:v>GRAND-LIVRE-ORIGINAL-feuille-1.csv, ligne 496</x:v>
      </x:c>
    </x:row>
    <x:row r="391" ht="22" customHeight="1">
      <x:c r="A391" s="1" t="str">
        <x:v>5730</x:v>
      </x:c>
      <x:c r="B391" s="1" t="str">
        <x:v>Motor Vehicle Expenses</x:v>
      </x:c>
      <x:c r="C391" s="7" t="d">
        <x:v>2025-03-01T12:00:00.000Z</x:v>
      </x:c>
      <x:c r="D391" s="1" t="str">
        <x:v>Gas</x:v>
      </x:c>
      <x:c r="E391" s="1" t="str">
        <x:v>Cash</x:v>
      </x:c>
      <x:c r="F391" s="1" t="str">
        <x:v>J507</x:v>
      </x:c>
      <x:c r="G391" s="9" t="n">
        <x:v>37.4</x:v>
      </x:c>
      <x:c r="H391" s="9" t="n">
        <x:v>0</x:v>
      </x:c>
      <x:c r="I391" s="1" t="n">
        <x:v>497</x:v>
      </x:c>
      <x:c r="J391" s="1"/>
      <x:c r="K391" s="1" t="str">
        <x:v>GRAND-LIVRE-ORIGINAL-feuille-1.csv, ligne 497</x:v>
      </x:c>
    </x:row>
    <x:row r="392" ht="22" customHeight="1">
      <x:c r="A392" s="1" t="str">
        <x:v>5730</x:v>
      </x:c>
      <x:c r="B392" s="1" t="str">
        <x:v>Motor Vehicle Expenses</x:v>
      </x:c>
      <x:c r="C392" s="7" t="d">
        <x:v>2025-03-01T12:00:00.000Z</x:v>
      </x:c>
      <x:c r="D392" s="1" t="str">
        <x:v>Gas</x:v>
      </x:c>
      <x:c r="E392" s="1" t="str">
        <x:v>Cash</x:v>
      </x:c>
      <x:c r="F392" s="1" t="str">
        <x:v>J510</x:v>
      </x:c>
      <x:c r="G392" s="9" t="n">
        <x:v>9.77</x:v>
      </x:c>
      <x:c r="H392" s="9" t="n">
        <x:v>0</x:v>
      </x:c>
      <x:c r="I392" s="1" t="n">
        <x:v>498</x:v>
      </x:c>
      <x:c r="J392" s="1"/>
      <x:c r="K392" s="1" t="str">
        <x:v>GRAND-LIVRE-ORIGINAL-feuille-1.csv, ligne 498</x:v>
      </x:c>
    </x:row>
    <x:row r="393" ht="22" customHeight="1">
      <x:c r="A393" s="1" t="str">
        <x:v>5730</x:v>
      </x:c>
      <x:c r="B393" s="1" t="str">
        <x:v>Motor Vehicle Expenses</x:v>
      </x:c>
      <x:c r="C393" s="7" t="d">
        <x:v>2025-04-01T12:00:00.000Z</x:v>
      </x:c>
      <x:c r="D393" s="1" t="str">
        <x:v>Gas</x:v>
      </x:c>
      <x:c r="E393" s="1" t="str">
        <x:v>Cash</x:v>
      </x:c>
      <x:c r="F393" s="1" t="str">
        <x:v>J515</x:v>
      </x:c>
      <x:c r="G393" s="9" t="n">
        <x:v>43.49</x:v>
      </x:c>
      <x:c r="H393" s="9" t="n">
        <x:v>0</x:v>
      </x:c>
      <x:c r="I393" s="1" t="n">
        <x:v>499</x:v>
      </x:c>
      <x:c r="J393" s="1"/>
      <x:c r="K393" s="1" t="str">
        <x:v>GRAND-LIVRE-ORIGINAL-feuille-1.csv, ligne 499</x:v>
      </x:c>
    </x:row>
    <x:row r="394" ht="22" customHeight="1">
      <x:c r="A394" s="1" t="str">
        <x:v>5730</x:v>
      </x:c>
      <x:c r="B394" s="1" t="str">
        <x:v>Motor Vehicle Expenses</x:v>
      </x:c>
      <x:c r="C394" s="7" t="d">
        <x:v>2025-04-01T12:00:00.000Z</x:v>
      </x:c>
      <x:c r="D394" s="1" t="str">
        <x:v>Auto</x:v>
      </x:c>
      <x:c r="E394" s="1" t="str">
        <x:v>Cash</x:v>
      </x:c>
      <x:c r="F394" s="1" t="str">
        <x:v>J523</x:v>
      </x:c>
      <x:c r="G394" s="9" t="n">
        <x:v>33</x:v>
      </x:c>
      <x:c r="H394" s="9" t="n">
        <x:v>0</x:v>
      </x:c>
      <x:c r="I394" s="1" t="n">
        <x:v>500</x:v>
      </x:c>
      <x:c r="J394" s="1"/>
      <x:c r="K394" s="1" t="str">
        <x:v>GRAND-LIVRE-ORIGINAL-feuille-1.csv, ligne 500</x:v>
      </x:c>
    </x:row>
    <x:row r="395" ht="22" customHeight="1">
      <x:c r="A395" s="1" t="str">
        <x:v>5730</x:v>
      </x:c>
      <x:c r="B395" s="1" t="str">
        <x:v>Motor Vehicle Expenses</x:v>
      </x:c>
      <x:c r="C395" s="7" t="d">
        <x:v>2025-04-01T12:00:00.000Z</x:v>
      </x:c>
      <x:c r="D395" s="1" t="str">
        <x:v>Auto</x:v>
      </x:c>
      <x:c r="E395" s="1" t="str">
        <x:v>Cash</x:v>
      </x:c>
      <x:c r="F395" s="1" t="str">
        <x:v>J524</x:v>
      </x:c>
      <x:c r="G395" s="9" t="n">
        <x:v>28.72</x:v>
      </x:c>
      <x:c r="H395" s="9" t="n">
        <x:v>0</x:v>
      </x:c>
      <x:c r="I395" s="1" t="n">
        <x:v>501</x:v>
      </x:c>
      <x:c r="J395" s="1"/>
      <x:c r="K395" s="1" t="str">
        <x:v>GRAND-LIVRE-ORIGINAL-feuille-1.csv, ligne 501</x:v>
      </x:c>
    </x:row>
    <x:row r="396" ht="22" customHeight="1">
      <x:c r="A396" s="1" t="str">
        <x:v>5730</x:v>
      </x:c>
      <x:c r="B396" s="1" t="str">
        <x:v>Motor Vehicle Expenses</x:v>
      </x:c>
      <x:c r="C396" s="7" t="d">
        <x:v>2025-04-01T12:00:00.000Z</x:v>
      </x:c>
      <x:c r="D396" s="1" t="str">
        <x:v>Gas</x:v>
      </x:c>
      <x:c r="E396" s="1" t="str">
        <x:v>Cash</x:v>
      </x:c>
      <x:c r="F396" s="1" t="str">
        <x:v>J525</x:v>
      </x:c>
      <x:c r="G396" s="9" t="n">
        <x:v>50.38</x:v>
      </x:c>
      <x:c r="H396" s="9" t="n">
        <x:v>0</x:v>
      </x:c>
      <x:c r="I396" s="1" t="n">
        <x:v>502</x:v>
      </x:c>
      <x:c r="J396" s="1"/>
      <x:c r="K396" s="1" t="str">
        <x:v>GRAND-LIVRE-ORIGINAL-feuille-1.csv, ligne 502</x:v>
      </x:c>
    </x:row>
    <x:row r="397" ht="22" customHeight="1">
      <x:c r="A397" s="1" t="str">
        <x:v>5730</x:v>
      </x:c>
      <x:c r="B397" s="1" t="str">
        <x:v>Motor Vehicle Expenses</x:v>
      </x:c>
      <x:c r="C397" s="7" t="d">
        <x:v>2025-04-01T12:00:00.000Z</x:v>
      </x:c>
      <x:c r="D397" s="1" t="str">
        <x:v>Gas</x:v>
      </x:c>
      <x:c r="E397" s="1" t="str">
        <x:v>Cash</x:v>
      </x:c>
      <x:c r="F397" s="1" t="str">
        <x:v>J526</x:v>
      </x:c>
      <x:c r="G397" s="9" t="n">
        <x:v>68.16</x:v>
      </x:c>
      <x:c r="H397" s="9" t="n">
        <x:v>0</x:v>
      </x:c>
      <x:c r="I397" s="1" t="n">
        <x:v>503</x:v>
      </x:c>
      <x:c r="J397" s="1"/>
      <x:c r="K397" s="1" t="str">
        <x:v>GRAND-LIVRE-ORIGINAL-feuille-1.csv, ligne 503</x:v>
      </x:c>
    </x:row>
    <x:row r="398" ht="22" customHeight="1">
      <x:c r="A398" s="1" t="str">
        <x:v>5730</x:v>
      </x:c>
      <x:c r="B398" s="1" t="str">
        <x:v>Motor Vehicle Expenses</x:v>
      </x:c>
      <x:c r="C398" s="7" t="d">
        <x:v>2025-04-14T12:00:00.000Z</x:v>
      </x:c>
      <x:c r="D398" s="1" t="str">
        <x:v>Gas</x:v>
      </x:c>
      <x:c r="E398" s="1" t="str">
        <x:v>Cash</x:v>
      </x:c>
      <x:c r="F398" s="1" t="str">
        <x:v>J308</x:v>
      </x:c>
      <x:c r="G398" s="9" t="n">
        <x:v>31.41</x:v>
      </x:c>
      <x:c r="H398" s="9" t="n">
        <x:v>0</x:v>
      </x:c>
      <x:c r="I398" s="1" t="n">
        <x:v>504</x:v>
      </x:c>
      <x:c r="J398" s="1"/>
      <x:c r="K398" s="1" t="str">
        <x:v>GRAND-LIVRE-ORIGINAL-feuille-1.csv, ligne 504</x:v>
      </x:c>
    </x:row>
    <x:row r="399" ht="22" customHeight="1">
      <x:c r="A399" s="1" t="str">
        <x:v>5730</x:v>
      </x:c>
      <x:c r="B399" s="1" t="str">
        <x:v>Motor Vehicle Expenses</x:v>
      </x:c>
      <x:c r="C399" s="7" t="d">
        <x:v>2025-04-14T12:00:00.000Z</x:v>
      </x:c>
      <x:c r="D399" s="1" t="str">
        <x:v>Gas</x:v>
      </x:c>
      <x:c r="E399" s="1" t="str">
        <x:v>Cash</x:v>
      </x:c>
      <x:c r="F399" s="1" t="str">
        <x:v>J310</x:v>
      </x:c>
      <x:c r="G399" s="9" t="n">
        <x:v>43.49</x:v>
      </x:c>
      <x:c r="H399" s="9" t="n">
        <x:v>0</x:v>
      </x:c>
      <x:c r="I399" s="1" t="n">
        <x:v>505</x:v>
      </x:c>
      <x:c r="J399" s="1"/>
      <x:c r="K399" s="1" t="str">
        <x:v>GRAND-LIVRE-ORIGINAL-feuille-1.csv, ligne 505</x:v>
      </x:c>
    </x:row>
    <x:row r="400" ht="22" customHeight="1">
      <x:c r="A400" s="1" t="str">
        <x:v>5740</x:v>
      </x:c>
      <x:c r="B400" s="1" t="str">
        <x:v>Restaurant Supplies Expenses</x:v>
      </x:c>
      <x:c r="C400" s="7" t="d">
        <x:v>2024-08-23T12:00:00.000Z</x:v>
      </x:c>
      <x:c r="D400" s="1" t="str">
        <x:v>Equipment Fri</x:v>
      </x:c>
      <x:c r="E400" s="1" t="str">
        <x:v>Cash</x:v>
      </x:c>
      <x:c r="F400" s="1" t="str">
        <x:v>J28</x:v>
      </x:c>
      <x:c r="G400" s="9" t="n">
        <x:v>778</x:v>
      </x:c>
      <x:c r="H400" s="9" t="n">
        <x:v>0</x:v>
      </x:c>
      <x:c r="I400" s="1" t="n">
        <x:v>509</x:v>
      </x:c>
      <x:c r="J400" s="1"/>
      <x:c r="K400" s="1" t="str">
        <x:v>GRAND-LIVRE-ORIGINAL-feuille-1.csv, ligne 509</x:v>
      </x:c>
    </x:row>
    <x:row r="401" ht="22" customHeight="1">
      <x:c r="A401" s="1" t="str">
        <x:v>5740</x:v>
      </x:c>
      <x:c r="B401" s="1" t="str">
        <x:v>Restaurant Supplies Expenses</x:v>
      </x:c>
      <x:c r="C401" s="7" t="d">
        <x:v>2024-10-18T12:00:00.000Z</x:v>
      </x:c>
      <x:c r="D401" s="1" t="str">
        <x:v>Equipment Fri</x:v>
      </x:c>
      <x:c r="E401" s="1" t="str">
        <x:v>Cash</x:v>
      </x:c>
      <x:c r="F401" s="1" t="str">
        <x:v>J45</x:v>
      </x:c>
      <x:c r="G401" s="9" t="n">
        <x:v>534.9</x:v>
      </x:c>
      <x:c r="H401" s="9" t="n">
        <x:v>0</x:v>
      </x:c>
      <x:c r="I401" s="1" t="n">
        <x:v>510</x:v>
      </x:c>
      <x:c r="J401" s="1"/>
      <x:c r="K401" s="1" t="str">
        <x:v>GRAND-LIVRE-ORIGINAL-feuille-1.csv, ligne 510</x:v>
      </x:c>
    </x:row>
    <x:row r="402" ht="22" customHeight="1">
      <x:c r="A402" s="1" t="str">
        <x:v>5740</x:v>
      </x:c>
      <x:c r="B402" s="1" t="str">
        <x:v>Restaurant Supplies Expenses</x:v>
      </x:c>
      <x:c r="C402" s="7" t="d">
        <x:v>2024-10-28T12:00:00.000Z</x:v>
      </x:c>
      <x:c r="D402" s="1" t="str">
        <x:v>Equipment Fri</x:v>
      </x:c>
      <x:c r="E402" s="1" t="str">
        <x:v>Cash</x:v>
      </x:c>
      <x:c r="F402" s="1" t="str">
        <x:v>J51</x:v>
      </x:c>
      <x:c r="G402" s="9" t="n">
        <x:v>434.88</x:v>
      </x:c>
      <x:c r="H402" s="9" t="n">
        <x:v>0</x:v>
      </x:c>
      <x:c r="I402" s="1" t="n">
        <x:v>511</x:v>
      </x:c>
      <x:c r="J402" s="1"/>
      <x:c r="K402" s="1" t="str">
        <x:v>GRAND-LIVRE-ORIGINAL-feuille-1.csv, ligne 511</x:v>
      </x:c>
    </x:row>
    <x:row r="403" ht="22" customHeight="1">
      <x:c r="A403" s="1" t="str">
        <x:v>5740</x:v>
      </x:c>
      <x:c r="B403" s="1" t="str">
        <x:v>Restaurant Supplies Expenses</x:v>
      </x:c>
      <x:c r="C403" s="7" t="d">
        <x:v>2024-11-08T12:00:00.000Z</x:v>
      </x:c>
      <x:c r="D403" s="1" t="str">
        <x:v>Equipment Fri</x:v>
      </x:c>
      <x:c r="E403" s="1" t="str">
        <x:v>Cash</x:v>
      </x:c>
      <x:c r="F403" s="1" t="str">
        <x:v>J58</x:v>
      </x:c>
      <x:c r="G403" s="9" t="n">
        <x:v>347.9</x:v>
      </x:c>
      <x:c r="H403" s="9" t="n">
        <x:v>0</x:v>
      </x:c>
      <x:c r="I403" s="1" t="n">
        <x:v>512</x:v>
      </x:c>
      <x:c r="J403" s="1"/>
      <x:c r="K403" s="1" t="str">
        <x:v>GRAND-LIVRE-ORIGINAL-feuille-1.csv, ligne 512</x:v>
      </x:c>
    </x:row>
    <x:row r="404" ht="22" customHeight="1">
      <x:c r="A404" s="1" t="str">
        <x:v>5740</x:v>
      </x:c>
      <x:c r="B404" s="1" t="str">
        <x:v>Restaurant Supplies Expenses</x:v>
      </x:c>
      <x:c r="C404" s="7" t="d">
        <x:v>2024-12-12T12:00:00.000Z</x:v>
      </x:c>
      <x:c r="D404" s="1" t="str">
        <x:v>Dollarama</x:v>
      </x:c>
      <x:c r="E404" s="1" t="str">
        <x:v>Cash</x:v>
      </x:c>
      <x:c r="F404" s="1" t="str">
        <x:v>J137</x:v>
      </x:c>
      <x:c r="G404" s="9" t="n">
        <x:v>156.72</x:v>
      </x:c>
      <x:c r="H404" s="9" t="n">
        <x:v>0</x:v>
      </x:c>
      <x:c r="I404" s="1" t="n">
        <x:v>513</x:v>
      </x:c>
      <x:c r="J404" s="1"/>
      <x:c r="K404" s="1" t="str">
        <x:v>GRAND-LIVRE-ORIGINAL-feuille-1.csv, ligne 513</x:v>
      </x:c>
    </x:row>
    <x:row r="405" ht="22" customHeight="1">
      <x:c r="A405" s="1" t="str">
        <x:v>5740</x:v>
      </x:c>
      <x:c r="B405" s="1" t="str">
        <x:v>Restaurant Supplies Expenses</x:v>
      </x:c>
      <x:c r="C405" s="7" t="d">
        <x:v>2024-12-12T12:00:00.000Z</x:v>
      </x:c>
      <x:c r="D405" s="1" t="str">
        <x:v>Dollarama</x:v>
      </x:c>
      <x:c r="E405" s="1" t="str">
        <x:v>Cash</x:v>
      </x:c>
      <x:c r="F405" s="1" t="str">
        <x:v>J140</x:v>
      </x:c>
      <x:c r="G405" s="9" t="n">
        <x:v>9.25</x:v>
      </x:c>
      <x:c r="H405" s="9" t="n">
        <x:v>0</x:v>
      </x:c>
      <x:c r="I405" s="1" t="n">
        <x:v>514</x:v>
      </x:c>
      <x:c r="J405" s="1"/>
      <x:c r="K405" s="1" t="str">
        <x:v>GRAND-LIVRE-ORIGINAL-feuille-1.csv, ligne 514</x:v>
      </x:c>
    </x:row>
    <x:row r="406" ht="22" customHeight="1">
      <x:c r="A406" s="1" t="str">
        <x:v>5740</x:v>
      </x:c>
      <x:c r="B406" s="1" t="str">
        <x:v>Restaurant Supplies Expenses</x:v>
      </x:c>
      <x:c r="C406" s="7" t="d">
        <x:v>2024-12-19T12:00:00.000Z</x:v>
      </x:c>
      <x:c r="D406" s="1" t="str">
        <x:v>Giant Tiger</x:v>
      </x:c>
      <x:c r="E406" s="1" t="str">
        <x:v>Cash</x:v>
      </x:c>
      <x:c r="F406" s="1" t="str">
        <x:v>J146</x:v>
      </x:c>
      <x:c r="G406" s="9" t="n">
        <x:v>30.46</x:v>
      </x:c>
      <x:c r="H406" s="9" t="n">
        <x:v>0</x:v>
      </x:c>
      <x:c r="I406" s="1" t="n">
        <x:v>515</x:v>
      </x:c>
      <x:c r="J406" s="1"/>
      <x:c r="K406" s="1" t="str">
        <x:v>GRAND-LIVRE-ORIGINAL-feuille-1.csv, ligne 515</x:v>
      </x:c>
    </x:row>
    <x:row r="407" ht="22" customHeight="1">
      <x:c r="A407" s="1" t="str">
        <x:v>5740</x:v>
      </x:c>
      <x:c r="B407" s="1" t="str">
        <x:v>Restaurant Supplies Expenses</x:v>
      </x:c>
      <x:c r="C407" s="7" t="d">
        <x:v>2024-12-27T12:00:00.000Z</x:v>
      </x:c>
      <x:c r="D407" s="1" t="str">
        <x:v>Dollarama</x:v>
      </x:c>
      <x:c r="E407" s="1" t="str">
        <x:v>Cash</x:v>
      </x:c>
      <x:c r="F407" s="1" t="str">
        <x:v>J170</x:v>
      </x:c>
      <x:c r="G407" s="9" t="n">
        <x:v>23.17</x:v>
      </x:c>
      <x:c r="H407" s="9" t="n">
        <x:v>0</x:v>
      </x:c>
      <x:c r="I407" s="1" t="n">
        <x:v>516</x:v>
      </x:c>
      <x:c r="J407" s="1"/>
      <x:c r="K407" s="1" t="str">
        <x:v>GRAND-LIVRE-ORIGINAL-feuille-1.csv, ligne 516</x:v>
      </x:c>
    </x:row>
    <x:row r="408" ht="22" customHeight="1">
      <x:c r="A408" s="1" t="str">
        <x:v>5740</x:v>
      </x:c>
      <x:c r="B408" s="1" t="str">
        <x:v>Restaurant Supplies Expenses</x:v>
      </x:c>
      <x:c r="C408" s="7" t="d">
        <x:v>2024-12-30T12:00:00.000Z</x:v>
      </x:c>
      <x:c r="D408" s="1" t="str">
        <x:v>Dollarama</x:v>
      </x:c>
      <x:c r="E408" s="1" t="str">
        <x:v>Cash</x:v>
      </x:c>
      <x:c r="F408" s="1" t="str">
        <x:v>J176</x:v>
      </x:c>
      <x:c r="G408" s="9" t="n">
        <x:v>78.7</x:v>
      </x:c>
      <x:c r="H408" s="9" t="n">
        <x:v>0</x:v>
      </x:c>
      <x:c r="I408" s="1" t="n">
        <x:v>517</x:v>
      </x:c>
      <x:c r="J408" s="1"/>
      <x:c r="K408" s="1" t="str">
        <x:v>GRAND-LIVRE-ORIGINAL-feuille-1.csv, ligne 517</x:v>
      </x:c>
    </x:row>
    <x:row r="409" ht="22" customHeight="1">
      <x:c r="A409" s="1" t="str">
        <x:v>5740</x:v>
      </x:c>
      <x:c r="B409" s="1" t="str">
        <x:v>Restaurant Supplies Expenses</x:v>
      </x:c>
      <x:c r="C409" s="7" t="d">
        <x:v>2024-12-30T12:00:00.000Z</x:v>
      </x:c>
      <x:c r="D409" s="1" t="str">
        <x:v>Dollarama</x:v>
      </x:c>
      <x:c r="E409" s="1" t="str">
        <x:v>Cash</x:v>
      </x:c>
      <x:c r="F409" s="1" t="str">
        <x:v>J177</x:v>
      </x:c>
      <x:c r="G409" s="9" t="n">
        <x:v>17.38</x:v>
      </x:c>
      <x:c r="H409" s="9" t="n">
        <x:v>0</x:v>
      </x:c>
      <x:c r="I409" s="1" t="n">
        <x:v>518</x:v>
      </x:c>
      <x:c r="J409" s="1"/>
      <x:c r="K409" s="1" t="str">
        <x:v>GRAND-LIVRE-ORIGINAL-feuille-1.csv, ligne 518</x:v>
      </x:c>
    </x:row>
    <x:row r="410" ht="22" customHeight="1">
      <x:c r="A410" s="1" t="str">
        <x:v>5740</x:v>
      </x:c>
      <x:c r="B410" s="1" t="str">
        <x:v>Restaurant Supplies Expenses</x:v>
      </x:c>
      <x:c r="C410" s="7" t="d">
        <x:v>2024-12-31T12:00:00.000Z</x:v>
      </x:c>
      <x:c r="D410" s="1" t="str">
        <x:v>Giant Tiger</x:v>
      </x:c>
      <x:c r="E410" s="1" t="str">
        <x:v>Cash</x:v>
      </x:c>
      <x:c r="F410" s="1" t="str">
        <x:v>J182</x:v>
      </x:c>
      <x:c r="G410" s="9" t="n">
        <x:v>90.96</x:v>
      </x:c>
      <x:c r="H410" s="9" t="n">
        <x:v>0</x:v>
      </x:c>
      <x:c r="I410" s="1" t="n">
        <x:v>519</x:v>
      </x:c>
      <x:c r="J410" s="1"/>
      <x:c r="K410" s="1" t="str">
        <x:v>GRAND-LIVRE-ORIGINAL-feuille-1.csv, ligne 519</x:v>
      </x:c>
    </x:row>
    <x:row r="411" ht="22" customHeight="1">
      <x:c r="A411" s="1" t="str">
        <x:v>5740</x:v>
      </x:c>
      <x:c r="B411" s="1" t="str">
        <x:v>Restaurant Supplies Expenses</x:v>
      </x:c>
      <x:c r="C411" s="7" t="d">
        <x:v>2024-12-31T12:00:00.000Z</x:v>
      </x:c>
      <x:c r="D411" s="1" t="str">
        <x:v>Dollarama</x:v>
      </x:c>
      <x:c r="E411" s="1" t="str">
        <x:v>Cash</x:v>
      </x:c>
      <x:c r="F411" s="1" t="str">
        <x:v>J183</x:v>
      </x:c>
      <x:c r="G411" s="9" t="n">
        <x:v>8</x:v>
      </x:c>
      <x:c r="H411" s="9" t="n">
        <x:v>0</x:v>
      </x:c>
      <x:c r="I411" s="1" t="n">
        <x:v>520</x:v>
      </x:c>
      <x:c r="J411" s="1"/>
      <x:c r="K411" s="1" t="str">
        <x:v>GRAND-LIVRE-ORIGINAL-feuille-1.csv, ligne 520</x:v>
      </x:c>
    </x:row>
    <x:row r="412" ht="22" customHeight="1">
      <x:c r="A412" s="1" t="str">
        <x:v>5740</x:v>
      </x:c>
      <x:c r="B412" s="1" t="str">
        <x:v>Restaurant Supplies Expenses</x:v>
      </x:c>
      <x:c r="C412" s="7" t="d">
        <x:v>2025-01-01T12:00:00.000Z</x:v>
      </x:c>
      <x:c r="D412" s="1" t="str">
        <x:v>Equipment Fri</x:v>
      </x:c>
      <x:c r="E412" s="1" t="str">
        <x:v>Cash</x:v>
      </x:c>
      <x:c r="F412" s="1" t="str">
        <x:v>J388</x:v>
      </x:c>
      <x:c r="G412" s="9" t="n">
        <x:v>1705</x:v>
      </x:c>
      <x:c r="H412" s="9" t="n">
        <x:v>0</x:v>
      </x:c>
      <x:c r="I412" s="1" t="n">
        <x:v>521</x:v>
      </x:c>
      <x:c r="J412" s="1"/>
      <x:c r="K412" s="1" t="str">
        <x:v>GRAND-LIVRE-ORIGINAL-feuille-1.csv, ligne 521</x:v>
      </x:c>
    </x:row>
    <x:row r="413" ht="22" customHeight="1">
      <x:c r="A413" s="1" t="str">
        <x:v>5740</x:v>
      </x:c>
      <x:c r="B413" s="1" t="str">
        <x:v>Restaurant Supplies Expenses</x:v>
      </x:c>
      <x:c r="C413" s="7" t="d">
        <x:v>2025-01-01T12:00:00.000Z</x:v>
      </x:c>
      <x:c r="D413" s="1" t="str">
        <x:v>Equipment Fri</x:v>
      </x:c>
      <x:c r="E413" s="1" t="str">
        <x:v>Cash</x:v>
      </x:c>
      <x:c r="F413" s="1" t="str">
        <x:v>J389</x:v>
      </x:c>
      <x:c r="G413" s="9" t="n">
        <x:v>7900</x:v>
      </x:c>
      <x:c r="H413" s="9" t="n">
        <x:v>0</x:v>
      </x:c>
      <x:c r="I413" s="1" t="n">
        <x:v>522</x:v>
      </x:c>
      <x:c r="J413" s="1"/>
      <x:c r="K413" s="1" t="str">
        <x:v>GRAND-LIVRE-ORIGINAL-feuille-1.csv, ligne 522</x:v>
      </x:c>
    </x:row>
    <x:row r="414" ht="22" customHeight="1">
      <x:c r="A414" s="1" t="str">
        <x:v>5740</x:v>
      </x:c>
      <x:c r="B414" s="1" t="str">
        <x:v>Restaurant Supplies Expenses</x:v>
      </x:c>
      <x:c r="C414" s="7" t="d">
        <x:v>2025-01-01T12:00:00.000Z</x:v>
      </x:c>
      <x:c r="D414" s="1" t="str">
        <x:v>Equipment Fri</x:v>
      </x:c>
      <x:c r="E414" s="1" t="str">
        <x:v>Cash</x:v>
      </x:c>
      <x:c r="F414" s="1" t="str">
        <x:v>J390</x:v>
      </x:c>
      <x:c r="G414" s="9" t="n">
        <x:v>2340</x:v>
      </x:c>
      <x:c r="H414" s="9" t="n">
        <x:v>0</x:v>
      </x:c>
      <x:c r="I414" s="1" t="n">
        <x:v>523</x:v>
      </x:c>
      <x:c r="J414" s="1"/>
      <x:c r="K414" s="1" t="str">
        <x:v>GRAND-LIVRE-ORIGINAL-feuille-1.csv, ligne 523</x:v>
      </x:c>
    </x:row>
    <x:row r="415" ht="22" customHeight="1">
      <x:c r="A415" s="1" t="str">
        <x:v>5740</x:v>
      </x:c>
      <x:c r="B415" s="1" t="str">
        <x:v>Restaurant Supplies Expenses</x:v>
      </x:c>
      <x:c r="C415" s="7" t="d">
        <x:v>2025-01-01T12:00:00.000Z</x:v>
      </x:c>
      <x:c r="D415" s="1" t="str">
        <x:v>Equipment Fri</x:v>
      </x:c>
      <x:c r="E415" s="1" t="str">
        <x:v>Cash</x:v>
      </x:c>
      <x:c r="F415" s="1" t="str">
        <x:v>J391</x:v>
      </x:c>
      <x:c r="G415" s="9" t="n">
        <x:v>3850</x:v>
      </x:c>
      <x:c r="H415" s="9" t="n">
        <x:v>0</x:v>
      </x:c>
      <x:c r="I415" s="1" t="n">
        <x:v>524</x:v>
      </x:c>
      <x:c r="J415" s="1"/>
      <x:c r="K415" s="1" t="str">
        <x:v>GRAND-LIVRE-ORIGINAL-feuille-1.csv, ligne 524</x:v>
      </x:c>
    </x:row>
    <x:row r="416" ht="22" customHeight="1">
      <x:c r="A416" s="1" t="str">
        <x:v>5740</x:v>
      </x:c>
      <x:c r="B416" s="1" t="str">
        <x:v>Restaurant Supplies Expenses</x:v>
      </x:c>
      <x:c r="C416" s="7" t="d">
        <x:v>2025-01-01T12:00:00.000Z</x:v>
      </x:c>
      <x:c r="D416" s="1" t="str">
        <x:v>Equipment Fri</x:v>
      </x:c>
      <x:c r="E416" s="1" t="str">
        <x:v>Cash</x:v>
      </x:c>
      <x:c r="F416" s="1" t="str">
        <x:v>J392</x:v>
      </x:c>
      <x:c r="G416" s="9" t="n">
        <x:v>2960</x:v>
      </x:c>
      <x:c r="H416" s="9" t="n">
        <x:v>0</x:v>
      </x:c>
      <x:c r="I416" s="1" t="n">
        <x:v>525</x:v>
      </x:c>
      <x:c r="J416" s="1"/>
      <x:c r="K416" s="1" t="str">
        <x:v>GRAND-LIVRE-ORIGINAL-feuille-1.csv, ligne 525</x:v>
      </x:c>
    </x:row>
    <x:row r="417" ht="22" customHeight="1">
      <x:c r="A417" s="1" t="str">
        <x:v>5740</x:v>
      </x:c>
      <x:c r="B417" s="1" t="str">
        <x:v>Restaurant Supplies Expenses</x:v>
      </x:c>
      <x:c r="C417" s="7" t="d">
        <x:v>2025-01-06T12:00:00.000Z</x:v>
      </x:c>
      <x:c r="D417" s="1" t="str">
        <x:v>Dollarama</x:v>
      </x:c>
      <x:c r="E417" s="1" t="str">
        <x:v>Cash</x:v>
      </x:c>
      <x:c r="F417" s="1" t="str">
        <x:v>J214</x:v>
      </x:c>
      <x:c r="G417" s="9" t="n">
        <x:v>17.5</x:v>
      </x:c>
      <x:c r="H417" s="9" t="n">
        <x:v>0</x:v>
      </x:c>
      <x:c r="I417" s="1" t="n">
        <x:v>526</x:v>
      </x:c>
      <x:c r="J417" s="1"/>
      <x:c r="K417" s="1" t="str">
        <x:v>GRAND-LIVRE-ORIGINAL-feuille-1.csv, ligne 526</x:v>
      </x:c>
    </x:row>
    <x:row r="418" ht="22" customHeight="1">
      <x:c r="A418" s="1" t="str">
        <x:v>5740</x:v>
      </x:c>
      <x:c r="B418" s="1" t="str">
        <x:v>Restaurant Supplies Expenses</x:v>
      </x:c>
      <x:c r="C418" s="7" t="d">
        <x:v>2025-02-01T12:00:00.000Z</x:v>
      </x:c>
      <x:c r="D418" s="1" t="str">
        <x:v>Equipment Fri</x:v>
      </x:c>
      <x:c r="E418" s="1" t="str">
        <x:v>Cash</x:v>
      </x:c>
      <x:c r="F418" s="1" t="str">
        <x:v>J393</x:v>
      </x:c>
      <x:c r="G418" s="9" t="n">
        <x:v>2340</x:v>
      </x:c>
      <x:c r="H418" s="9" t="n">
        <x:v>0</x:v>
      </x:c>
      <x:c r="I418" s="1" t="n">
        <x:v>527</x:v>
      </x:c>
      <x:c r="J418" s="1"/>
      <x:c r="K418" s="1" t="str">
        <x:v>GRAND-LIVRE-ORIGINAL-feuille-1.csv, ligne 527</x:v>
      </x:c>
    </x:row>
    <x:row r="419" ht="22" customHeight="1">
      <x:c r="A419" s="1" t="str">
        <x:v>5740</x:v>
      </x:c>
      <x:c r="B419" s="1" t="str">
        <x:v>Restaurant Supplies Expenses</x:v>
      </x:c>
      <x:c r="C419" s="7" t="d">
        <x:v>2025-02-01T12:00:00.000Z</x:v>
      </x:c>
      <x:c r="D419" s="1" t="str">
        <x:v>Equipment Fri</x:v>
      </x:c>
      <x:c r="E419" s="1" t="str">
        <x:v>Cash</x:v>
      </x:c>
      <x:c r="F419" s="1" t="str">
        <x:v>J394</x:v>
      </x:c>
      <x:c r="G419" s="9" t="n">
        <x:v>1145</x:v>
      </x:c>
      <x:c r="H419" s="9" t="n">
        <x:v>0</x:v>
      </x:c>
      <x:c r="I419" s="1" t="n">
        <x:v>528</x:v>
      </x:c>
      <x:c r="J419" s="1"/>
      <x:c r="K419" s="1" t="str">
        <x:v>GRAND-LIVRE-ORIGINAL-feuille-1.csv, ligne 528</x:v>
      </x:c>
    </x:row>
    <x:row r="420" ht="22" customHeight="1">
      <x:c r="A420" s="1" t="str">
        <x:v>5740</x:v>
      </x:c>
      <x:c r="B420" s="1" t="str">
        <x:v>Restaurant Supplies Expenses</x:v>
      </x:c>
      <x:c r="C420" s="7" t="d">
        <x:v>2025-02-01T12:00:00.000Z</x:v>
      </x:c>
      <x:c r="D420" s="1" t="str">
        <x:v>Equipment Fri</x:v>
      </x:c>
      <x:c r="E420" s="1" t="str">
        <x:v>Cash</x:v>
      </x:c>
      <x:c r="F420" s="1" t="str">
        <x:v>J395</x:v>
      </x:c>
      <x:c r="G420" s="9" t="n">
        <x:v>5990</x:v>
      </x:c>
      <x:c r="H420" s="9" t="n">
        <x:v>0</x:v>
      </x:c>
      <x:c r="I420" s="1" t="n">
        <x:v>529</x:v>
      </x:c>
      <x:c r="J420" s="1"/>
      <x:c r="K420" s="1" t="str">
        <x:v>GRAND-LIVRE-ORIGINAL-feuille-1.csv, ligne 529</x:v>
      </x:c>
    </x:row>
    <x:row r="421" ht="22" customHeight="1">
      <x:c r="A421" s="1" t="str">
        <x:v>5740</x:v>
      </x:c>
      <x:c r="B421" s="1" t="str">
        <x:v>Restaurant Supplies Expenses</x:v>
      </x:c>
      <x:c r="C421" s="7" t="d">
        <x:v>2025-02-01T12:00:00.000Z</x:v>
      </x:c>
      <x:c r="D421" s="1" t="str">
        <x:v>Equipment Fri</x:v>
      </x:c>
      <x:c r="E421" s="1" t="str">
        <x:v>Cash</x:v>
      </x:c>
      <x:c r="F421" s="1" t="str">
        <x:v>J396</x:v>
      </x:c>
      <x:c r="G421" s="9" t="n">
        <x:v>8320</x:v>
      </x:c>
      <x:c r="H421" s="9" t="n">
        <x:v>0</x:v>
      </x:c>
      <x:c r="I421" s="1" t="n">
        <x:v>530</x:v>
      </x:c>
      <x:c r="J421" s="1"/>
      <x:c r="K421" s="1" t="str">
        <x:v>GRAND-LIVRE-ORIGINAL-feuille-1.csv, ligne 530</x:v>
      </x:c>
    </x:row>
    <x:row r="422" ht="22" customHeight="1">
      <x:c r="A422" s="1" t="str">
        <x:v>5740</x:v>
      </x:c>
      <x:c r="B422" s="1" t="str">
        <x:v>Restaurant Supplies Expenses</x:v>
      </x:c>
      <x:c r="C422" s="7" t="d">
        <x:v>2025-02-01T12:00:00.000Z</x:v>
      </x:c>
      <x:c r="D422" s="1" t="str">
        <x:v>Equipment Fri</x:v>
      </x:c>
      <x:c r="E422" s="1" t="str">
        <x:v>Cash</x:v>
      </x:c>
      <x:c r="F422" s="1" t="str">
        <x:v>J397</x:v>
      </x:c>
      <x:c r="G422" s="9" t="n">
        <x:v>1485</x:v>
      </x:c>
      <x:c r="H422" s="9" t="n">
        <x:v>0</x:v>
      </x:c>
      <x:c r="I422" s="1" t="n">
        <x:v>531</x:v>
      </x:c>
      <x:c r="J422" s="1"/>
      <x:c r="K422" s="1" t="str">
        <x:v>GRAND-LIVRE-ORIGINAL-feuille-1.csv, ligne 531</x:v>
      </x:c>
    </x:row>
    <x:row r="423" ht="22" customHeight="1">
      <x:c r="A423" s="1" t="str">
        <x:v>5740</x:v>
      </x:c>
      <x:c r="B423" s="1" t="str">
        <x:v>Restaurant Supplies Expenses</x:v>
      </x:c>
      <x:c r="C423" s="7" t="d">
        <x:v>2025-02-01T12:00:00.000Z</x:v>
      </x:c>
      <x:c r="D423" s="1" t="str">
        <x:v>Equipment Fri</x:v>
      </x:c>
      <x:c r="E423" s="1" t="str">
        <x:v>Cash</x:v>
      </x:c>
      <x:c r="F423" s="1" t="str">
        <x:v>J398</x:v>
      </x:c>
      <x:c r="G423" s="9" t="n">
        <x:v>11500</x:v>
      </x:c>
      <x:c r="H423" s="9" t="n">
        <x:v>0</x:v>
      </x:c>
      <x:c r="I423" s="1" t="n">
        <x:v>532</x:v>
      </x:c>
      <x:c r="J423" s="1"/>
      <x:c r="K423" s="1" t="str">
        <x:v>GRAND-LIVRE-ORIGINAL-feuille-1.csv, ligne 532</x:v>
      </x:c>
    </x:row>
    <x:row r="424" ht="22" customHeight="1">
      <x:c r="A424" s="1" t="str">
        <x:v>5740</x:v>
      </x:c>
      <x:c r="B424" s="1" t="str">
        <x:v>Restaurant Supplies Expenses</x:v>
      </x:c>
      <x:c r="C424" s="7" t="d">
        <x:v>2025-03-01T12:00:00.000Z</x:v>
      </x:c>
      <x:c r="D424" s="1" t="str">
        <x:v>Dollarama</x:v>
      </x:c>
      <x:c r="E424" s="1" t="str">
        <x:v>Cash</x:v>
      </x:c>
      <x:c r="F424" s="1" t="str">
        <x:v>J419</x:v>
      </x:c>
      <x:c r="G424" s="9" t="n">
        <x:v>47.25</x:v>
      </x:c>
      <x:c r="H424" s="9" t="n">
        <x:v>0</x:v>
      </x:c>
      <x:c r="I424" s="1" t="n">
        <x:v>533</x:v>
      </x:c>
      <x:c r="J424" s="1"/>
      <x:c r="K424" s="1" t="str">
        <x:v>GRAND-LIVRE-ORIGINAL-feuille-1.csv, ligne 533</x:v>
      </x:c>
    </x:row>
    <x:row r="425" ht="22" customHeight="1">
      <x:c r="A425" s="1" t="str">
        <x:v>5740</x:v>
      </x:c>
      <x:c r="B425" s="1" t="str">
        <x:v>Restaurant Supplies Expenses</x:v>
      </x:c>
      <x:c r="C425" s="7" t="d">
        <x:v>2025-03-01T12:00:00.000Z</x:v>
      </x:c>
      <x:c r="D425" s="1" t="str">
        <x:v>Dollarama</x:v>
      </x:c>
      <x:c r="E425" s="1" t="str">
        <x:v>Cash</x:v>
      </x:c>
      <x:c r="F425" s="1" t="str">
        <x:v>J433</x:v>
      </x:c>
      <x:c r="G425" s="9" t="n">
        <x:v>8</x:v>
      </x:c>
      <x:c r="H425" s="9" t="n">
        <x:v>0</x:v>
      </x:c>
      <x:c r="I425" s="1" t="n">
        <x:v>534</x:v>
      </x:c>
      <x:c r="J425" s="1"/>
      <x:c r="K425" s="1" t="str">
        <x:v>GRAND-LIVRE-ORIGINAL-feuille-1.csv, ligne 534</x:v>
      </x:c>
    </x:row>
    <x:row r="426" ht="22" customHeight="1">
      <x:c r="A426" s="1" t="str">
        <x:v>5740</x:v>
      </x:c>
      <x:c r="B426" s="1" t="str">
        <x:v>Restaurant Supplies Expenses</x:v>
      </x:c>
      <x:c r="C426" s="7" t="d">
        <x:v>2025-03-01T12:00:00.000Z</x:v>
      </x:c>
      <x:c r="D426" s="1" t="str">
        <x:v>Dollarama</x:v>
      </x:c>
      <x:c r="E426" s="1" t="str">
        <x:v>Cash</x:v>
      </x:c>
      <x:c r="F426" s="1" t="str">
        <x:v>J434</x:v>
      </x:c>
      <x:c r="G426" s="9" t="n">
        <x:v>4.35</x:v>
      </x:c>
      <x:c r="H426" s="9" t="n">
        <x:v>0</x:v>
      </x:c>
      <x:c r="I426" s="1" t="n">
        <x:v>535</x:v>
      </x:c>
      <x:c r="J426" s="1"/>
      <x:c r="K426" s="1" t="str">
        <x:v>GRAND-LIVRE-ORIGINAL-feuille-1.csv, ligne 535</x:v>
      </x:c>
    </x:row>
    <x:row r="427" ht="22" customHeight="1">
      <x:c r="A427" s="1" t="str">
        <x:v>5740</x:v>
      </x:c>
      <x:c r="B427" s="1" t="str">
        <x:v>Restaurant Supplies Expenses</x:v>
      </x:c>
      <x:c r="C427" s="7" t="d">
        <x:v>2025-03-01T12:00:00.000Z</x:v>
      </x:c>
      <x:c r="D427" s="1" t="str">
        <x:v>Dollarama</x:v>
      </x:c>
      <x:c r="E427" s="1" t="str">
        <x:v>Cash</x:v>
      </x:c>
      <x:c r="F427" s="1" t="str">
        <x:v>J435</x:v>
      </x:c>
      <x:c r="G427" s="9" t="n">
        <x:v>60.89</x:v>
      </x:c>
      <x:c r="H427" s="9" t="n">
        <x:v>0</x:v>
      </x:c>
      <x:c r="I427" s="1" t="n">
        <x:v>536</x:v>
      </x:c>
      <x:c r="J427" s="1"/>
      <x:c r="K427" s="1" t="str">
        <x:v>GRAND-LIVRE-ORIGINAL-feuille-1.csv, ligne 536</x:v>
      </x:c>
    </x:row>
    <x:row r="428" ht="22" customHeight="1">
      <x:c r="A428" s="1" t="str">
        <x:v>5740</x:v>
      </x:c>
      <x:c r="B428" s="1" t="str">
        <x:v>Restaurant Supplies Expenses</x:v>
      </x:c>
      <x:c r="C428" s="7" t="d">
        <x:v>2025-03-01T12:00:00.000Z</x:v>
      </x:c>
      <x:c r="D428" s="1" t="str">
        <x:v>Dollarama</x:v>
      </x:c>
      <x:c r="E428" s="1" t="str">
        <x:v>Cash</x:v>
      </x:c>
      <x:c r="F428" s="1" t="str">
        <x:v>J436</x:v>
      </x:c>
      <x:c r="G428" s="9" t="n">
        <x:v>11</x:v>
      </x:c>
      <x:c r="H428" s="9" t="n">
        <x:v>0</x:v>
      </x:c>
      <x:c r="I428" s="1" t="n">
        <x:v>537</x:v>
      </x:c>
      <x:c r="J428" s="1"/>
      <x:c r="K428" s="1" t="str">
        <x:v>GRAND-LIVRE-ORIGINAL-feuille-1.csv, ligne 537</x:v>
      </x:c>
    </x:row>
    <x:row r="429" ht="22" customHeight="1">
      <x:c r="A429" s="1" t="str">
        <x:v>5740</x:v>
      </x:c>
      <x:c r="B429" s="1" t="str">
        <x:v>Restaurant Supplies Expenses</x:v>
      </x:c>
      <x:c r="C429" s="7" t="d">
        <x:v>2025-03-01T12:00:00.000Z</x:v>
      </x:c>
      <x:c r="D429" s="1" t="str">
        <x:v>Dollarama</x:v>
      </x:c>
      <x:c r="E429" s="1" t="str">
        <x:v>Cash</x:v>
      </x:c>
      <x:c r="F429" s="1" t="str">
        <x:v>J437</x:v>
      </x:c>
      <x:c r="G429" s="9" t="n">
        <x:v>39.14</x:v>
      </x:c>
      <x:c r="H429" s="9" t="n">
        <x:v>0</x:v>
      </x:c>
      <x:c r="I429" s="1" t="n">
        <x:v>538</x:v>
      </x:c>
      <x:c r="J429" s="1"/>
      <x:c r="K429" s="1" t="str">
        <x:v>GRAND-LIVRE-ORIGINAL-feuille-1.csv, ligne 538</x:v>
      </x:c>
    </x:row>
    <x:row r="430" ht="22" customHeight="1">
      <x:c r="A430" s="1" t="str">
        <x:v>5740</x:v>
      </x:c>
      <x:c r="B430" s="1" t="str">
        <x:v>Restaurant Supplies Expenses</x:v>
      </x:c>
      <x:c r="C430" s="7" t="d">
        <x:v>2025-03-01T12:00:00.000Z</x:v>
      </x:c>
      <x:c r="D430" s="1" t="str">
        <x:v>Dollarama</x:v>
      </x:c>
      <x:c r="E430" s="1" t="str">
        <x:v>Cash</x:v>
      </x:c>
      <x:c r="F430" s="1" t="str">
        <x:v>J438</x:v>
      </x:c>
      <x:c r="G430" s="9" t="n">
        <x:v>39.14</x:v>
      </x:c>
      <x:c r="H430" s="9" t="n">
        <x:v>0</x:v>
      </x:c>
      <x:c r="I430" s="1" t="n">
        <x:v>539</x:v>
      </x:c>
      <x:c r="J430" s="1"/>
      <x:c r="K430" s="1" t="str">
        <x:v>GRAND-LIVRE-ORIGINAL-feuille-1.csv, ligne 539</x:v>
      </x:c>
    </x:row>
    <x:row r="431" ht="22" customHeight="1">
      <x:c r="A431" s="1" t="str">
        <x:v>5740</x:v>
      </x:c>
      <x:c r="B431" s="1" t="str">
        <x:v>Restaurant Supplies Expenses</x:v>
      </x:c>
      <x:c r="C431" s="7" t="d">
        <x:v>2025-03-01T12:00:00.000Z</x:v>
      </x:c>
      <x:c r="D431" s="1" t="str">
        <x:v>Dollarama</x:v>
      </x:c>
      <x:c r="E431" s="1" t="str">
        <x:v>Cash</x:v>
      </x:c>
      <x:c r="F431" s="1" t="str">
        <x:v>J439</x:v>
      </x:c>
      <x:c r="G431" s="9" t="n">
        <x:v>44.27</x:v>
      </x:c>
      <x:c r="H431" s="9" t="n">
        <x:v>0</x:v>
      </x:c>
      <x:c r="I431" s="1" t="n">
        <x:v>540</x:v>
      </x:c>
      <x:c r="J431" s="1"/>
      <x:c r="K431" s="1" t="str">
        <x:v>GRAND-LIVRE-ORIGINAL-feuille-1.csv, ligne 540</x:v>
      </x:c>
    </x:row>
    <x:row r="432" ht="22" customHeight="1">
      <x:c r="A432" s="1" t="str">
        <x:v>5740</x:v>
      </x:c>
      <x:c r="B432" s="1" t="str">
        <x:v>Restaurant Supplies Expenses</x:v>
      </x:c>
      <x:c r="C432" s="7" t="d">
        <x:v>2025-03-01T12:00:00.000Z</x:v>
      </x:c>
      <x:c r="D432" s="1" t="str">
        <x:v>Dollarama</x:v>
      </x:c>
      <x:c r="E432" s="1" t="str">
        <x:v>Cash</x:v>
      </x:c>
      <x:c r="F432" s="1" t="str">
        <x:v>J440</x:v>
      </x:c>
      <x:c r="G432" s="9" t="n">
        <x:v>24.95</x:v>
      </x:c>
      <x:c r="H432" s="9" t="n">
        <x:v>0</x:v>
      </x:c>
      <x:c r="I432" s="1" t="n">
        <x:v>541</x:v>
      </x:c>
      <x:c r="J432" s="1"/>
      <x:c r="K432" s="1" t="str">
        <x:v>GRAND-LIVRE-ORIGINAL-feuille-1.csv, ligne 541</x:v>
      </x:c>
    </x:row>
    <x:row r="433" ht="22" customHeight="1">
      <x:c r="A433" s="1" t="str">
        <x:v>5740</x:v>
      </x:c>
      <x:c r="B433" s="1" t="str">
        <x:v>Restaurant Supplies Expenses</x:v>
      </x:c>
      <x:c r="C433" s="7" t="d">
        <x:v>2025-03-01T12:00:00.000Z</x:v>
      </x:c>
      <x:c r="D433" s="1" t="str">
        <x:v>Dollarama</x:v>
      </x:c>
      <x:c r="E433" s="1" t="str">
        <x:v>Cash</x:v>
      </x:c>
      <x:c r="F433" s="1" t="str">
        <x:v>J480</x:v>
      </x:c>
      <x:c r="G433" s="9" t="n">
        <x:v>46.54</x:v>
      </x:c>
      <x:c r="H433" s="9" t="n">
        <x:v>0</x:v>
      </x:c>
      <x:c r="I433" s="1" t="n">
        <x:v>542</x:v>
      </x:c>
      <x:c r="J433" s="1"/>
      <x:c r="K433" s="1" t="str">
        <x:v>GRAND-LIVRE-ORIGINAL-feuille-1.csv, ligne 542</x:v>
      </x:c>
    </x:row>
    <x:row r="434" ht="22" customHeight="1">
      <x:c r="A434" s="1" t="str">
        <x:v>5740</x:v>
      </x:c>
      <x:c r="B434" s="1" t="str">
        <x:v>Restaurant Supplies Expenses</x:v>
      </x:c>
      <x:c r="C434" s="7" t="d">
        <x:v>2025-03-01T12:00:00.000Z</x:v>
      </x:c>
      <x:c r="D434" s="1" t="str">
        <x:v>Dollarama</x:v>
      </x:c>
      <x:c r="E434" s="1" t="str">
        <x:v>Cash</x:v>
      </x:c>
      <x:c r="F434" s="1" t="str">
        <x:v>J481</x:v>
      </x:c>
      <x:c r="G434" s="9" t="n">
        <x:v>21.3</x:v>
      </x:c>
      <x:c r="H434" s="9" t="n">
        <x:v>0</x:v>
      </x:c>
      <x:c r="I434" s="1" t="n">
        <x:v>543</x:v>
      </x:c>
      <x:c r="J434" s="1"/>
      <x:c r="K434" s="1" t="str">
        <x:v>GRAND-LIVRE-ORIGINAL-feuille-1.csv, ligne 543</x:v>
      </x:c>
    </x:row>
    <x:row r="435" ht="22" customHeight="1">
      <x:c r="A435" s="1" t="str">
        <x:v>5740</x:v>
      </x:c>
      <x:c r="B435" s="1" t="str">
        <x:v>Restaurant Supplies Expenses</x:v>
      </x:c>
      <x:c r="C435" s="7" t="d">
        <x:v>2025-03-01T12:00:00.000Z</x:v>
      </x:c>
      <x:c r="D435" s="1" t="str">
        <x:v>Dollarama</x:v>
      </x:c>
      <x:c r="E435" s="1" t="str">
        <x:v>Cash</x:v>
      </x:c>
      <x:c r="F435" s="1" t="str">
        <x:v>J482</x:v>
      </x:c>
      <x:c r="G435" s="9" t="n">
        <x:v>47.84</x:v>
      </x:c>
      <x:c r="H435" s="9" t="n">
        <x:v>0</x:v>
      </x:c>
      <x:c r="I435" s="1" t="n">
        <x:v>544</x:v>
      </x:c>
      <x:c r="J435" s="1"/>
      <x:c r="K435" s="1" t="str">
        <x:v>GRAND-LIVRE-ORIGINAL-feuille-1.csv, ligne 544</x:v>
      </x:c>
    </x:row>
    <x:row r="436" ht="22" customHeight="1">
      <x:c r="A436" s="1" t="str">
        <x:v>5740</x:v>
      </x:c>
      <x:c r="B436" s="1" t="str">
        <x:v>Restaurant Supplies Expenses</x:v>
      </x:c>
      <x:c r="C436" s="7" t="d">
        <x:v>2025-04-01T12:00:00.000Z</x:v>
      </x:c>
      <x:c r="D436" s="1" t="str">
        <x:v>Dollarama</x:v>
      </x:c>
      <x:c r="E436" s="1" t="str">
        <x:v>Cash</x:v>
      </x:c>
      <x:c r="F436" s="1" t="str">
        <x:v>J539</x:v>
      </x:c>
      <x:c r="G436" s="9" t="n">
        <x:v>39.84</x:v>
      </x:c>
      <x:c r="H436" s="9" t="n">
        <x:v>0</x:v>
      </x:c>
      <x:c r="I436" s="1" t="n">
        <x:v>545</x:v>
      </x:c>
      <x:c r="J436" s="1"/>
      <x:c r="K436" s="1" t="str">
        <x:v>GRAND-LIVRE-ORIGINAL-feuille-1.csv, ligne 545</x:v>
      </x:c>
    </x:row>
    <x:row r="437" ht="22" customHeight="1">
      <x:c r="A437" s="1" t="str">
        <x:v>5740</x:v>
      </x:c>
      <x:c r="B437" s="1" t="str">
        <x:v>Restaurant Supplies Expenses</x:v>
      </x:c>
      <x:c r="C437" s="7" t="d">
        <x:v>2025-06-01T12:00:00.000Z</x:v>
      </x:c>
      <x:c r="D437" s="1" t="str">
        <x:v>Equipment Fri</x:v>
      </x:c>
      <x:c r="E437" s="1" t="str">
        <x:v>Cash</x:v>
      </x:c>
      <x:c r="F437" s="1" t="str">
        <x:v>J582</x:v>
      </x:c>
      <x:c r="G437" s="9" t="n">
        <x:v>1700</x:v>
      </x:c>
      <x:c r="H437" s="9" t="n">
        <x:v>0</x:v>
      </x:c>
      <x:c r="I437" s="1" t="n">
        <x:v>546</x:v>
      </x:c>
      <x:c r="J437" s="1"/>
      <x:c r="K437" s="1" t="str">
        <x:v>GRAND-LIVRE-ORIGINAL-feuille-1.csv, ligne 546</x:v>
      </x:c>
    </x:row>
    <x:row r="438" ht="22" customHeight="1">
      <x:c r="A438" s="1" t="str">
        <x:v>5740</x:v>
      </x:c>
      <x:c r="B438" s="1" t="str">
        <x:v>Restaurant Supplies Expenses</x:v>
      </x:c>
      <x:c r="C438" s="7" t="d">
        <x:v>2025-06-30T12:00:00.000Z</x:v>
      </x:c>
      <x:c r="D438" s="1" t="str">
        <x:v>Equipment Fri</x:v>
      </x:c>
      <x:c r="E438" s="1" t="str">
        <x:v>Cash</x:v>
      </x:c>
      <x:c r="F438" s="1" t="str">
        <x:v>J643</x:v>
      </x:c>
      <x:c r="G438" s="9" t="n">
        <x:v>2615</x:v>
      </x:c>
      <x:c r="H438" s="9" t="n">
        <x:v>0</x:v>
      </x:c>
      <x:c r="I438" s="1" t="n">
        <x:v>547</x:v>
      </x:c>
      <x:c r="J438" s="1"/>
      <x:c r="K438" s="1" t="str">
        <x:v>GRAND-LIVRE-ORIGINAL-feuille-1.csv, ligne 547</x:v>
      </x:c>
    </x:row>
    <x:row r="439" ht="22" customHeight="1">
      <x:c r="A439" s="1" t="str">
        <x:v>5740</x:v>
      </x:c>
      <x:c r="B439" s="1" t="str">
        <x:v>Restaurant Supplies Expenses</x:v>
      </x:c>
      <x:c r="C439" s="7" t="d">
        <x:v>2025-06-30T12:00:00.000Z</x:v>
      </x:c>
      <x:c r="D439" s="1" t="str">
        <x:v>Equipment Fri</x:v>
      </x:c>
      <x:c r="E439" s="1" t="str">
        <x:v>Cash</x:v>
      </x:c>
      <x:c r="F439" s="1" t="str">
        <x:v>J644</x:v>
      </x:c>
      <x:c r="G439" s="9" t="n">
        <x:v>1485</x:v>
      </x:c>
      <x:c r="H439" s="9" t="n">
        <x:v>0</x:v>
      </x:c>
      <x:c r="I439" s="1" t="n">
        <x:v>548</x:v>
      </x:c>
      <x:c r="J439" s="1"/>
      <x:c r="K439" s="1" t="str">
        <x:v>GRAND-LIVRE-ORIGINAL-feuille-1.csv, ligne 548</x:v>
      </x:c>
    </x:row>
    <x:row r="440" ht="22" customHeight="1">
      <x:c r="A440" s="1" t="str">
        <x:v>5740</x:v>
      </x:c>
      <x:c r="B440" s="1" t="str">
        <x:v>Restaurant Supplies Expenses</x:v>
      </x:c>
      <x:c r="C440" s="7" t="d">
        <x:v>2025-06-30T12:00:00.000Z</x:v>
      </x:c>
      <x:c r="D440" s="1" t="str">
        <x:v>Equipment Fri</x:v>
      </x:c>
      <x:c r="E440" s="1" t="str">
        <x:v>Cash</x:v>
      </x:c>
      <x:c r="F440" s="1" t="str">
        <x:v>J645</x:v>
      </x:c>
      <x:c r="G440" s="9" t="n">
        <x:v>8205</x:v>
      </x:c>
      <x:c r="H440" s="9" t="n">
        <x:v>0</x:v>
      </x:c>
      <x:c r="I440" s="1" t="n">
        <x:v>549</x:v>
      </x:c>
      <x:c r="J440" s="1"/>
      <x:c r="K440" s="1" t="str">
        <x:v>GRAND-LIVRE-ORIGINAL-feuille-1.csv, ligne 549</x:v>
      </x:c>
    </x:row>
    <x:row r="441" ht="22" customHeight="1">
      <x:c r="A441" s="1" t="str">
        <x:v>5740</x:v>
      </x:c>
      <x:c r="B441" s="1" t="str">
        <x:v>Restaurant Supplies Expenses</x:v>
      </x:c>
      <x:c r="C441" s="7" t="d">
        <x:v>2025-06-30T12:00:00.000Z</x:v>
      </x:c>
      <x:c r="D441" s="1" t="str">
        <x:v>Equipment Fri</x:v>
      </x:c>
      <x:c r="E441" s="1" t="str">
        <x:v>Cash</x:v>
      </x:c>
      <x:c r="F441" s="1" t="str">
        <x:v>J646</x:v>
      </x:c>
      <x:c r="G441" s="9" t="n">
        <x:v>1650</x:v>
      </x:c>
      <x:c r="H441" s="9" t="n">
        <x:v>0</x:v>
      </x:c>
      <x:c r="I441" s="1" t="n">
        <x:v>550</x:v>
      </x:c>
      <x:c r="J441" s="1"/>
      <x:c r="K441" s="1" t="str">
        <x:v>GRAND-LIVRE-ORIGINAL-feuille-1.csv, ligne 550</x:v>
      </x:c>
    </x:row>
    <x:row r="442" ht="22" customHeight="1">
      <x:c r="A442" s="1" t="str">
        <x:v>5740</x:v>
      </x:c>
      <x:c r="B442" s="1" t="str">
        <x:v>Restaurant Supplies Expenses</x:v>
      </x:c>
      <x:c r="C442" s="7" t="d">
        <x:v>2025-06-30T12:00:00.000Z</x:v>
      </x:c>
      <x:c r="D442" s="1" t="str">
        <x:v>Equipment Fri</x:v>
      </x:c>
      <x:c r="E442" s="1" t="str">
        <x:v>Cash</x:v>
      </x:c>
      <x:c r="F442" s="1" t="str">
        <x:v>J647</x:v>
      </x:c>
      <x:c r="G442" s="9" t="n">
        <x:v>4635</x:v>
      </x:c>
      <x:c r="H442" s="9" t="n">
        <x:v>0</x:v>
      </x:c>
      <x:c r="I442" s="1" t="n">
        <x:v>551</x:v>
      </x:c>
      <x:c r="J442" s="1"/>
      <x:c r="K442" s="1" t="str">
        <x:v>GRAND-LIVRE-ORIGINAL-feuille-1.csv, ligne 551</x:v>
      </x:c>
    </x:row>
    <x:row r="443" ht="22" customHeight="1">
      <x:c r="A443" s="1" t="str">
        <x:v>5740</x:v>
      </x:c>
      <x:c r="B443" s="1" t="str">
        <x:v>Restaurant Supplies Expenses</x:v>
      </x:c>
      <x:c r="C443" s="7" t="d">
        <x:v>2025-06-30T12:00:00.000Z</x:v>
      </x:c>
      <x:c r="D443" s="1" t="str">
        <x:v>Equipment Fri</x:v>
      </x:c>
      <x:c r="E443" s="1" t="str">
        <x:v>Cash</x:v>
      </x:c>
      <x:c r="F443" s="1" t="str">
        <x:v>J649</x:v>
      </x:c>
      <x:c r="G443" s="9" t="n">
        <x:v>3390</x:v>
      </x:c>
      <x:c r="H443" s="9" t="n">
        <x:v>0</x:v>
      </x:c>
      <x:c r="I443" s="1" t="n">
        <x:v>552</x:v>
      </x:c>
      <x:c r="J443" s="1"/>
      <x:c r="K443" s="1" t="str">
        <x:v>GRAND-LIVRE-ORIGINAL-feuille-1.csv, ligne 552</x:v>
      </x:c>
    </x:row>
    <x:row r="444" ht="22" customHeight="1">
      <x:c r="A444" s="1" t="str">
        <x:v>5740</x:v>
      </x:c>
      <x:c r="B444" s="1" t="str">
        <x:v>Restaurant Supplies Expenses</x:v>
      </x:c>
      <x:c r="C444" s="7" t="d">
        <x:v>2025-06-30T12:00:00.000Z</x:v>
      </x:c>
      <x:c r="D444" s="1" t="str">
        <x:v>Equipment Fri</x:v>
      </x:c>
      <x:c r="E444" s="1" t="str">
        <x:v>Cash</x:v>
      </x:c>
      <x:c r="F444" s="1" t="str">
        <x:v>J651</x:v>
      </x:c>
      <x:c r="G444" s="9" t="n">
        <x:v>1700</x:v>
      </x:c>
      <x:c r="H444" s="9" t="n">
        <x:v>0</x:v>
      </x:c>
      <x:c r="I444" s="1" t="n">
        <x:v>553</x:v>
      </x:c>
      <x:c r="J444" s="1"/>
      <x:c r="K444" s="1" t="str">
        <x:v>GRAND-LIVRE-ORIGINAL-feuille-1.csv, ligne 553</x:v>
      </x:c>
    </x:row>
    <x:row r="445" ht="22" customHeight="1">
      <x:c r="A445" s="1" t="str">
        <x:v>5740</x:v>
      </x:c>
      <x:c r="B445" s="1" t="str">
        <x:v>Restaurant Supplies Expenses</x:v>
      </x:c>
      <x:c r="C445" s="7" t="d">
        <x:v>2025-06-30T12:00:00.000Z</x:v>
      </x:c>
      <x:c r="D445" s="1" t="str">
        <x:v>Equipment Fri</x:v>
      </x:c>
      <x:c r="E445" s="1" t="str">
        <x:v>Cash</x:v>
      </x:c>
      <x:c r="F445" s="1" t="str">
        <x:v>J652</x:v>
      </x:c>
      <x:c r="G445" s="9" t="n">
        <x:v>0</x:v>
      </x:c>
      <x:c r="H445" s="9" t="n">
        <x:v>384.09</x:v>
      </x:c>
      <x:c r="I445" s="1" t="n">
        <x:v>554</x:v>
      </x:c>
      <x:c r="J445" s="1"/>
      <x:c r="K445" s="1" t="str">
        <x:v>GRAND-LIVRE-ORIGINAL-feuille-1.csv, ligne 554</x:v>
      </x:c>
    </x:row>
    <x:row r="446" ht="22" customHeight="1">
      <x:c r="A446" s="1" t="str">
        <x:v>5740</x:v>
      </x:c>
      <x:c r="B446" s="1" t="str">
        <x:v>Restaurant Supplies Expenses</x:v>
      </x:c>
      <x:c r="C446" s="7" t="d">
        <x:v>2025-06-30T12:00:00.000Z</x:v>
      </x:c>
      <x:c r="D446" s="1" t="str">
        <x:v>Equipment Fri</x:v>
      </x:c>
      <x:c r="E446" s="1" t="str">
        <x:v>Cash</x:v>
      </x:c>
      <x:c r="F446" s="1" t="str">
        <x:v>J653</x:v>
      </x:c>
      <x:c r="G446" s="9" t="n">
        <x:v>0</x:v>
      </x:c>
      <x:c r="H446" s="9" t="n">
        <x:v>78.2</x:v>
      </x:c>
      <x:c r="I446" s="1" t="n">
        <x:v>555</x:v>
      </x:c>
      <x:c r="J446" s="1"/>
      <x:c r="K446" s="1" t="str">
        <x:v>GRAND-LIVRE-ORIGINAL-feuille-1.csv, ligne 555</x:v>
      </x:c>
    </x:row>
    <x:row r="447" ht="22" customHeight="1">
      <x:c r="A447" s="1" t="str">
        <x:v>5740</x:v>
      </x:c>
      <x:c r="B447" s="1" t="str">
        <x:v>Restaurant Supplies Expenses</x:v>
      </x:c>
      <x:c r="C447" s="7" t="d">
        <x:v>2025-06-30T12:00:00.000Z</x:v>
      </x:c>
      <x:c r="D447" s="1" t="str">
        <x:v>Equipment Fri</x:v>
      </x:c>
      <x:c r="E447" s="1" t="str">
        <x:v>Cash</x:v>
      </x:c>
      <x:c r="F447" s="1" t="str">
        <x:v>J654</x:v>
      </x:c>
      <x:c r="G447" s="9" t="n">
        <x:v>0</x:v>
      </x:c>
      <x:c r="H447" s="9" t="n">
        <x:v>927</x:v>
      </x:c>
      <x:c r="I447" s="1" t="n">
        <x:v>556</x:v>
      </x:c>
      <x:c r="J447" s="1"/>
      <x:c r="K447" s="1" t="str">
        <x:v>GRAND-LIVRE-ORIGINAL-feuille-1.csv, ligne 556</x:v>
      </x:c>
    </x:row>
    <x:row r="448" ht="22" customHeight="1">
      <x:c r="A448" s="1" t="str">
        <x:v>5740</x:v>
      </x:c>
      <x:c r="B448" s="1" t="str">
        <x:v>Restaurant Supplies Expenses</x:v>
      </x:c>
      <x:c r="C448" s="7" t="d">
        <x:v>2025-06-30T12:00:00.000Z</x:v>
      </x:c>
      <x:c r="D448" s="1" t="str">
        <x:v>Equipment Fri</x:v>
      </x:c>
      <x:c r="E448" s="1" t="str">
        <x:v>Cash</x:v>
      </x:c>
      <x:c r="F448" s="1" t="str">
        <x:v>J655</x:v>
      </x:c>
      <x:c r="G448" s="9" t="n">
        <x:v>1225.8</x:v>
      </x:c>
      <x:c r="H448" s="9" t="n">
        <x:v>0</x:v>
      </x:c>
      <x:c r="I448" s="1" t="n">
        <x:v>557</x:v>
      </x:c>
      <x:c r="J448" s="1"/>
      <x:c r="K448" s="1" t="str">
        <x:v>GRAND-LIVRE-ORIGINAL-feuille-1.csv, ligne 557</x:v>
      </x:c>
    </x:row>
    <x:row r="449" ht="22" customHeight="1">
      <x:c r="A449" s="1" t="str">
        <x:v>5740</x:v>
      </x:c>
      <x:c r="B449" s="1" t="str">
        <x:v>Restaurant Supplies Expenses</x:v>
      </x:c>
      <x:c r="C449" s="7" t="d">
        <x:v>2025-06-30T12:00:00.000Z</x:v>
      </x:c>
      <x:c r="D449" s="1" t="str">
        <x:v>Equipment Fri</x:v>
      </x:c>
      <x:c r="E449" s="1" t="str">
        <x:v>Cash</x:v>
      </x:c>
      <x:c r="F449" s="1" t="str">
        <x:v>J658</x:v>
      </x:c>
      <x:c r="G449" s="9" t="n">
        <x:v>7900</x:v>
      </x:c>
      <x:c r="H449" s="9" t="n">
        <x:v>0</x:v>
      </x:c>
      <x:c r="I449" s="1" t="n">
        <x:v>558</x:v>
      </x:c>
      <x:c r="J449" s="1"/>
      <x:c r="K449" s="1" t="str">
        <x:v>GRAND-LIVRE-ORIGINAL-feuille-1.csv, ligne 558</x:v>
      </x:c>
    </x:row>
    <x:row r="450" ht="22" customHeight="1">
      <x:c r="A450" s="1" t="str">
        <x:v>5740</x:v>
      </x:c>
      <x:c r="B450" s="1" t="str">
        <x:v>Restaurant Supplies Expenses</x:v>
      </x:c>
      <x:c r="C450" s="7" t="d">
        <x:v>2025-06-30T12:00:00.000Z</x:v>
      </x:c>
      <x:c r="D450" s="1" t="str">
        <x:v>Northern Pizza Quipment</x:v>
      </x:c>
      <x:c r="E450" s="1" t="str">
        <x:v>Cash</x:v>
      </x:c>
      <x:c r="F450" s="1" t="str">
        <x:v>J745</x:v>
      </x:c>
      <x:c r="G450" s="9" t="n">
        <x:v>181.75</x:v>
      </x:c>
      <x:c r="H450" s="9" t="n">
        <x:v>0</x:v>
      </x:c>
      <x:c r="I450" s="1" t="n">
        <x:v>559</x:v>
      </x:c>
      <x:c r="J450" s="1"/>
      <x:c r="K450" s="1" t="str">
        <x:v>GRAND-LIVRE-ORIGINAL-feuille-1.csv, ligne 559</x:v>
      </x:c>
    </x:row>
    <x:row r="451" ht="22" customHeight="1">
      <x:c r="A451" s="1" t="str">
        <x:v>5765</x:v>
      </x:c>
      <x:c r="B451" s="1" t="str">
        <x:v>Repair &amp; Maintenance</x:v>
      </x:c>
      <x:c r="C451" s="7" t="d">
        <x:v>2024-07-01T12:00:00.000Z</x:v>
      </x:c>
      <x:c r="D451" s="1" t="str">
        <x:v>Repartion</x:v>
      </x:c>
      <x:c r="E451" s="1" t="str">
        <x:v>Cash</x:v>
      </x:c>
      <x:c r="F451" s="1" t="str">
        <x:v>J720</x:v>
      </x:c>
      <x:c r="G451" s="9" t="n">
        <x:v>3383.7</x:v>
      </x:c>
      <x:c r="H451" s="9" t="n">
        <x:v>0</x:v>
      </x:c>
      <x:c r="I451" s="1" t="n">
        <x:v>567</x:v>
      </x:c>
      <x:c r="J451" s="1"/>
      <x:c r="K451" s="1" t="str">
        <x:v>GRAND-LIVRE-ORIGINAL-feuille-1.csv, ligne 567</x:v>
      </x:c>
    </x:row>
    <x:row r="452" ht="22" customHeight="1">
      <x:c r="A452" s="1" t="str">
        <x:v>5765</x:v>
      </x:c>
      <x:c r="B452" s="1" t="str">
        <x:v>Repair &amp; Maintenance</x:v>
      </x:c>
      <x:c r="C452" s="7" t="d">
        <x:v>2024-10-01T12:00:00.000Z</x:v>
      </x:c>
      <x:c r="D452" s="1" t="str">
        <x:v>Choquette CKS</x:v>
      </x:c>
      <x:c r="E452" s="1" t="str">
        <x:v>Cash</x:v>
      </x:c>
      <x:c r="F452" s="1" t="str">
        <x:v>J779</x:v>
      </x:c>
      <x:c r="G452" s="9" t="n">
        <x:v>1374.43</x:v>
      </x:c>
      <x:c r="H452" s="9" t="n">
        <x:v>0</x:v>
      </x:c>
      <x:c r="I452" s="1" t="n">
        <x:v>568</x:v>
      </x:c>
      <x:c r="J452" s="1"/>
      <x:c r="K452" s="1" t="str">
        <x:v>GRAND-LIVRE-ORIGINAL-feuille-1.csv, ligne 568</x:v>
      </x:c>
    </x:row>
    <x:row r="453" ht="22" customHeight="1">
      <x:c r="A453" s="1" t="str">
        <x:v>5765</x:v>
      </x:c>
      <x:c r="B453" s="1" t="str">
        <x:v>Repair &amp; Maintenance</x:v>
      </x:c>
      <x:c r="C453" s="7" t="d">
        <x:v>2024-11-01T12:00:00.000Z</x:v>
      </x:c>
      <x:c r="D453" s="1" t="str">
        <x:v>Frimabec</x:v>
      </x:c>
      <x:c r="E453" s="1" t="str">
        <x:v>Cash</x:v>
      </x:c>
      <x:c r="F453" s="1" t="str">
        <x:v>J789</x:v>
      </x:c>
      <x:c r="G453" s="9" t="n">
        <x:v>366</x:v>
      </x:c>
      <x:c r="H453" s="9" t="n">
        <x:v>0</x:v>
      </x:c>
      <x:c r="I453" s="1" t="n">
        <x:v>569</x:v>
      </x:c>
      <x:c r="J453" s="1"/>
      <x:c r="K453" s="1" t="str">
        <x:v>GRAND-LIVRE-ORIGINAL-feuille-1.csv, ligne 569</x:v>
      </x:c>
    </x:row>
    <x:row r="454" ht="22" customHeight="1">
      <x:c r="A454" s="1" t="str">
        <x:v>5765</x:v>
      </x:c>
      <x:c r="B454" s="1" t="str">
        <x:v>Repair &amp; Maintenance</x:v>
      </x:c>
      <x:c r="C454" s="7" t="d">
        <x:v>2024-11-08T12:00:00.000Z</x:v>
      </x:c>
      <x:c r="D454" s="1" t="str">
        <x:v>Renovation</x:v>
      </x:c>
      <x:c r="E454" s="1" t="str">
        <x:v>Cash</x:v>
      </x:c>
      <x:c r="F454" s="1" t="str">
        <x:v>J57</x:v>
      </x:c>
      <x:c r="G454" s="9" t="n">
        <x:v>260.92</x:v>
      </x:c>
      <x:c r="H454" s="9" t="n">
        <x:v>0</x:v>
      </x:c>
      <x:c r="I454" s="1" t="n">
        <x:v>570</x:v>
      </x:c>
      <x:c r="J454" s="1"/>
      <x:c r="K454" s="1" t="str">
        <x:v>GRAND-LIVRE-ORIGINAL-feuille-1.csv, ligne 570</x:v>
      </x:c>
    </x:row>
    <x:row r="455" ht="22" customHeight="1">
      <x:c r="A455" s="1" t="str">
        <x:v>5765</x:v>
      </x:c>
      <x:c r="B455" s="1" t="str">
        <x:v>Repair &amp; Maintenance</x:v>
      </x:c>
      <x:c r="C455" s="7" t="d">
        <x:v>2024-11-11T12:00:00.000Z</x:v>
      </x:c>
      <x:c r="D455" s="1" t="str">
        <x:v>Electriciens</x:v>
      </x:c>
      <x:c r="E455" s="1" t="str">
        <x:v>Cash</x:v>
      </x:c>
      <x:c r="F455" s="1" t="str">
        <x:v>J60</x:v>
      </x:c>
      <x:c r="G455" s="9" t="n">
        <x:v>173.95</x:v>
      </x:c>
      <x:c r="H455" s="9" t="n">
        <x:v>0</x:v>
      </x:c>
      <x:c r="I455" s="1" t="n">
        <x:v>571</x:v>
      </x:c>
      <x:c r="J455" s="1"/>
      <x:c r="K455" s="1" t="str">
        <x:v>GRAND-LIVRE-ORIGINAL-feuille-1.csv, ligne 571</x:v>
      </x:c>
    </x:row>
    <x:row r="456" ht="22" customHeight="1">
      <x:c r="A456" s="1" t="str">
        <x:v>5765</x:v>
      </x:c>
      <x:c r="B456" s="1" t="str">
        <x:v>Repair &amp; Maintenance</x:v>
      </x:c>
      <x:c r="C456" s="7" t="d">
        <x:v>2024-11-11T12:00:00.000Z</x:v>
      </x:c>
      <x:c r="D456" s="1" t="str">
        <x:v>Electriciens</x:v>
      </x:c>
      <x:c r="E456" s="1" t="str">
        <x:v>Cash</x:v>
      </x:c>
      <x:c r="F456" s="1" t="str">
        <x:v>J61</x:v>
      </x:c>
      <x:c r="G456" s="9" t="n">
        <x:v>86.97</x:v>
      </x:c>
      <x:c r="H456" s="9" t="n">
        <x:v>0</x:v>
      </x:c>
      <x:c r="I456" s="1" t="n">
        <x:v>572</x:v>
      </x:c>
      <x:c r="J456" s="1"/>
      <x:c r="K456" s="1" t="str">
        <x:v>GRAND-LIVRE-ORIGINAL-feuille-1.csv, ligne 572</x:v>
      </x:c>
    </x:row>
    <x:row r="457" ht="22" customHeight="1">
      <x:c r="A457" s="1" t="str">
        <x:v>5765</x:v>
      </x:c>
      <x:c r="B457" s="1" t="str">
        <x:v>Repair &amp; Maintenance</x:v>
      </x:c>
      <x:c r="C457" s="7" t="d">
        <x:v>2024-11-15T12:00:00.000Z</x:v>
      </x:c>
      <x:c r="D457" s="1" t="str">
        <x:v>Electriciens</x:v>
      </x:c>
      <x:c r="E457" s="1" t="str">
        <x:v>Cash</x:v>
      </x:c>
      <x:c r="F457" s="1" t="str">
        <x:v>J68</x:v>
      </x:c>
      <x:c r="G457" s="9" t="n">
        <x:v>173.95</x:v>
      </x:c>
      <x:c r="H457" s="9" t="n">
        <x:v>0</x:v>
      </x:c>
      <x:c r="I457" s="1" t="n">
        <x:v>573</x:v>
      </x:c>
      <x:c r="J457" s="1"/>
      <x:c r="K457" s="1" t="str">
        <x:v>GRAND-LIVRE-ORIGINAL-feuille-1.csv, ligne 573</x:v>
      </x:c>
    </x:row>
    <x:row r="458" ht="22" customHeight="1">
      <x:c r="A458" s="1" t="str">
        <x:v>5765</x:v>
      </x:c>
      <x:c r="B458" s="1" t="str">
        <x:v>Repair &amp; Maintenance</x:v>
      </x:c>
      <x:c r="C458" s="7" t="d">
        <x:v>2024-12-05T12:00:00.000Z</x:v>
      </x:c>
      <x:c r="D458" s="1" t="str">
        <x:v>Home Depot</x:v>
      </x:c>
      <x:c r="E458" s="1" t="str">
        <x:v>Cash</x:v>
      </x:c>
      <x:c r="F458" s="1" t="str">
        <x:v>J105</x:v>
      </x:c>
      <x:c r="G458" s="9" t="n">
        <x:v>26.72</x:v>
      </x:c>
      <x:c r="H458" s="9" t="n">
        <x:v>0</x:v>
      </x:c>
      <x:c r="I458" s="1" t="n">
        <x:v>574</x:v>
      </x:c>
      <x:c r="J458" s="1"/>
      <x:c r="K458" s="1" t="str">
        <x:v>GRAND-LIVRE-ORIGINAL-feuille-1.csv, ligne 574</x:v>
      </x:c>
    </x:row>
    <x:row r="459" ht="22" customHeight="1">
      <x:c r="A459" s="1" t="str">
        <x:v>5765</x:v>
      </x:c>
      <x:c r="B459" s="1" t="str">
        <x:v>Repair &amp; Maintenance</x:v>
      </x:c>
      <x:c r="C459" s="7" t="d">
        <x:v>2024-12-09T12:00:00.000Z</x:v>
      </x:c>
      <x:c r="D459" s="1" t="str">
        <x:v>Home Depot</x:v>
      </x:c>
      <x:c r="E459" s="1" t="str">
        <x:v>Cash</x:v>
      </x:c>
      <x:c r="F459" s="1" t="str">
        <x:v>J116</x:v>
      </x:c>
      <x:c r="G459" s="9" t="n">
        <x:v>21.76</x:v>
      </x:c>
      <x:c r="H459" s="9" t="n">
        <x:v>0</x:v>
      </x:c>
      <x:c r="I459" s="1" t="n">
        <x:v>575</x:v>
      </x:c>
      <x:c r="J459" s="1"/>
      <x:c r="K459" s="1" t="str">
        <x:v>GRAND-LIVRE-ORIGINAL-feuille-1.csv, ligne 575</x:v>
      </x:c>
    </x:row>
    <x:row r="460" ht="22" customHeight="1">
      <x:c r="A460" s="1" t="str">
        <x:v>5765</x:v>
      </x:c>
      <x:c r="B460" s="1" t="str">
        <x:v>Repair &amp; Maintenance</x:v>
      </x:c>
      <x:c r="C460" s="7" t="d">
        <x:v>2024-12-11T12:00:00.000Z</x:v>
      </x:c>
      <x:c r="D460" s="1" t="str">
        <x:v>Home Depot</x:v>
      </x:c>
      <x:c r="E460" s="1" t="str">
        <x:v>Cash</x:v>
      </x:c>
      <x:c r="F460" s="1" t="str">
        <x:v>J130</x:v>
      </x:c>
      <x:c r="G460" s="9" t="n">
        <x:v>95.16</x:v>
      </x:c>
      <x:c r="H460" s="9" t="n">
        <x:v>0</x:v>
      </x:c>
      <x:c r="I460" s="1" t="n">
        <x:v>576</x:v>
      </x:c>
      <x:c r="J460" s="1"/>
      <x:c r="K460" s="1" t="str">
        <x:v>GRAND-LIVRE-ORIGINAL-feuille-1.csv, ligne 576</x:v>
      </x:c>
    </x:row>
    <x:row r="461" ht="22" customHeight="1">
      <x:c r="A461" s="1" t="str">
        <x:v>5765</x:v>
      </x:c>
      <x:c r="B461" s="1" t="str">
        <x:v>Repair &amp; Maintenance</x:v>
      </x:c>
      <x:c r="C461" s="7" t="d">
        <x:v>2024-12-13T12:00:00.000Z</x:v>
      </x:c>
      <x:c r="D461" s="1" t="str">
        <x:v>Renovation</x:v>
      </x:c>
      <x:c r="E461" s="1" t="str">
        <x:v>Cash</x:v>
      </x:c>
      <x:c r="F461" s="1" t="str">
        <x:v>J142</x:v>
      </x:c>
      <x:c r="G461" s="9" t="n">
        <x:v>217.44</x:v>
      </x:c>
      <x:c r="H461" s="9" t="n">
        <x:v>0</x:v>
      </x:c>
      <x:c r="I461" s="1" t="n">
        <x:v>577</x:v>
      </x:c>
      <x:c r="J461" s="1"/>
      <x:c r="K461" s="1" t="str">
        <x:v>GRAND-LIVRE-ORIGINAL-feuille-1.csv, ligne 577</x:v>
      </x:c>
    </x:row>
    <x:row r="462" ht="22" customHeight="1">
      <x:c r="A462" s="1" t="str">
        <x:v>5765</x:v>
      </x:c>
      <x:c r="B462" s="1" t="str">
        <x:v>Repair &amp; Maintenance</x:v>
      </x:c>
      <x:c r="C462" s="7" t="d">
        <x:v>2024-12-23T12:00:00.000Z</x:v>
      </x:c>
      <x:c r="D462" s="1" t="str">
        <x:v>Home Depot</x:v>
      </x:c>
      <x:c r="E462" s="1" t="str">
        <x:v>Cash</x:v>
      </x:c>
      <x:c r="F462" s="1" t="str">
        <x:v>J159</x:v>
      </x:c>
      <x:c r="G462" s="9" t="n">
        <x:v>13.92</x:v>
      </x:c>
      <x:c r="H462" s="9" t="n">
        <x:v>0</x:v>
      </x:c>
      <x:c r="I462" s="1" t="n">
        <x:v>578</x:v>
      </x:c>
      <x:c r="J462" s="1"/>
      <x:c r="K462" s="1" t="str">
        <x:v>GRAND-LIVRE-ORIGINAL-feuille-1.csv, ligne 578</x:v>
      </x:c>
    </x:row>
    <x:row r="463" ht="22" customHeight="1">
      <x:c r="A463" s="1" t="str">
        <x:v>5765</x:v>
      </x:c>
      <x:c r="B463" s="1" t="str">
        <x:v>Repair &amp; Maintenance</x:v>
      </x:c>
      <x:c r="C463" s="7" t="d">
        <x:v>2024-12-23T12:00:00.000Z</x:v>
      </x:c>
      <x:c r="D463" s="1" t="str">
        <x:v>Renovation</x:v>
      </x:c>
      <x:c r="E463" s="1" t="str">
        <x:v>Cash</x:v>
      </x:c>
      <x:c r="F463" s="1" t="str">
        <x:v>J161</x:v>
      </x:c>
      <x:c r="G463" s="9" t="n">
        <x:v>108.72</x:v>
      </x:c>
      <x:c r="H463" s="9" t="n">
        <x:v>0</x:v>
      </x:c>
      <x:c r="I463" s="1" t="n">
        <x:v>579</x:v>
      </x:c>
      <x:c r="J463" s="1"/>
      <x:c r="K463" s="1" t="str">
        <x:v>GRAND-LIVRE-ORIGINAL-feuille-1.csv, ligne 579</x:v>
      </x:c>
    </x:row>
    <x:row r="464" ht="22" customHeight="1">
      <x:c r="A464" s="1" t="str">
        <x:v>5765</x:v>
      </x:c>
      <x:c r="B464" s="1" t="str">
        <x:v>Repair &amp; Maintenance</x:v>
      </x:c>
      <x:c r="C464" s="7" t="d">
        <x:v>2025-01-01T12:00:00.000Z</x:v>
      </x:c>
      <x:c r="D464" s="1" t="str">
        <x:v>Frimabec</x:v>
      </x:c>
      <x:c r="E464" s="1" t="str">
        <x:v>Cash</x:v>
      </x:c>
      <x:c r="F464" s="1" t="str">
        <x:v>J791</x:v>
      </x:c>
      <x:c r="G464" s="9" t="n">
        <x:v>399.22</x:v>
      </x:c>
      <x:c r="H464" s="9" t="n">
        <x:v>0</x:v>
      </x:c>
      <x:c r="I464" s="1" t="n">
        <x:v>580</x:v>
      </x:c>
      <x:c r="J464" s="1"/>
      <x:c r="K464" s="1" t="str">
        <x:v>GRAND-LIVRE-ORIGINAL-feuille-1.csv, ligne 580</x:v>
      </x:c>
    </x:row>
    <x:row r="465" ht="22" customHeight="1">
      <x:c r="A465" s="1" t="str">
        <x:v>5765</x:v>
      </x:c>
      <x:c r="B465" s="1" t="str">
        <x:v>Repair &amp; Maintenance</x:v>
      </x:c>
      <x:c r="C465" s="7" t="d">
        <x:v>2025-01-03T12:00:00.000Z</x:v>
      </x:c>
      <x:c r="D465" s="1" t="str">
        <x:v>Canadian Tire</x:v>
      </x:c>
      <x:c r="E465" s="1" t="str">
        <x:v>Cash</x:v>
      </x:c>
      <x:c r="F465" s="1" t="str">
        <x:v>J207</x:v>
      </x:c>
      <x:c r="G465" s="9" t="n">
        <x:v>308.68</x:v>
      </x:c>
      <x:c r="H465" s="9" t="n">
        <x:v>0</x:v>
      </x:c>
      <x:c r="I465" s="1" t="n">
        <x:v>581</x:v>
      </x:c>
      <x:c r="J465" s="1"/>
      <x:c r="K465" s="1" t="str">
        <x:v>GRAND-LIVRE-ORIGINAL-feuille-1.csv, ligne 581</x:v>
      </x:c>
    </x:row>
    <x:row r="466" ht="22" customHeight="1">
      <x:c r="A466" s="1" t="str">
        <x:v>5765</x:v>
      </x:c>
      <x:c r="B466" s="1" t="str">
        <x:v>Repair &amp; Maintenance</x:v>
      </x:c>
      <x:c r="C466" s="7" t="d">
        <x:v>2025-01-06T12:00:00.000Z</x:v>
      </x:c>
      <x:c r="D466" s="1" t="str">
        <x:v>Home Depot</x:v>
      </x:c>
      <x:c r="E466" s="1" t="str">
        <x:v>Cash</x:v>
      </x:c>
      <x:c r="F466" s="1" t="str">
        <x:v>J212</x:v>
      </x:c>
      <x:c r="G466" s="9" t="n">
        <x:v>57.19</x:v>
      </x:c>
      <x:c r="H466" s="9" t="n">
        <x:v>0</x:v>
      </x:c>
      <x:c r="I466" s="1" t="n">
        <x:v>582</x:v>
      </x:c>
      <x:c r="J466" s="1"/>
      <x:c r="K466" s="1" t="str">
        <x:v>GRAND-LIVRE-ORIGINAL-feuille-1.csv, ligne 582</x:v>
      </x:c>
    </x:row>
    <x:row r="467" ht="22" customHeight="1">
      <x:c r="A467" s="1" t="str">
        <x:v>5765</x:v>
      </x:c>
      <x:c r="B467" s="1" t="str">
        <x:v>Repair &amp; Maintenance</x:v>
      </x:c>
      <x:c r="C467" s="7" t="d">
        <x:v>2025-01-06T12:00:00.000Z</x:v>
      </x:c>
      <x:c r="D467" s="1" t="str">
        <x:v>Home Depot</x:v>
      </x:c>
      <x:c r="E467" s="1" t="str">
        <x:v>Cash</x:v>
      </x:c>
      <x:c r="F467" s="1" t="str">
        <x:v>J213</x:v>
      </x:c>
      <x:c r="G467" s="9" t="n">
        <x:v>30.89</x:v>
      </x:c>
      <x:c r="H467" s="9" t="n">
        <x:v>0</x:v>
      </x:c>
      <x:c r="I467" s="1" t="n">
        <x:v>583</x:v>
      </x:c>
      <x:c r="J467" s="1"/>
      <x:c r="K467" s="1" t="str">
        <x:v>GRAND-LIVRE-ORIGINAL-feuille-1.csv, ligne 583</x:v>
      </x:c>
    </x:row>
    <x:row r="468" ht="22" customHeight="1">
      <x:c r="A468" s="1" t="str">
        <x:v>5765</x:v>
      </x:c>
      <x:c r="B468" s="1" t="str">
        <x:v>Repair &amp; Maintenance</x:v>
      </x:c>
      <x:c r="C468" s="7" t="d">
        <x:v>2025-01-06T12:00:00.000Z</x:v>
      </x:c>
      <x:c r="D468" s="1" t="str">
        <x:v>Home Depot</x:v>
      </x:c>
      <x:c r="E468" s="1" t="str">
        <x:v>Cash</x:v>
      </x:c>
      <x:c r="F468" s="1" t="str">
        <x:v>J216</x:v>
      </x:c>
      <x:c r="G468" s="9" t="n">
        <x:v>37.21</x:v>
      </x:c>
      <x:c r="H468" s="9" t="n">
        <x:v>0</x:v>
      </x:c>
      <x:c r="I468" s="1" t="n">
        <x:v>584</x:v>
      </x:c>
      <x:c r="J468" s="1"/>
      <x:c r="K468" s="1" t="str">
        <x:v>GRAND-LIVRE-ORIGINAL-feuille-1.csv, ligne 584</x:v>
      </x:c>
    </x:row>
    <x:row r="469" ht="22" customHeight="1">
      <x:c r="A469" s="1" t="str">
        <x:v>5765</x:v>
      </x:c>
      <x:c r="B469" s="1" t="str">
        <x:v>Repair &amp; Maintenance</x:v>
      </x:c>
      <x:c r="C469" s="7" t="d">
        <x:v>2025-01-06T12:00:00.000Z</x:v>
      </x:c>
      <x:c r="D469" s="1" t="str">
        <x:v>Home Depot</x:v>
      </x:c>
      <x:c r="E469" s="1" t="str">
        <x:v>Cash</x:v>
      </x:c>
      <x:c r="F469" s="1" t="str">
        <x:v>J217</x:v>
      </x:c>
      <x:c r="G469" s="9" t="n">
        <x:v>90.43</x:v>
      </x:c>
      <x:c r="H469" s="9" t="n">
        <x:v>0</x:v>
      </x:c>
      <x:c r="I469" s="1" t="n">
        <x:v>585</x:v>
      </x:c>
      <x:c r="J469" s="1"/>
      <x:c r="K469" s="1" t="str">
        <x:v>GRAND-LIVRE-ORIGINAL-feuille-1.csv, ligne 585</x:v>
      </x:c>
    </x:row>
    <x:row r="470" ht="22" customHeight="1">
      <x:c r="A470" s="1" t="str">
        <x:v>5765</x:v>
      </x:c>
      <x:c r="B470" s="1" t="str">
        <x:v>Repair &amp; Maintenance</x:v>
      </x:c>
      <x:c r="C470" s="7" t="d">
        <x:v>2025-01-09T12:00:00.000Z</x:v>
      </x:c>
      <x:c r="D470" s="1" t="str">
        <x:v>Home Depot</x:v>
      </x:c>
      <x:c r="E470" s="1" t="str">
        <x:v>Cash</x:v>
      </x:c>
      <x:c r="F470" s="1" t="str">
        <x:v>J234</x:v>
      </x:c>
      <x:c r="G470" s="9" t="n">
        <x:v>71.69</x:v>
      </x:c>
      <x:c r="H470" s="9" t="n">
        <x:v>0</x:v>
      </x:c>
      <x:c r="I470" s="1" t="n">
        <x:v>586</x:v>
      </x:c>
      <x:c r="J470" s="1"/>
      <x:c r="K470" s="1" t="str">
        <x:v>GRAND-LIVRE-ORIGINAL-feuille-1.csv, ligne 586</x:v>
      </x:c>
    </x:row>
    <x:row r="471" ht="22" customHeight="1">
      <x:c r="A471" s="1" t="str">
        <x:v>5765</x:v>
      </x:c>
      <x:c r="B471" s="1" t="str">
        <x:v>Repair &amp; Maintenance</x:v>
      </x:c>
      <x:c r="C471" s="7" t="d">
        <x:v>2025-01-09T12:00:00.000Z</x:v>
      </x:c>
      <x:c r="D471" s="1" t="str">
        <x:v>Home Depot</x:v>
      </x:c>
      <x:c r="E471" s="1" t="str">
        <x:v>Cash</x:v>
      </x:c>
      <x:c r="F471" s="1" t="str">
        <x:v>J235</x:v>
      </x:c>
      <x:c r="G471" s="9" t="n">
        <x:v>46.14</x:v>
      </x:c>
      <x:c r="H471" s="9" t="n">
        <x:v>0</x:v>
      </x:c>
      <x:c r="I471" s="1" t="n">
        <x:v>587</x:v>
      </x:c>
      <x:c r="J471" s="1"/>
      <x:c r="K471" s="1" t="str">
        <x:v>GRAND-LIVRE-ORIGINAL-feuille-1.csv, ligne 587</x:v>
      </x:c>
    </x:row>
    <x:row r="472" ht="22" customHeight="1">
      <x:c r="A472" s="1" t="str">
        <x:v>5765</x:v>
      </x:c>
      <x:c r="B472" s="1" t="str">
        <x:v>Repair &amp; Maintenance</x:v>
      </x:c>
      <x:c r="C472" s="7" t="d">
        <x:v>2025-01-21T12:00:00.000Z</x:v>
      </x:c>
      <x:c r="D472" s="1" t="str">
        <x:v>Renovation</x:v>
      </x:c>
      <x:c r="E472" s="1" t="str">
        <x:v>Cash</x:v>
      </x:c>
      <x:c r="F472" s="1" t="str">
        <x:v>J245</x:v>
      </x:c>
      <x:c r="G472" s="9" t="n">
        <x:v>130.47</x:v>
      </x:c>
      <x:c r="H472" s="9" t="n">
        <x:v>0</x:v>
      </x:c>
      <x:c r="I472" s="1" t="n">
        <x:v>588</x:v>
      </x:c>
      <x:c r="J472" s="1"/>
      <x:c r="K472" s="1" t="str">
        <x:v>GRAND-LIVRE-ORIGINAL-feuille-1.csv, ligne 588</x:v>
      </x:c>
    </x:row>
    <x:row r="473" ht="22" customHeight="1">
      <x:c r="A473" s="1" t="str">
        <x:v>5765</x:v>
      </x:c>
      <x:c r="B473" s="1" t="str">
        <x:v>Repair &amp; Maintenance</x:v>
      </x:c>
      <x:c r="C473" s="7" t="d">
        <x:v>2025-02-01T12:00:00.000Z</x:v>
      </x:c>
      <x:c r="D473" s="1" t="str">
        <x:v>Home Depot</x:v>
      </x:c>
      <x:c r="E473" s="1" t="str">
        <x:v>Cash</x:v>
      </x:c>
      <x:c r="F473" s="1" t="str">
        <x:v>J405</x:v>
      </x:c>
      <x:c r="G473" s="9" t="n">
        <x:v>172.61</x:v>
      </x:c>
      <x:c r="H473" s="9" t="n">
        <x:v>0</x:v>
      </x:c>
      <x:c r="I473" s="1" t="n">
        <x:v>589</x:v>
      </x:c>
      <x:c r="J473" s="1"/>
      <x:c r="K473" s="1" t="str">
        <x:v>GRAND-LIVRE-ORIGINAL-feuille-1.csv, ligne 589</x:v>
      </x:c>
    </x:row>
    <x:row r="474" ht="22" customHeight="1">
      <x:c r="A474" s="1" t="str">
        <x:v>5765</x:v>
      </x:c>
      <x:c r="B474" s="1" t="str">
        <x:v>Repair &amp; Maintenance</x:v>
      </x:c>
      <x:c r="C474" s="7" t="d">
        <x:v>2025-02-01T12:00:00.000Z</x:v>
      </x:c>
      <x:c r="D474" s="1" t="str">
        <x:v>Choquette CKS</x:v>
      </x:c>
      <x:c r="E474" s="1" t="str">
        <x:v>Cash</x:v>
      </x:c>
      <x:c r="F474" s="1" t="str">
        <x:v>J753</x:v>
      </x:c>
      <x:c r="G474" s="9" t="n">
        <x:v>6091.85</x:v>
      </x:c>
      <x:c r="H474" s="9" t="n">
        <x:v>0</x:v>
      </x:c>
      <x:c r="I474" s="1" t="n">
        <x:v>590</x:v>
      </x:c>
      <x:c r="J474" s="1"/>
      <x:c r="K474" s="1" t="str">
        <x:v>GRAND-LIVRE-ORIGINAL-feuille-1.csv, ligne 590</x:v>
      </x:c>
    </x:row>
    <x:row r="475" ht="22" customHeight="1">
      <x:c r="A475" s="1" t="str">
        <x:v>5765</x:v>
      </x:c>
      <x:c r="B475" s="1" t="str">
        <x:v>Repair &amp; Maintenance</x:v>
      </x:c>
      <x:c r="C475" s="7" t="d">
        <x:v>2025-03-01T12:00:00.000Z</x:v>
      </x:c>
      <x:c r="D475" s="1" t="str">
        <x:v>Home Depot</x:v>
      </x:c>
      <x:c r="E475" s="1" t="str">
        <x:v>Cash</x:v>
      </x:c>
      <x:c r="F475" s="1" t="str">
        <x:v>J411</x:v>
      </x:c>
      <x:c r="G475" s="9" t="n">
        <x:v>120.9</x:v>
      </x:c>
      <x:c r="H475" s="9" t="n">
        <x:v>0</x:v>
      </x:c>
      <x:c r="I475" s="1" t="n">
        <x:v>591</x:v>
      </x:c>
      <x:c r="J475" s="1"/>
      <x:c r="K475" s="1" t="str">
        <x:v>GRAND-LIVRE-ORIGINAL-feuille-1.csv, ligne 591</x:v>
      </x:c>
    </x:row>
    <x:row r="476" ht="22" customHeight="1">
      <x:c r="A476" s="1" t="str">
        <x:v>5765</x:v>
      </x:c>
      <x:c r="B476" s="1" t="str">
        <x:v>Repair &amp; Maintenance</x:v>
      </x:c>
      <x:c r="C476" s="7" t="d">
        <x:v>2025-03-01T12:00:00.000Z</x:v>
      </x:c>
      <x:c r="D476" s="1" t="str">
        <x:v>Home Depot</x:v>
      </x:c>
      <x:c r="E476" s="1" t="str">
        <x:v>Cash</x:v>
      </x:c>
      <x:c r="F476" s="1" t="str">
        <x:v>J412</x:v>
      </x:c>
      <x:c r="G476" s="9" t="n">
        <x:v>17.7</x:v>
      </x:c>
      <x:c r="H476" s="9" t="n">
        <x:v>0</x:v>
      </x:c>
      <x:c r="I476" s="1" t="n">
        <x:v>592</x:v>
      </x:c>
      <x:c r="J476" s="1"/>
      <x:c r="K476" s="1" t="str">
        <x:v>GRAND-LIVRE-ORIGINAL-feuille-1.csv, ligne 592</x:v>
      </x:c>
    </x:row>
    <x:row r="477" ht="22" customHeight="1">
      <x:c r="A477" s="1" t="str">
        <x:v>5765</x:v>
      </x:c>
      <x:c r="B477" s="1" t="str">
        <x:v>Repair &amp; Maintenance</x:v>
      </x:c>
      <x:c r="C477" s="7" t="d">
        <x:v>2025-03-01T12:00:00.000Z</x:v>
      </x:c>
      <x:c r="D477" s="1" t="str">
        <x:v>Home Depot</x:v>
      </x:c>
      <x:c r="E477" s="1" t="str">
        <x:v>Cash</x:v>
      </x:c>
      <x:c r="F477" s="1" t="str">
        <x:v>J413</x:v>
      </x:c>
      <x:c r="G477" s="9" t="n">
        <x:v>26.55</x:v>
      </x:c>
      <x:c r="H477" s="9" t="n">
        <x:v>0</x:v>
      </x:c>
      <x:c r="I477" s="1" t="n">
        <x:v>593</x:v>
      </x:c>
      <x:c r="J477" s="1"/>
      <x:c r="K477" s="1" t="str">
        <x:v>GRAND-LIVRE-ORIGINAL-feuille-1.csv, ligne 593</x:v>
      </x:c>
    </x:row>
    <x:row r="478" ht="22" customHeight="1">
      <x:c r="A478" s="1" t="str">
        <x:v>5765</x:v>
      </x:c>
      <x:c r="B478" s="1" t="str">
        <x:v>Repair &amp; Maintenance</x:v>
      </x:c>
      <x:c r="C478" s="7" t="d">
        <x:v>2025-03-01T12:00:00.000Z</x:v>
      </x:c>
      <x:c r="D478" s="1" t="str">
        <x:v>Home Depot</x:v>
      </x:c>
      <x:c r="E478" s="1" t="str">
        <x:v>Cash</x:v>
      </x:c>
      <x:c r="F478" s="1" t="str">
        <x:v>J414</x:v>
      </x:c>
      <x:c r="G478" s="9" t="n">
        <x:v>18.98</x:v>
      </x:c>
      <x:c r="H478" s="9" t="n">
        <x:v>0</x:v>
      </x:c>
      <x:c r="I478" s="1" t="n">
        <x:v>594</x:v>
      </x:c>
      <x:c r="J478" s="1"/>
      <x:c r="K478" s="1" t="str">
        <x:v>GRAND-LIVRE-ORIGINAL-feuille-1.csv, ligne 594</x:v>
      </x:c>
    </x:row>
    <x:row r="479" ht="22" customHeight="1">
      <x:c r="A479" s="1" t="str">
        <x:v>5765</x:v>
      </x:c>
      <x:c r="B479" s="1" t="str">
        <x:v>Repair &amp; Maintenance</x:v>
      </x:c>
      <x:c r="C479" s="7" t="d">
        <x:v>2025-03-01T12:00:00.000Z</x:v>
      </x:c>
      <x:c r="D479" s="1" t="str">
        <x:v>Home Depot</x:v>
      </x:c>
      <x:c r="E479" s="1" t="str">
        <x:v>Cash</x:v>
      </x:c>
      <x:c r="F479" s="1" t="str">
        <x:v>J415</x:v>
      </x:c>
      <x:c r="G479" s="9" t="n">
        <x:v>6.44</x:v>
      </x:c>
      <x:c r="H479" s="9" t="n">
        <x:v>0</x:v>
      </x:c>
      <x:c r="I479" s="1" t="n">
        <x:v>595</x:v>
      </x:c>
      <x:c r="J479" s="1"/>
      <x:c r="K479" s="1" t="str">
        <x:v>GRAND-LIVRE-ORIGINAL-feuille-1.csv, ligne 595</x:v>
      </x:c>
    </x:row>
    <x:row r="480" ht="22" customHeight="1">
      <x:c r="A480" s="1" t="str">
        <x:v>5765</x:v>
      </x:c>
      <x:c r="B480" s="1" t="str">
        <x:v>Repair &amp; Maintenance</x:v>
      </x:c>
      <x:c r="C480" s="7" t="d">
        <x:v>2025-03-01T12:00:00.000Z</x:v>
      </x:c>
      <x:c r="D480" s="1" t="str">
        <x:v>Home Depot</x:v>
      </x:c>
      <x:c r="E480" s="1" t="str">
        <x:v>Cash</x:v>
      </x:c>
      <x:c r="F480" s="1" t="str">
        <x:v>J422</x:v>
      </x:c>
      <x:c r="G480" s="9" t="n">
        <x:v>95.15</x:v>
      </x:c>
      <x:c r="H480" s="9" t="n">
        <x:v>0</x:v>
      </x:c>
      <x:c r="I480" s="1" t="n">
        <x:v>596</x:v>
      </x:c>
      <x:c r="J480" s="1"/>
      <x:c r="K480" s="1" t="str">
        <x:v>GRAND-LIVRE-ORIGINAL-feuille-1.csv, ligne 596</x:v>
      </x:c>
    </x:row>
    <x:row r="481" ht="22" customHeight="1">
      <x:c r="A481" s="1" t="str">
        <x:v>5765</x:v>
      </x:c>
      <x:c r="B481" s="1" t="str">
        <x:v>Repair &amp; Maintenance</x:v>
      </x:c>
      <x:c r="C481" s="7" t="d">
        <x:v>2025-03-01T12:00:00.000Z</x:v>
      </x:c>
      <x:c r="D481" s="1" t="str">
        <x:v>Home Depot</x:v>
      </x:c>
      <x:c r="E481" s="1" t="str">
        <x:v>Cash</x:v>
      </x:c>
      <x:c r="F481" s="1" t="str">
        <x:v>J423</x:v>
      </x:c>
      <x:c r="G481" s="9" t="n">
        <x:v>59.95</x:v>
      </x:c>
      <x:c r="H481" s="9" t="n">
        <x:v>0</x:v>
      </x:c>
      <x:c r="I481" s="1" t="n">
        <x:v>597</x:v>
      </x:c>
      <x:c r="J481" s="1"/>
      <x:c r="K481" s="1" t="str">
        <x:v>GRAND-LIVRE-ORIGINAL-feuille-1.csv, ligne 597</x:v>
      </x:c>
    </x:row>
    <x:row r="482" ht="22" customHeight="1">
      <x:c r="A482" s="1" t="str">
        <x:v>5765</x:v>
      </x:c>
      <x:c r="B482" s="1" t="str">
        <x:v>Repair &amp; Maintenance</x:v>
      </x:c>
      <x:c r="C482" s="7" t="d">
        <x:v>2025-03-01T12:00:00.000Z</x:v>
      </x:c>
      <x:c r="D482" s="1" t="str">
        <x:v>Home Depot</x:v>
      </x:c>
      <x:c r="E482" s="1" t="str">
        <x:v>Cash</x:v>
      </x:c>
      <x:c r="F482" s="1" t="str">
        <x:v>J432</x:v>
      </x:c>
      <x:c r="G482" s="9" t="n">
        <x:v>129</x:v>
      </x:c>
      <x:c r="H482" s="9" t="n">
        <x:v>0</x:v>
      </x:c>
      <x:c r="I482" s="1" t="n">
        <x:v>598</x:v>
      </x:c>
      <x:c r="J482" s="1"/>
      <x:c r="K482" s="1" t="str">
        <x:v>GRAND-LIVRE-ORIGINAL-feuille-1.csv, ligne 598</x:v>
      </x:c>
    </x:row>
    <x:row r="483" ht="22" customHeight="1">
      <x:c r="A483" s="1" t="str">
        <x:v>5765</x:v>
      </x:c>
      <x:c r="B483" s="1" t="str">
        <x:v>Repair &amp; Maintenance</x:v>
      </x:c>
      <x:c r="C483" s="7" t="d">
        <x:v>2025-03-01T12:00:00.000Z</x:v>
      </x:c>
      <x:c r="D483" s="1" t="str">
        <x:v>Canadian Tire</x:v>
      </x:c>
      <x:c r="E483" s="1" t="str">
        <x:v>Cash</x:v>
      </x:c>
      <x:c r="F483" s="1" t="str">
        <x:v>J468</x:v>
      </x:c>
      <x:c r="G483" s="9" t="n">
        <x:v>83.24</x:v>
      </x:c>
      <x:c r="H483" s="9" t="n">
        <x:v>0</x:v>
      </x:c>
      <x:c r="I483" s="1" t="n">
        <x:v>599</x:v>
      </x:c>
      <x:c r="J483" s="1"/>
      <x:c r="K483" s="1" t="str">
        <x:v>GRAND-LIVRE-ORIGINAL-feuille-1.csv, ligne 599</x:v>
      </x:c>
    </x:row>
    <x:row r="484" ht="22" customHeight="1">
      <x:c r="A484" s="1" t="str">
        <x:v>5765</x:v>
      </x:c>
      <x:c r="B484" s="1" t="str">
        <x:v>Repair &amp; Maintenance</x:v>
      </x:c>
      <x:c r="C484" s="7" t="d">
        <x:v>2025-03-01T12:00:00.000Z</x:v>
      </x:c>
      <x:c r="D484" s="1" t="str">
        <x:v>Canadian Tire</x:v>
      </x:c>
      <x:c r="E484" s="1" t="str">
        <x:v>Cash</x:v>
      </x:c>
      <x:c r="F484" s="1" t="str">
        <x:v>J469</x:v>
      </x:c>
      <x:c r="G484" s="9" t="n">
        <x:v>38.26</x:v>
      </x:c>
      <x:c r="H484" s="9" t="n">
        <x:v>0</x:v>
      </x:c>
      <x:c r="I484" s="1" t="n">
        <x:v>600</x:v>
      </x:c>
      <x:c r="J484" s="1"/>
      <x:c r="K484" s="1" t="str">
        <x:v>GRAND-LIVRE-ORIGINAL-feuille-1.csv, ligne 600</x:v>
      </x:c>
    </x:row>
    <x:row r="485" ht="22" customHeight="1">
      <x:c r="A485" s="1" t="str">
        <x:v>5765</x:v>
      </x:c>
      <x:c r="B485" s="1" t="str">
        <x:v>Repair &amp; Maintenance</x:v>
      </x:c>
      <x:c r="C485" s="7" t="d">
        <x:v>2025-03-01T12:00:00.000Z</x:v>
      </x:c>
      <x:c r="D485" s="1" t="str">
        <x:v>Home Depot</x:v>
      </x:c>
      <x:c r="E485" s="1" t="str">
        <x:v>Cash</x:v>
      </x:c>
      <x:c r="F485" s="1" t="str">
        <x:v>J470</x:v>
      </x:c>
      <x:c r="G485" s="9" t="n">
        <x:v>20.84</x:v>
      </x:c>
      <x:c r="H485" s="9" t="n">
        <x:v>0</x:v>
      </x:c>
      <x:c r="I485" s="1" t="n">
        <x:v>601</x:v>
      </x:c>
      <x:c r="J485" s="1"/>
      <x:c r="K485" s="1" t="str">
        <x:v>GRAND-LIVRE-ORIGINAL-feuille-1.csv, ligne 601</x:v>
      </x:c>
    </x:row>
    <x:row r="486" ht="22" customHeight="1">
      <x:c r="A486" s="1" t="str">
        <x:v>5765</x:v>
      </x:c>
      <x:c r="B486" s="1" t="str">
        <x:v>Repair &amp; Maintenance</x:v>
      </x:c>
      <x:c r="C486" s="7" t="d">
        <x:v>2025-03-01T12:00:00.000Z</x:v>
      </x:c>
      <x:c r="D486" s="1" t="str">
        <x:v>Home Depot</x:v>
      </x:c>
      <x:c r="E486" s="1" t="str">
        <x:v>Cash</x:v>
      </x:c>
      <x:c r="F486" s="1" t="str">
        <x:v>J471</x:v>
      </x:c>
      <x:c r="G486" s="9" t="n">
        <x:v>20.84</x:v>
      </x:c>
      <x:c r="H486" s="9" t="n">
        <x:v>0</x:v>
      </x:c>
      <x:c r="I486" s="1" t="n">
        <x:v>602</x:v>
      </x:c>
      <x:c r="J486" s="1"/>
      <x:c r="K486" s="1" t="str">
        <x:v>GRAND-LIVRE-ORIGINAL-feuille-1.csv, ligne 602</x:v>
      </x:c>
    </x:row>
    <x:row r="487" ht="22" customHeight="1">
      <x:c r="A487" s="1" t="str">
        <x:v>5765</x:v>
      </x:c>
      <x:c r="B487" s="1" t="str">
        <x:v>Repair &amp; Maintenance</x:v>
      </x:c>
      <x:c r="C487" s="7" t="d">
        <x:v>2025-03-01T12:00:00.000Z</x:v>
      </x:c>
      <x:c r="D487" s="1" t="str">
        <x:v>Home Depot</x:v>
      </x:c>
      <x:c r="E487" s="1" t="str">
        <x:v>Cash</x:v>
      </x:c>
      <x:c r="F487" s="1" t="str">
        <x:v>J472</x:v>
      </x:c>
      <x:c r="G487" s="9" t="n">
        <x:v>25.98</x:v>
      </x:c>
      <x:c r="H487" s="9" t="n">
        <x:v>0</x:v>
      </x:c>
      <x:c r="I487" s="1" t="n">
        <x:v>603</x:v>
      </x:c>
      <x:c r="J487" s="1"/>
      <x:c r="K487" s="1" t="str">
        <x:v>GRAND-LIVRE-ORIGINAL-feuille-1.csv, ligne 603</x:v>
      </x:c>
    </x:row>
    <x:row r="488" ht="22" customHeight="1">
      <x:c r="A488" s="1" t="str">
        <x:v>5765</x:v>
      </x:c>
      <x:c r="B488" s="1" t="str">
        <x:v>Repair &amp; Maintenance</x:v>
      </x:c>
      <x:c r="C488" s="7" t="d">
        <x:v>2025-03-01T12:00:00.000Z</x:v>
      </x:c>
      <x:c r="D488" s="1" t="str">
        <x:v>Home Depot</x:v>
      </x:c>
      <x:c r="E488" s="1" t="str">
        <x:v>Cash</x:v>
      </x:c>
      <x:c r="F488" s="1" t="str">
        <x:v>J473</x:v>
      </x:c>
      <x:c r="G488" s="9" t="n">
        <x:v>24.98</x:v>
      </x:c>
      <x:c r="H488" s="9" t="n">
        <x:v>0</x:v>
      </x:c>
      <x:c r="I488" s="1" t="n">
        <x:v>604</x:v>
      </x:c>
      <x:c r="J488" s="1"/>
      <x:c r="K488" s="1" t="str">
        <x:v>GRAND-LIVRE-ORIGINAL-feuille-1.csv, ligne 604</x:v>
      </x:c>
    </x:row>
    <x:row r="489" ht="22" customHeight="1">
      <x:c r="A489" s="1" t="str">
        <x:v>5765</x:v>
      </x:c>
      <x:c r="B489" s="1" t="str">
        <x:v>Repair &amp; Maintenance</x:v>
      </x:c>
      <x:c r="C489" s="7" t="d">
        <x:v>2025-03-01T12:00:00.000Z</x:v>
      </x:c>
      <x:c r="D489" s="1" t="str">
        <x:v>Canadian Tire</x:v>
      </x:c>
      <x:c r="E489" s="1" t="str">
        <x:v>Cash</x:v>
      </x:c>
      <x:c r="F489" s="1" t="str">
        <x:v>J513</x:v>
      </x:c>
      <x:c r="G489" s="9" t="n">
        <x:v>83.24</x:v>
      </x:c>
      <x:c r="H489" s="9" t="n">
        <x:v>0</x:v>
      </x:c>
      <x:c r="I489" s="1" t="n">
        <x:v>605</x:v>
      </x:c>
      <x:c r="J489" s="1"/>
      <x:c r="K489" s="1" t="str">
        <x:v>GRAND-LIVRE-ORIGINAL-feuille-1.csv, ligne 605</x:v>
      </x:c>
    </x:row>
    <x:row r="490" ht="22" customHeight="1">
      <x:c r="A490" s="1" t="str">
        <x:v>5765</x:v>
      </x:c>
      <x:c r="B490" s="1" t="str">
        <x:v>Repair &amp; Maintenance</x:v>
      </x:c>
      <x:c r="C490" s="7" t="d">
        <x:v>2025-03-05T12:00:00.000Z</x:v>
      </x:c>
      <x:c r="D490" s="1" t="str">
        <x:v>Home Depot</x:v>
      </x:c>
      <x:c r="E490" s="1" t="str">
        <x:v>Cash</x:v>
      </x:c>
      <x:c r="F490" s="1" t="str">
        <x:v>J285</x:v>
      </x:c>
      <x:c r="G490" s="9" t="n">
        <x:v>368.99</x:v>
      </x:c>
      <x:c r="H490" s="9" t="n">
        <x:v>0</x:v>
      </x:c>
      <x:c r="I490" s="1" t="n">
        <x:v>606</x:v>
      </x:c>
      <x:c r="J490" s="1"/>
      <x:c r="K490" s="1" t="str">
        <x:v>GRAND-LIVRE-ORIGINAL-feuille-1.csv, ligne 606</x:v>
      </x:c>
    </x:row>
    <x:row r="491" ht="22" customHeight="1">
      <x:c r="A491" s="1" t="str">
        <x:v>5765</x:v>
      </x:c>
      <x:c r="B491" s="1" t="str">
        <x:v>Repair &amp; Maintenance</x:v>
      </x:c>
      <x:c r="C491" s="7" t="d">
        <x:v>2025-03-06T12:00:00.000Z</x:v>
      </x:c>
      <x:c r="D491" s="1" t="str">
        <x:v>Renovation</x:v>
      </x:c>
      <x:c r="E491" s="1" t="str">
        <x:v>Cash</x:v>
      </x:c>
      <x:c r="F491" s="1" t="str">
        <x:v>J288</x:v>
      </x:c>
      <x:c r="G491" s="9" t="n">
        <x:v>52.18</x:v>
      </x:c>
      <x:c r="H491" s="9" t="n">
        <x:v>0</x:v>
      </x:c>
      <x:c r="I491" s="1" t="n">
        <x:v>607</x:v>
      </x:c>
      <x:c r="J491" s="1"/>
      <x:c r="K491" s="1" t="str">
        <x:v>GRAND-LIVRE-ORIGINAL-feuille-1.csv, ligne 607</x:v>
      </x:c>
    </x:row>
    <x:row r="492" ht="22" customHeight="1">
      <x:c r="A492" s="1" t="str">
        <x:v>5765</x:v>
      </x:c>
      <x:c r="B492" s="1" t="str">
        <x:v>Repair &amp; Maintenance</x:v>
      </x:c>
      <x:c r="C492" s="7" t="d">
        <x:v>2025-03-17T12:00:00.000Z</x:v>
      </x:c>
      <x:c r="D492" s="1" t="str">
        <x:v>Electriciens</x:v>
      </x:c>
      <x:c r="E492" s="1" t="str">
        <x:v>Cash</x:v>
      </x:c>
      <x:c r="F492" s="1" t="str">
        <x:v>J298</x:v>
      </x:c>
      <x:c r="G492" s="9" t="n">
        <x:v>130.47</x:v>
      </x:c>
      <x:c r="H492" s="9" t="n">
        <x:v>0</x:v>
      </x:c>
      <x:c r="I492" s="1" t="n">
        <x:v>608</x:v>
      </x:c>
      <x:c r="J492" s="1"/>
      <x:c r="K492" s="1" t="str">
        <x:v>GRAND-LIVRE-ORIGINAL-feuille-1.csv, ligne 608</x:v>
      </x:c>
    </x:row>
    <x:row r="493" ht="22" customHeight="1">
      <x:c r="A493" s="1" t="str">
        <x:v>5765</x:v>
      </x:c>
      <x:c r="B493" s="1" t="str">
        <x:v>Repair &amp; Maintenance</x:v>
      </x:c>
      <x:c r="C493" s="7" t="d">
        <x:v>2025-04-01T12:00:00.000Z</x:v>
      </x:c>
      <x:c r="D493" s="1" t="str">
        <x:v>Canadian Tire</x:v>
      </x:c>
      <x:c r="E493" s="1" t="str">
        <x:v>Cash</x:v>
      </x:c>
      <x:c r="F493" s="1" t="str">
        <x:v>J516</x:v>
      </x:c>
      <x:c r="G493" s="9" t="n">
        <x:v>24.98</x:v>
      </x:c>
      <x:c r="H493" s="9" t="n">
        <x:v>0</x:v>
      </x:c>
      <x:c r="I493" s="1" t="n">
        <x:v>609</x:v>
      </x:c>
      <x:c r="J493" s="1"/>
      <x:c r="K493" s="1" t="str">
        <x:v>GRAND-LIVRE-ORIGINAL-feuille-1.csv, ligne 609</x:v>
      </x:c>
    </x:row>
    <x:row r="494" ht="22" customHeight="1">
      <x:c r="A494" s="1" t="str">
        <x:v>5765</x:v>
      </x:c>
      <x:c r="B494" s="1" t="str">
        <x:v>Repair &amp; Maintenance</x:v>
      </x:c>
      <x:c r="C494" s="7" t="d">
        <x:v>2025-04-01T12:00:00.000Z</x:v>
      </x:c>
      <x:c r="D494" s="1" t="str">
        <x:v>Home Depot</x:v>
      </x:c>
      <x:c r="E494" s="1" t="str">
        <x:v>Cash</x:v>
      </x:c>
      <x:c r="F494" s="1" t="str">
        <x:v>J517</x:v>
      </x:c>
      <x:c r="G494" s="9" t="n">
        <x:v>20.81</x:v>
      </x:c>
      <x:c r="H494" s="9" t="n">
        <x:v>0</x:v>
      </x:c>
      <x:c r="I494" s="1" t="n">
        <x:v>610</x:v>
      </x:c>
      <x:c r="J494" s="1"/>
      <x:c r="K494" s="1" t="str">
        <x:v>GRAND-LIVRE-ORIGINAL-feuille-1.csv, ligne 610</x:v>
      </x:c>
    </x:row>
    <x:row r="495" ht="22" customHeight="1">
      <x:c r="A495" s="1" t="str">
        <x:v>5765</x:v>
      </x:c>
      <x:c r="B495" s="1" t="str">
        <x:v>Repair &amp; Maintenance</x:v>
      </x:c>
      <x:c r="C495" s="7" t="d">
        <x:v>2025-04-01T12:00:00.000Z</x:v>
      </x:c>
      <x:c r="D495" s="1" t="str">
        <x:v>Home Depot</x:v>
      </x:c>
      <x:c r="E495" s="1" t="str">
        <x:v>Cash</x:v>
      </x:c>
      <x:c r="F495" s="1" t="str">
        <x:v>J518</x:v>
      </x:c>
      <x:c r="G495" s="9" t="n">
        <x:v>130.09</x:v>
      </x:c>
      <x:c r="H495" s="9" t="n">
        <x:v>0</x:v>
      </x:c>
      <x:c r="I495" s="1" t="n">
        <x:v>611</x:v>
      </x:c>
      <x:c r="J495" s="1"/>
      <x:c r="K495" s="1" t="str">
        <x:v>GRAND-LIVRE-ORIGINAL-feuille-1.csv, ligne 611</x:v>
      </x:c>
    </x:row>
    <x:row r="496" ht="22" customHeight="1">
      <x:c r="A496" s="1" t="str">
        <x:v>5765</x:v>
      </x:c>
      <x:c r="B496" s="1" t="str">
        <x:v>Repair &amp; Maintenance</x:v>
      </x:c>
      <x:c r="C496" s="7" t="d">
        <x:v>2025-04-01T12:00:00.000Z</x:v>
      </x:c>
      <x:c r="D496" s="1" t="str">
        <x:v>Home Depot</x:v>
      </x:c>
      <x:c r="E496" s="1" t="str">
        <x:v>Cash</x:v>
      </x:c>
      <x:c r="F496" s="1" t="str">
        <x:v>J519</x:v>
      </x:c>
      <x:c r="G496" s="9" t="n">
        <x:v>25.98</x:v>
      </x:c>
      <x:c r="H496" s="9" t="n">
        <x:v>0</x:v>
      </x:c>
      <x:c r="I496" s="1" t="n">
        <x:v>612</x:v>
      </x:c>
      <x:c r="J496" s="1"/>
      <x:c r="K496" s="1" t="str">
        <x:v>GRAND-LIVRE-ORIGINAL-feuille-1.csv, ligne 612</x:v>
      </x:c>
    </x:row>
    <x:row r="497" ht="22" customHeight="1">
      <x:c r="A497" s="1" t="str">
        <x:v>5765</x:v>
      </x:c>
      <x:c r="B497" s="1" t="str">
        <x:v>Repair &amp; Maintenance</x:v>
      </x:c>
      <x:c r="C497" s="7" t="d">
        <x:v>2025-04-01T12:00:00.000Z</x:v>
      </x:c>
      <x:c r="D497" s="1" t="str">
        <x:v>Home Depot</x:v>
      </x:c>
      <x:c r="E497" s="1" t="str">
        <x:v>Cash</x:v>
      </x:c>
      <x:c r="F497" s="1" t="str">
        <x:v>J520</x:v>
      </x:c>
      <x:c r="G497" s="9" t="n">
        <x:v>22.98</x:v>
      </x:c>
      <x:c r="H497" s="9" t="n">
        <x:v>0</x:v>
      </x:c>
      <x:c r="I497" s="1" t="n">
        <x:v>613</x:v>
      </x:c>
      <x:c r="J497" s="1"/>
      <x:c r="K497" s="1" t="str">
        <x:v>GRAND-LIVRE-ORIGINAL-feuille-1.csv, ligne 613</x:v>
      </x:c>
    </x:row>
    <x:row r="498" ht="22" customHeight="1">
      <x:c r="A498" s="1" t="str">
        <x:v>5765</x:v>
      </x:c>
      <x:c r="B498" s="1" t="str">
        <x:v>Repair &amp; Maintenance</x:v>
      </x:c>
      <x:c r="C498" s="7" t="d">
        <x:v>2025-04-01T12:00:00.000Z</x:v>
      </x:c>
      <x:c r="D498" s="1" t="str">
        <x:v>Home Depot</x:v>
      </x:c>
      <x:c r="E498" s="1" t="str">
        <x:v>Cash</x:v>
      </x:c>
      <x:c r="F498" s="1" t="str">
        <x:v>J521</x:v>
      </x:c>
      <x:c r="G498" s="9" t="n">
        <x:v>133.25</x:v>
      </x:c>
      <x:c r="H498" s="9" t="n">
        <x:v>0</x:v>
      </x:c>
      <x:c r="I498" s="1" t="n">
        <x:v>614</x:v>
      </x:c>
      <x:c r="J498" s="1"/>
      <x:c r="K498" s="1" t="str">
        <x:v>GRAND-LIVRE-ORIGINAL-feuille-1.csv, ligne 614</x:v>
      </x:c>
    </x:row>
    <x:row r="499" ht="22" customHeight="1">
      <x:c r="A499" s="1" t="str">
        <x:v>5765</x:v>
      </x:c>
      <x:c r="B499" s="1" t="str">
        <x:v>Repair &amp; Maintenance</x:v>
      </x:c>
      <x:c r="C499" s="7" t="d">
        <x:v>2025-04-01T12:00:00.000Z</x:v>
      </x:c>
      <x:c r="D499" s="1" t="str">
        <x:v>Home Depot</x:v>
      </x:c>
      <x:c r="E499" s="1" t="str">
        <x:v>Cash</x:v>
      </x:c>
      <x:c r="F499" s="1" t="str">
        <x:v>J527</x:v>
      </x:c>
      <x:c r="G499" s="9" t="n">
        <x:v>172.61</x:v>
      </x:c>
      <x:c r="H499" s="9" t="n">
        <x:v>0</x:v>
      </x:c>
      <x:c r="I499" s="1" t="n">
        <x:v>615</x:v>
      </x:c>
      <x:c r="J499" s="1"/>
      <x:c r="K499" s="1" t="str">
        <x:v>GRAND-LIVRE-ORIGINAL-feuille-1.csv, ligne 615</x:v>
      </x:c>
    </x:row>
    <x:row r="500" ht="22" customHeight="1">
      <x:c r="A500" s="1" t="str">
        <x:v>5765</x:v>
      </x:c>
      <x:c r="B500" s="1" t="str">
        <x:v>Repair &amp; Maintenance</x:v>
      </x:c>
      <x:c r="C500" s="7" t="d">
        <x:v>2025-04-01T12:00:00.000Z</x:v>
      </x:c>
      <x:c r="D500" s="1" t="str">
        <x:v>Home Depot</x:v>
      </x:c>
      <x:c r="E500" s="1" t="str">
        <x:v>Cash</x:v>
      </x:c>
      <x:c r="F500" s="1" t="str">
        <x:v>J528</x:v>
      </x:c>
      <x:c r="G500" s="9" t="n">
        <x:v>34.79</x:v>
      </x:c>
      <x:c r="H500" s="9" t="n">
        <x:v>0</x:v>
      </x:c>
      <x:c r="I500" s="1" t="n">
        <x:v>616</x:v>
      </x:c>
      <x:c r="J500" s="1"/>
      <x:c r="K500" s="1" t="str">
        <x:v>GRAND-LIVRE-ORIGINAL-feuille-1.csv, ligne 616</x:v>
      </x:c>
    </x:row>
    <x:row r="501" ht="22" customHeight="1">
      <x:c r="A501" s="1" t="str">
        <x:v>5765</x:v>
      </x:c>
      <x:c r="B501" s="1" t="str">
        <x:v>Repair &amp; Maintenance</x:v>
      </x:c>
      <x:c r="C501" s="7" t="d">
        <x:v>2025-04-01T12:00:00.000Z</x:v>
      </x:c>
      <x:c r="D501" s="1" t="str">
        <x:v>Home Depot</x:v>
      </x:c>
      <x:c r="E501" s="1" t="str">
        <x:v>Cash</x:v>
      </x:c>
      <x:c r="F501" s="1" t="str">
        <x:v>J529</x:v>
      </x:c>
      <x:c r="G501" s="9" t="n">
        <x:v>16.68</x:v>
      </x:c>
      <x:c r="H501" s="9" t="n">
        <x:v>0</x:v>
      </x:c>
      <x:c r="I501" s="1" t="n">
        <x:v>617</x:v>
      </x:c>
      <x:c r="J501" s="1"/>
      <x:c r="K501" s="1" t="str">
        <x:v>GRAND-LIVRE-ORIGINAL-feuille-1.csv, ligne 617</x:v>
      </x:c>
    </x:row>
    <x:row r="502" ht="22" customHeight="1">
      <x:c r="A502" s="1" t="str">
        <x:v>5765</x:v>
      </x:c>
      <x:c r="B502" s="1" t="str">
        <x:v>Repair &amp; Maintenance</x:v>
      </x:c>
      <x:c r="C502" s="7" t="d">
        <x:v>2025-04-01T12:00:00.000Z</x:v>
      </x:c>
      <x:c r="D502" s="1" t="str">
        <x:v>Home Depot</x:v>
      </x:c>
      <x:c r="E502" s="1" t="str">
        <x:v>Cash</x:v>
      </x:c>
      <x:c r="F502" s="1" t="str">
        <x:v>J530</x:v>
      </x:c>
      <x:c r="G502" s="9" t="n">
        <x:v>59.1</x:v>
      </x:c>
      <x:c r="H502" s="9" t="n">
        <x:v>0</x:v>
      </x:c>
      <x:c r="I502" s="1" t="n">
        <x:v>618</x:v>
      </x:c>
      <x:c r="J502" s="1"/>
      <x:c r="K502" s="1" t="str">
        <x:v>GRAND-LIVRE-ORIGINAL-feuille-1.csv, ligne 618</x:v>
      </x:c>
    </x:row>
    <x:row r="503" ht="22" customHeight="1">
      <x:c r="A503" s="1" t="str">
        <x:v>5765</x:v>
      </x:c>
      <x:c r="B503" s="1" t="str">
        <x:v>Repair &amp; Maintenance</x:v>
      </x:c>
      <x:c r="C503" s="7" t="d">
        <x:v>2025-04-01T12:00:00.000Z</x:v>
      </x:c>
      <x:c r="D503" s="1" t="str">
        <x:v>Home Depot</x:v>
      </x:c>
      <x:c r="E503" s="1" t="str">
        <x:v>Cash</x:v>
      </x:c>
      <x:c r="F503" s="1" t="str">
        <x:v>J531</x:v>
      </x:c>
      <x:c r="G503" s="9" t="n">
        <x:v>10.27</x:v>
      </x:c>
      <x:c r="H503" s="9" t="n">
        <x:v>0</x:v>
      </x:c>
      <x:c r="I503" s="1" t="n">
        <x:v>619</x:v>
      </x:c>
      <x:c r="J503" s="1"/>
      <x:c r="K503" s="1" t="str">
        <x:v>GRAND-LIVRE-ORIGINAL-feuille-1.csv, ligne 619</x:v>
      </x:c>
    </x:row>
    <x:row r="504" ht="22" customHeight="1">
      <x:c r="A504" s="1" t="str">
        <x:v>5765</x:v>
      </x:c>
      <x:c r="B504" s="1" t="str">
        <x:v>Repair &amp; Maintenance</x:v>
      </x:c>
      <x:c r="C504" s="7" t="d">
        <x:v>2025-04-01T12:00:00.000Z</x:v>
      </x:c>
      <x:c r="D504" s="1" t="str">
        <x:v>Repartion</x:v>
      </x:c>
      <x:c r="E504" s="1" t="str">
        <x:v>Cash</x:v>
      </x:c>
      <x:c r="F504" s="1" t="str">
        <x:v>J713</x:v>
      </x:c>
      <x:c r="G504" s="9" t="n">
        <x:v>12180.01</x:v>
      </x:c>
      <x:c r="H504" s="9" t="n">
        <x:v>0</x:v>
      </x:c>
      <x:c r="I504" s="1" t="n">
        <x:v>620</x:v>
      </x:c>
      <x:c r="J504" s="1"/>
      <x:c r="K504" s="1" t="str">
        <x:v>GRAND-LIVRE-ORIGINAL-feuille-1.csv, ligne 620</x:v>
      </x:c>
    </x:row>
    <x:row r="505" ht="22" customHeight="1">
      <x:c r="A505" s="1" t="str">
        <x:v>5765</x:v>
      </x:c>
      <x:c r="B505" s="1" t="str">
        <x:v>Repair &amp; Maintenance</x:v>
      </x:c>
      <x:c r="C505" s="7" t="d">
        <x:v>2025-05-01T12:00:00.000Z</x:v>
      </x:c>
      <x:c r="D505" s="1" t="str">
        <x:v>Senville.ca</x:v>
      </x:c>
      <x:c r="E505" s="1" t="str">
        <x:v>Cash</x:v>
      </x:c>
      <x:c r="F505" s="1" t="str">
        <x:v>J777</x:v>
      </x:c>
      <x:c r="G505" s="9" t="n">
        <x:v>4761.77</x:v>
      </x:c>
      <x:c r="H505" s="9" t="n">
        <x:v>0</x:v>
      </x:c>
      <x:c r="I505" s="1" t="n">
        <x:v>621</x:v>
      </x:c>
      <x:c r="J505" s="1"/>
      <x:c r="K505" s="1" t="str">
        <x:v>GRAND-LIVRE-ORIGINAL-feuille-1.csv, ligne 621</x:v>
      </x:c>
    </x:row>
    <x:row r="506" ht="22" customHeight="1">
      <x:c r="A506" s="1" t="str">
        <x:v>5765</x:v>
      </x:c>
      <x:c r="B506" s="1" t="str">
        <x:v>Repair &amp; Maintenance</x:v>
      </x:c>
      <x:c r="C506" s="7" t="d">
        <x:v>2025-05-01T12:00:00.000Z</x:v>
      </x:c>
      <x:c r="D506" s="1" t="str">
        <x:v>Frimabec</x:v>
      </x:c>
      <x:c r="E506" s="1" t="str">
        <x:v>Cash</x:v>
      </x:c>
      <x:c r="F506" s="1" t="str">
        <x:v>J795</x:v>
      </x:c>
      <x:c r="G506" s="9" t="n">
        <x:v>399.22</x:v>
      </x:c>
      <x:c r="H506" s="9" t="n">
        <x:v>0</x:v>
      </x:c>
      <x:c r="I506" s="1" t="n">
        <x:v>622</x:v>
      </x:c>
      <x:c r="J506" s="1"/>
      <x:c r="K506" s="1" t="str">
        <x:v>GRAND-LIVRE-ORIGINAL-feuille-1.csv, ligne 622</x:v>
      </x:c>
    </x:row>
    <x:row r="507" ht="22" customHeight="1">
      <x:c r="A507" s="1" t="str">
        <x:v>5765</x:v>
      </x:c>
      <x:c r="B507" s="1" t="str">
        <x:v>Repair &amp; Maintenance</x:v>
      </x:c>
      <x:c r="C507" s="7" t="d">
        <x:v>2025-06-01T12:00:00.000Z</x:v>
      </x:c>
      <x:c r="D507" s="1" t="str">
        <x:v>Rapide 2 Nette</x:v>
      </x:c>
      <x:c r="E507" s="1" t="str">
        <x:v>Cash</x:v>
      </x:c>
      <x:c r="F507" s="1" t="str">
        <x:v>J747</x:v>
      </x:c>
      <x:c r="G507" s="9" t="n">
        <x:v>1642.86</x:v>
      </x:c>
      <x:c r="H507" s="9" t="n">
        <x:v>0</x:v>
      </x:c>
      <x:c r="I507" s="1" t="n">
        <x:v>623</x:v>
      </x:c>
      <x:c r="J507" s="1"/>
      <x:c r="K507" s="1" t="str">
        <x:v>GRAND-LIVRE-ORIGINAL-feuille-1.csv, ligne 623</x:v>
      </x:c>
    </x:row>
    <x:row r="508" ht="22" customHeight="1">
      <x:c r="A508" s="1" t="str">
        <x:v>5765</x:v>
      </x:c>
      <x:c r="B508" s="1" t="str">
        <x:v>Repair &amp; Maintenance</x:v>
      </x:c>
      <x:c r="C508" s="7" t="d">
        <x:v>2025-06-01T12:00:00.000Z</x:v>
      </x:c>
      <x:c r="D508" s="1" t="str">
        <x:v>Rapide 2 Nette</x:v>
      </x:c>
      <x:c r="E508" s="1" t="str">
        <x:v>Cash</x:v>
      </x:c>
      <x:c r="F508" s="1" t="str">
        <x:v>J749</x:v>
      </x:c>
      <x:c r="G508" s="9" t="n">
        <x:v>1581.5</x:v>
      </x:c>
      <x:c r="H508" s="9" t="n">
        <x:v>0</x:v>
      </x:c>
      <x:c r="I508" s="1" t="n">
        <x:v>624</x:v>
      </x:c>
      <x:c r="J508" s="1"/>
      <x:c r="K508" s="1" t="str">
        <x:v>GRAND-LIVRE-ORIGINAL-feuille-1.csv, ligne 624</x:v>
      </x:c>
    </x:row>
    <x:row r="509" ht="22" customHeight="1">
      <x:c r="A509" s="1" t="str">
        <x:v>5765</x:v>
      </x:c>
      <x:c r="B509" s="1" t="str">
        <x:v>Repair &amp; Maintenance</x:v>
      </x:c>
      <x:c r="C509" s="7" t="d">
        <x:v>2025-06-01T12:00:00.000Z</x:v>
      </x:c>
      <x:c r="D509" s="1" t="str">
        <x:v>Northern Pizza Quipment</x:v>
      </x:c>
      <x:c r="E509" s="1" t="str">
        <x:v>Cash</x:v>
      </x:c>
      <x:c r="F509" s="1" t="str">
        <x:v>J751</x:v>
      </x:c>
      <x:c r="G509" s="9" t="n">
        <x:v>3500</x:v>
      </x:c>
      <x:c r="H509" s="9" t="n">
        <x:v>0</x:v>
      </x:c>
      <x:c r="I509" s="1" t="n">
        <x:v>625</x:v>
      </x:c>
      <x:c r="J509" s="1"/>
      <x:c r="K509" s="1" t="str">
        <x:v>GRAND-LIVRE-ORIGINAL-feuille-1.csv, ligne 625</x:v>
      </x:c>
    </x:row>
    <x:row r="510" ht="22" customHeight="1">
      <x:c r="A510" s="1" t="str">
        <x:v>5765</x:v>
      </x:c>
      <x:c r="B510" s="1" t="str">
        <x:v>Repair &amp; Maintenance</x:v>
      </x:c>
      <x:c r="C510" s="7" t="d">
        <x:v>2025-06-01T12:00:00.000Z</x:v>
      </x:c>
      <x:c r="D510" s="1" t="str">
        <x:v>Frimabec</x:v>
      </x:c>
      <x:c r="E510" s="1" t="str">
        <x:v>Cash</x:v>
      </x:c>
      <x:c r="F510" s="1" t="str">
        <x:v>J793</x:v>
      </x:c>
      <x:c r="G510" s="9" t="n">
        <x:v>299.2</x:v>
      </x:c>
      <x:c r="H510" s="9" t="n">
        <x:v>0</x:v>
      </x:c>
      <x:c r="I510" s="1" t="n">
        <x:v>626</x:v>
      </x:c>
      <x:c r="J510" s="1"/>
      <x:c r="K510" s="1" t="str">
        <x:v>GRAND-LIVRE-ORIGINAL-feuille-1.csv, ligne 626</x:v>
      </x:c>
    </x:row>
    <x:row r="511" ht="22" customHeight="1">
      <x:c r="A511" s="1" t="str">
        <x:v>5765</x:v>
      </x:c>
      <x:c r="B511" s="1" t="str">
        <x:v>Repair &amp; Maintenance</x:v>
      </x:c>
      <x:c r="C511" s="7" t="d">
        <x:v>2025-06-30T12:00:00.000Z</x:v>
      </x:c>
      <x:c r="D511" s="1" t="str">
        <x:v>Repartion</x:v>
      </x:c>
      <x:c r="E511" s="1" t="str">
        <x:v>Cash</x:v>
      </x:c>
      <x:c r="F511" s="1" t="str">
        <x:v>J715</x:v>
      </x:c>
      <x:c r="G511" s="9" t="n">
        <x:v>12962.79</x:v>
      </x:c>
      <x:c r="H511" s="9" t="n">
        <x:v>0</x:v>
      </x:c>
      <x:c r="I511" s="1" t="n">
        <x:v>627</x:v>
      </x:c>
      <x:c r="J511" s="1"/>
      <x:c r="K511" s="1" t="str">
        <x:v>GRAND-LIVRE-ORIGINAL-feuille-1.csv, ligne 627</x:v>
      </x:c>
    </x:row>
    <x:row r="512" ht="22" customHeight="1">
      <x:c r="A512" s="1" t="str">
        <x:v>5765</x:v>
      </x:c>
      <x:c r="B512" s="1" t="str">
        <x:v>Repair &amp; Maintenance</x:v>
      </x:c>
      <x:c r="C512" s="7" t="d">
        <x:v>2025-06-30T12:00:00.000Z</x:v>
      </x:c>
      <x:c r="D512" s="1" t="str">
        <x:v>Dano Electrique</x:v>
      </x:c>
      <x:c r="E512" s="1" t="str">
        <x:v>Cash</x:v>
      </x:c>
      <x:c r="F512" s="1" t="str">
        <x:v>J737</x:v>
      </x:c>
      <x:c r="G512" s="9" t="n">
        <x:v>4000</x:v>
      </x:c>
      <x:c r="H512" s="9" t="n">
        <x:v>0</x:v>
      </x:c>
      <x:c r="I512" s="1" t="n">
        <x:v>628</x:v>
      </x:c>
      <x:c r="J512" s="1"/>
      <x:c r="K512" s="1" t="str">
        <x:v>GRAND-LIVRE-ORIGINAL-feuille-1.csv, ligne 628</x:v>
      </x:c>
    </x:row>
    <x:row r="513" ht="22" customHeight="1">
      <x:c r="A513" s="1" t="str">
        <x:v>5765</x:v>
      </x:c>
      <x:c r="B513" s="1" t="str">
        <x:v>Repair &amp; Maintenance</x:v>
      </x:c>
      <x:c r="C513" s="7" t="d">
        <x:v>2025-06-30T12:00:00.000Z</x:v>
      </x:c>
      <x:c r="D513" s="1" t="str">
        <x:v>Frimabec</x:v>
      </x:c>
      <x:c r="E513" s="1" t="str">
        <x:v>Cash</x:v>
      </x:c>
      <x:c r="F513" s="1" t="str">
        <x:v>J787</x:v>
      </x:c>
      <x:c r="G513" s="9" t="n">
        <x:v>400</x:v>
      </x:c>
      <x:c r="H513" s="9" t="n">
        <x:v>0</x:v>
      </x:c>
      <x:c r="I513" s="1" t="n">
        <x:v>629</x:v>
      </x:c>
      <x:c r="J513" s="1"/>
      <x:c r="K513" s="1" t="str">
        <x:v>GRAND-LIVRE-ORIGINAL-feuille-1.csv, ligne 629</x:v>
      </x:c>
    </x:row>
    <x:row r="514" ht="22" customHeight="1">
      <x:c r="A514" s="1" t="str">
        <x:v>5765</x:v>
      </x:c>
      <x:c r="B514" s="1" t="str">
        <x:v>Repair &amp; Maintenance</x:v>
      </x:c>
      <x:c r="C514" s="7" t="d">
        <x:v>2025-06-30T12:00:00.000Z</x:v>
      </x:c>
      <x:c r="D514" s="1" t="str">
        <x:v>Frimabec</x:v>
      </x:c>
      <x:c r="E514" s="1" t="str">
        <x:v>Cash</x:v>
      </x:c>
      <x:c r="F514" s="1" t="str">
        <x:v>J797</x:v>
      </x:c>
      <x:c r="G514" s="9" t="n">
        <x:v>400</x:v>
      </x:c>
      <x:c r="H514" s="9" t="n">
        <x:v>0</x:v>
      </x:c>
      <x:c r="I514" s="1" t="n">
        <x:v>630</x:v>
      </x:c>
      <x:c r="J514" s="1"/>
      <x:c r="K514" s="1" t="str">
        <x:v>GRAND-LIVRE-ORIGINAL-feuille-1.csv, ligne 630</x:v>
      </x:c>
    </x:row>
    <x:row r="515" ht="22" customHeight="1">
      <x:c r="A515" s="1" t="str">
        <x:v>5780</x:v>
      </x:c>
      <x:c r="B515" s="1" t="str">
        <x:v>Telephone</x:v>
      </x:c>
      <x:c r="C515" s="7" t="d">
        <x:v>2024-11-06T12:00:00.000Z</x:v>
      </x:c>
      <x:c r="D515" s="1" t="str">
        <x:v>Internet</x:v>
      </x:c>
      <x:c r="E515" s="1" t="str">
        <x:v>Cash</x:v>
      </x:c>
      <x:c r="F515" s="1" t="str">
        <x:v>J326</x:v>
      </x:c>
      <x:c r="G515" s="9" t="n">
        <x:v>356.6</x:v>
      </x:c>
      <x:c r="H515" s="9" t="n">
        <x:v>0</x:v>
      </x:c>
      <x:c r="I515" s="1" t="n">
        <x:v>634</x:v>
      </x:c>
      <x:c r="J515" s="1"/>
      <x:c r="K515" s="1" t="str">
        <x:v>GRAND-LIVRE-ORIGINAL-feuille-1.csv, ligne 634</x:v>
      </x:c>
    </x:row>
    <x:row r="516" ht="22" customHeight="1">
      <x:c r="A516" s="1" t="str">
        <x:v>5780</x:v>
      </x:c>
      <x:c r="B516" s="1" t="str">
        <x:v>Telephone</x:v>
      </x:c>
      <x:c r="C516" s="7" t="d">
        <x:v>2024-12-20T12:00:00.000Z</x:v>
      </x:c>
      <x:c r="D516" s="1" t="str">
        <x:v>Internet</x:v>
      </x:c>
      <x:c r="E516" s="1" t="str">
        <x:v>Cash</x:v>
      </x:c>
      <x:c r="F516" s="1" t="str">
        <x:v>J152</x:v>
      </x:c>
      <x:c r="G516" s="9" t="n">
        <x:v>118.01</x:v>
      </x:c>
      <x:c r="H516" s="9" t="n">
        <x:v>0</x:v>
      </x:c>
      <x:c r="I516" s="1" t="n">
        <x:v>635</x:v>
      </x:c>
      <x:c r="J516" s="1"/>
      <x:c r="K516" s="1" t="str">
        <x:v>GRAND-LIVRE-ORIGINAL-feuille-1.csv, ligne 635</x:v>
      </x:c>
    </x:row>
    <x:row r="517" ht="22" customHeight="1">
      <x:c r="A517" s="1" t="str">
        <x:v>5780</x:v>
      </x:c>
      <x:c r="B517" s="1" t="str">
        <x:v>Telephone</x:v>
      </x:c>
      <x:c r="C517" s="7" t="d">
        <x:v>2024-12-20T12:00:00.000Z</x:v>
      </x:c>
      <x:c r="D517" s="1" t="str">
        <x:v>Rogers</x:v>
      </x:c>
      <x:c r="E517" s="1" t="str">
        <x:v>Cash</x:v>
      </x:c>
      <x:c r="F517" s="1" t="str">
        <x:v>J153</x:v>
      </x:c>
      <x:c r="G517" s="9" t="n">
        <x:v>347.9</x:v>
      </x:c>
      <x:c r="H517" s="9" t="n">
        <x:v>0</x:v>
      </x:c>
      <x:c r="I517" s="1" t="n">
        <x:v>636</x:v>
      </x:c>
      <x:c r="J517" s="1"/>
      <x:c r="K517" s="1" t="str">
        <x:v>GRAND-LIVRE-ORIGINAL-feuille-1.csv, ligne 636</x:v>
      </x:c>
    </x:row>
    <x:row r="518" ht="22" customHeight="1">
      <x:c r="A518" s="1" t="str">
        <x:v>5780</x:v>
      </x:c>
      <x:c r="B518" s="1" t="str">
        <x:v>Telephone</x:v>
      </x:c>
      <x:c r="C518" s="7" t="d">
        <x:v>2024-12-24T12:00:00.000Z</x:v>
      </x:c>
      <x:c r="D518" s="1" t="str">
        <x:v>Internet</x:v>
      </x:c>
      <x:c r="E518" s="1" t="str">
        <x:v>Cash</x:v>
      </x:c>
      <x:c r="F518" s="1" t="str">
        <x:v>J163</x:v>
      </x:c>
      <x:c r="G518" s="9" t="n">
        <x:v>117.99</x:v>
      </x:c>
      <x:c r="H518" s="9" t="n">
        <x:v>0</x:v>
      </x:c>
      <x:c r="I518" s="1" t="n">
        <x:v>637</x:v>
      </x:c>
      <x:c r="J518" s="1"/>
      <x:c r="K518" s="1" t="str">
        <x:v>GRAND-LIVRE-ORIGINAL-feuille-1.csv, ligne 637</x:v>
      </x:c>
    </x:row>
    <x:row r="519" ht="22" customHeight="1">
      <x:c r="A519" s="1" t="str">
        <x:v>5780</x:v>
      </x:c>
      <x:c r="B519" s="1" t="str">
        <x:v>Telephone</x:v>
      </x:c>
      <x:c r="C519" s="7" t="d">
        <x:v>2025-05-01T12:00:00.000Z</x:v>
      </x:c>
      <x:c r="D519" s="1" t="str">
        <x:v>Rogers</x:v>
      </x:c>
      <x:c r="E519" s="1" t="str">
        <x:v>Cash</x:v>
      </x:c>
      <x:c r="F519" s="1" t="str">
        <x:v>J559</x:v>
      </x:c>
      <x:c r="G519" s="9" t="n">
        <x:v>1260.78</x:v>
      </x:c>
      <x:c r="H519" s="9" t="n">
        <x:v>0</x:v>
      </x:c>
      <x:c r="I519" s="1" t="n">
        <x:v>638</x:v>
      </x:c>
      <x:c r="J519" s="1"/>
      <x:c r="K519" s="1" t="str">
        <x:v>GRAND-LIVRE-ORIGINAL-feuille-1.csv, ligne 638</x:v>
      </x:c>
    </x:row>
    <x:row r="520" ht="22" customHeight="1">
      <x:c r="A520" s="1" t="str">
        <x:v>5780</x:v>
      </x:c>
      <x:c r="B520" s="1" t="str">
        <x:v>Telephone</x:v>
      </x:c>
      <x:c r="C520" s="7" t="d">
        <x:v>2025-06-01T12:00:00.000Z</x:v>
      </x:c>
      <x:c r="D520" s="1" t="str">
        <x:v>Rogers</x:v>
      </x:c>
      <x:c r="E520" s="1" t="str">
        <x:v>Cash</x:v>
      </x:c>
      <x:c r="F520" s="1" t="str">
        <x:v>J611</x:v>
      </x:c>
      <x:c r="G520" s="9" t="n">
        <x:v>261</x:v>
      </x:c>
      <x:c r="H520" s="9" t="n">
        <x:v>0</x:v>
      </x:c>
      <x:c r="I520" s="1" t="n">
        <x:v>639</x:v>
      </x:c>
      <x:c r="J520" s="1"/>
      <x:c r="K520" s="1" t="str">
        <x:v>GRAND-LIVRE-ORIGINAL-feuille-1.csv, ligne 639</x:v>
      </x:c>
    </x:row>
    <x:row r="521" ht="22" customHeight="1">
      <x:c r="A521" s="1" t="str">
        <x:v>5780</x:v>
      </x:c>
      <x:c r="B521" s="1" t="str">
        <x:v>Telephone</x:v>
      </x:c>
      <x:c r="C521" s="7" t="d">
        <x:v>2025-06-01T12:00:00.000Z</x:v>
      </x:c>
      <x:c r="D521" s="1" t="str">
        <x:v>Rogers</x:v>
      </x:c>
      <x:c r="E521" s="1" t="str">
        <x:v>Cash</x:v>
      </x:c>
      <x:c r="F521" s="1" t="str">
        <x:v>J612</x:v>
      </x:c>
      <x:c r="G521" s="9" t="n">
        <x:v>606.79</x:v>
      </x:c>
      <x:c r="H521" s="9" t="n">
        <x:v>0</x:v>
      </x:c>
      <x:c r="I521" s="1" t="n">
        <x:v>640</x:v>
      </x:c>
      <x:c r="J521" s="1"/>
      <x:c r="K521" s="1" t="str">
        <x:v>GRAND-LIVRE-ORIGINAL-feuille-1.csv, ligne 640</x:v>
      </x:c>
    </x:row>
    <x:row r="522" ht="22" customHeight="1">
      <x:c r="A522" s="1" t="str">
        <x:v>5780</x:v>
      </x:c>
      <x:c r="B522" s="1" t="str">
        <x:v>Telephone</x:v>
      </x:c>
      <x:c r="C522" s="7" t="d">
        <x:v>2025-06-01T12:00:00.000Z</x:v>
      </x:c>
      <x:c r="D522" s="1" t="str">
        <x:v>Rogers</x:v>
      </x:c>
      <x:c r="E522" s="1" t="str">
        <x:v>Cash</x:v>
      </x:c>
      <x:c r="F522" s="1" t="str">
        <x:v>J615</x:v>
      </x:c>
      <x:c r="G522" s="9" t="n">
        <x:v>260.66</x:v>
      </x:c>
      <x:c r="H522" s="9" t="n">
        <x:v>0</x:v>
      </x:c>
      <x:c r="I522" s="1" t="n">
        <x:v>641</x:v>
      </x:c>
      <x:c r="J522" s="1"/>
      <x:c r="K522" s="1" t="str">
        <x:v>GRAND-LIVRE-ORIGINAL-feuille-1.csv, ligne 641</x:v>
      </x:c>
    </x:row>
    <x:row r="523" ht="22" customHeight="1">
      <x:c r="A523" s="1" t="str">
        <x:v>5780</x:v>
      </x:c>
      <x:c r="B523" s="1" t="str">
        <x:v>Telephone</x:v>
      </x:c>
      <x:c r="C523" s="7" t="d">
        <x:v>2025-06-01T12:00:00.000Z</x:v>
      </x:c>
      <x:c r="D523" s="1" t="str">
        <x:v>Rogers</x:v>
      </x:c>
      <x:c r="E523" s="1" t="str">
        <x:v>Cash</x:v>
      </x:c>
      <x:c r="F523" s="1" t="str">
        <x:v>J616</x:v>
      </x:c>
      <x:c r="G523" s="9" t="n">
        <x:v>261</x:v>
      </x:c>
      <x:c r="H523" s="9" t="n">
        <x:v>0</x:v>
      </x:c>
      <x:c r="I523" s="1" t="n">
        <x:v>642</x:v>
      </x:c>
      <x:c r="J523" s="1"/>
      <x:c r="K523" s="1" t="str">
        <x:v>GRAND-LIVRE-ORIGINAL-feuille-1.csv, ligne 642</x:v>
      </x:c>
    </x:row>
    <x:row r="524" ht="22" customHeight="1">
      <x:c r="A524" s="1" t="str">
        <x:v>5780</x:v>
      </x:c>
      <x:c r="B524" s="1" t="str">
        <x:v>Telephone</x:v>
      </x:c>
      <x:c r="C524" s="7" t="d">
        <x:v>2025-06-01T12:00:00.000Z</x:v>
      </x:c>
      <x:c r="D524" s="1" t="str">
        <x:v>Rogers</x:v>
      </x:c>
      <x:c r="E524" s="1" t="str">
        <x:v>Cash</x:v>
      </x:c>
      <x:c r="F524" s="1" t="str">
        <x:v>J617</x:v>
      </x:c>
      <x:c r="G524" s="9" t="n">
        <x:v>361.26</x:v>
      </x:c>
      <x:c r="H524" s="9" t="n">
        <x:v>0</x:v>
      </x:c>
      <x:c r="I524" s="1" t="n">
        <x:v>643</x:v>
      </x:c>
      <x:c r="J524" s="1"/>
      <x:c r="K524" s="1" t="str">
        <x:v>GRAND-LIVRE-ORIGINAL-feuille-1.csv, ligne 643</x:v>
      </x:c>
    </x:row>
    <x:row r="525" ht="22" customHeight="1">
      <x:c r="A525" s="1" t="str">
        <x:v>5780</x:v>
      </x:c>
      <x:c r="B525" s="1" t="str">
        <x:v>Telephone</x:v>
      </x:c>
      <x:c r="C525" s="7" t="d">
        <x:v>2025-06-30T12:00:00.000Z</x:v>
      </x:c>
      <x:c r="D525" s="1" t="str">
        <x:v>Telus</x:v>
      </x:c>
      <x:c r="E525" s="1" t="str">
        <x:v>Cash</x:v>
      </x:c>
      <x:c r="F525" s="1" t="str">
        <x:v>J626</x:v>
      </x:c>
      <x:c r="G525" s="9" t="n">
        <x:v>768.45</x:v>
      </x:c>
      <x:c r="H525" s="9" t="n">
        <x:v>0</x:v>
      </x:c>
      <x:c r="I525" s="1" t="n">
        <x:v>644</x:v>
      </x:c>
      <x:c r="J525" s="1"/>
      <x:c r="K525" s="1" t="str">
        <x:v>GRAND-LIVRE-ORIGINAL-feuille-1.csv, ligne 644</x:v>
      </x:c>
    </x:row>
    <x:row r="526" ht="22" customHeight="1">
      <x:c r="A526" s="1" t="str">
        <x:v>5780</x:v>
      </x:c>
      <x:c r="B526" s="1" t="str">
        <x:v>Telephone</x:v>
      </x:c>
      <x:c r="C526" s="7" t="d">
        <x:v>2025-06-30T12:00:00.000Z</x:v>
      </x:c>
      <x:c r="D526" s="1" t="str">
        <x:v>Telus</x:v>
      </x:c>
      <x:c r="E526" s="1" t="str">
        <x:v>Cash</x:v>
      </x:c>
      <x:c r="F526" s="1" t="str">
        <x:v>J627</x:v>
      </x:c>
      <x:c r="G526" s="9" t="n">
        <x:v>564.94</x:v>
      </x:c>
      <x:c r="H526" s="9" t="n">
        <x:v>0</x:v>
      </x:c>
      <x:c r="I526" s="1" t="n">
        <x:v>645</x:v>
      </x:c>
      <x:c r="J526" s="1"/>
      <x:c r="K526" s="1" t="str">
        <x:v>GRAND-LIVRE-ORIGINAL-feuille-1.csv, ligne 645</x:v>
      </x:c>
    </x:row>
    <x:row r="527" ht="22" customHeight="1">
      <x:c r="A527" s="1" t="str">
        <x:v>5780</x:v>
      </x:c>
      <x:c r="B527" s="1" t="str">
        <x:v>Telephone</x:v>
      </x:c>
      <x:c r="C527" s="7" t="d">
        <x:v>2025-06-30T12:00:00.000Z</x:v>
      </x:c>
      <x:c r="D527" s="1" t="str">
        <x:v>Telus</x:v>
      </x:c>
      <x:c r="E527" s="1" t="str">
        <x:v>Cash</x:v>
      </x:c>
      <x:c r="F527" s="1" t="str">
        <x:v>J628</x:v>
      </x:c>
      <x:c r="G527" s="9" t="n">
        <x:v>35.12</x:v>
      </x:c>
      <x:c r="H527" s="9" t="n">
        <x:v>0</x:v>
      </x:c>
      <x:c r="I527" s="1" t="n">
        <x:v>646</x:v>
      </x:c>
      <x:c r="J527" s="1"/>
      <x:c r="K527" s="1" t="str">
        <x:v>GRAND-LIVRE-ORIGINAL-feuille-1.csv, ligne 646</x:v>
      </x:c>
    </x:row>
    <x:row r="528" ht="22" customHeight="1">
      <x:c r="A528" s="1" t="str">
        <x:v>5780</x:v>
      </x:c>
      <x:c r="B528" s="1" t="str">
        <x:v>Telephone</x:v>
      </x:c>
      <x:c r="C528" s="7" t="d">
        <x:v>2025-06-30T12:00:00.000Z</x:v>
      </x:c>
      <x:c r="D528" s="1" t="str">
        <x:v>Telus</x:v>
      </x:c>
      <x:c r="E528" s="1" t="str">
        <x:v>Cash</x:v>
      </x:c>
      <x:c r="F528" s="1" t="str">
        <x:v>J629</x:v>
      </x:c>
      <x:c r="G528" s="9" t="n">
        <x:v>96.87</x:v>
      </x:c>
      <x:c r="H528" s="9" t="n">
        <x:v>0</x:v>
      </x:c>
      <x:c r="I528" s="1" t="n">
        <x:v>647</x:v>
      </x:c>
      <x:c r="J528" s="1"/>
      <x:c r="K528" s="1" t="str">
        <x:v>GRAND-LIVRE-ORIGINAL-feuille-1.csv, ligne 647</x:v>
      </x:c>
    </x:row>
    <x:row r="529" ht="22" customHeight="1">
      <x:c r="A529" s="1" t="str">
        <x:v>5780</x:v>
      </x:c>
      <x:c r="B529" s="1" t="str">
        <x:v>Telephone</x:v>
      </x:c>
      <x:c r="C529" s="7" t="d">
        <x:v>2025-06-30T12:00:00.000Z</x:v>
      </x:c>
      <x:c r="D529" s="1" t="str">
        <x:v>Telus</x:v>
      </x:c>
      <x:c r="E529" s="1" t="str">
        <x:v>Cash</x:v>
      </x:c>
      <x:c r="F529" s="1" t="str">
        <x:v>J630</x:v>
      </x:c>
      <x:c r="G529" s="9" t="n">
        <x:v>159.88</x:v>
      </x:c>
      <x:c r="H529" s="9" t="n">
        <x:v>0</x:v>
      </x:c>
      <x:c r="I529" s="1" t="n">
        <x:v>648</x:v>
      </x:c>
      <x:c r="J529" s="1"/>
      <x:c r="K529" s="1" t="str">
        <x:v>GRAND-LIVRE-ORIGINAL-feuille-1.csv, ligne 648</x:v>
      </x:c>
    </x:row>
    <x:row r="530" ht="22" customHeight="1">
      <x:c r="A530" s="1" t="str">
        <x:v>5780</x:v>
      </x:c>
      <x:c r="B530" s="1" t="str">
        <x:v>Telephone</x:v>
      </x:c>
      <x:c r="C530" s="7" t="d">
        <x:v>2025-06-30T12:00:00.000Z</x:v>
      </x:c>
      <x:c r="D530" s="1" t="str">
        <x:v>Telus</x:v>
      </x:c>
      <x:c r="E530" s="1" t="str">
        <x:v>Cash</x:v>
      </x:c>
      <x:c r="F530" s="1" t="str">
        <x:v>J631</x:v>
      </x:c>
      <x:c r="G530" s="9" t="n">
        <x:v>224.15</x:v>
      </x:c>
      <x:c r="H530" s="9" t="n">
        <x:v>0</x:v>
      </x:c>
      <x:c r="I530" s="1" t="n">
        <x:v>649</x:v>
      </x:c>
      <x:c r="J530" s="1"/>
      <x:c r="K530" s="1" t="str">
        <x:v>GRAND-LIVRE-ORIGINAL-feuille-1.csv, ligne 649</x:v>
      </x:c>
    </x:row>
    <x:row r="531" ht="22" customHeight="1">
      <x:c r="A531" s="1" t="str">
        <x:v>5780</x:v>
      </x:c>
      <x:c r="B531" s="1" t="str">
        <x:v>Telephone</x:v>
      </x:c>
      <x:c r="C531" s="7" t="d">
        <x:v>2025-06-30T12:00:00.000Z</x:v>
      </x:c>
      <x:c r="D531" s="1" t="str">
        <x:v>Telus</x:v>
      </x:c>
      <x:c r="E531" s="1" t="str">
        <x:v>Cash</x:v>
      </x:c>
      <x:c r="F531" s="1" t="str">
        <x:v>J632</x:v>
      </x:c>
      <x:c r="G531" s="9" t="n">
        <x:v>289.7</x:v>
      </x:c>
      <x:c r="H531" s="9" t="n">
        <x:v>0</x:v>
      </x:c>
      <x:c r="I531" s="1" t="n">
        <x:v>650</x:v>
      </x:c>
      <x:c r="J531" s="1"/>
      <x:c r="K531" s="1" t="str">
        <x:v>GRAND-LIVRE-ORIGINAL-feuille-1.csv, ligne 650</x:v>
      </x:c>
    </x:row>
    <x:row r="532" ht="22" customHeight="1">
      <x:c r="A532" s="1" t="str">
        <x:v>5780</x:v>
      </x:c>
      <x:c r="B532" s="1" t="str">
        <x:v>Telephone</x:v>
      </x:c>
      <x:c r="C532" s="7" t="d">
        <x:v>2025-06-30T12:00:00.000Z</x:v>
      </x:c>
      <x:c r="D532" s="1" t="str">
        <x:v>Videotron</x:v>
      </x:c>
      <x:c r="E532" s="1" t="str">
        <x:v>Cash</x:v>
      </x:c>
      <x:c r="F532" s="1" t="str">
        <x:v>J659</x:v>
      </x:c>
      <x:c r="G532" s="9" t="n">
        <x:v>326.97</x:v>
      </x:c>
      <x:c r="H532" s="9" t="n">
        <x:v>0</x:v>
      </x:c>
      <x:c r="I532" s="1" t="n">
        <x:v>651</x:v>
      </x:c>
      <x:c r="J532" s="1"/>
      <x:c r="K532" s="1" t="str">
        <x:v>GRAND-LIVRE-ORIGINAL-feuille-1.csv, ligne 651</x:v>
      </x:c>
    </x:row>
    <x:row r="533" ht="22" customHeight="1">
      <x:c r="A533" s="1" t="str">
        <x:v>5780</x:v>
      </x:c>
      <x:c r="B533" s="1" t="str">
        <x:v>Telephone</x:v>
      </x:c>
      <x:c r="C533" s="7" t="d">
        <x:v>2025-06-30T12:00:00.000Z</x:v>
      </x:c>
      <x:c r="D533" s="1" t="str">
        <x:v>Videotron</x:v>
      </x:c>
      <x:c r="E533" s="1" t="str">
        <x:v>Cash</x:v>
      </x:c>
      <x:c r="F533" s="1" t="str">
        <x:v>J660</x:v>
      </x:c>
      <x:c r="G533" s="9" t="n">
        <x:v>264</x:v>
      </x:c>
      <x:c r="H533" s="9" t="n">
        <x:v>0</x:v>
      </x:c>
      <x:c r="I533" s="1" t="n">
        <x:v>652</x:v>
      </x:c>
      <x:c r="J533" s="1"/>
      <x:c r="K533" s="1" t="str">
        <x:v>GRAND-LIVRE-ORIGINAL-feuille-1.csv, ligne 652</x:v>
      </x:c>
    </x:row>
    <x:row r="534" ht="22" customHeight="1">
      <x:c r="A534" s="1" t="str">
        <x:v>5780</x:v>
      </x:c>
      <x:c r="B534" s="1" t="str">
        <x:v>Telephone</x:v>
      </x:c>
      <x:c r="C534" s="7" t="d">
        <x:v>2025-06-30T12:00:00.000Z</x:v>
      </x:c>
      <x:c r="D534" s="1" t="str">
        <x:v>Videotron</x:v>
      </x:c>
      <x:c r="E534" s="1" t="str">
        <x:v>Cash</x:v>
      </x:c>
      <x:c r="F534" s="1" t="str">
        <x:v>J661</x:v>
      </x:c>
      <x:c r="G534" s="9" t="n">
        <x:v>259.7</x:v>
      </x:c>
      <x:c r="H534" s="9" t="n">
        <x:v>0</x:v>
      </x:c>
      <x:c r="I534" s="1" t="n">
        <x:v>653</x:v>
      </x:c>
      <x:c r="J534" s="1"/>
      <x:c r="K534" s="1" t="str">
        <x:v>GRAND-LIVRE-ORIGINAL-feuille-1.csv, ligne 653</x:v>
      </x:c>
    </x:row>
    <x:row r="535" ht="22" customHeight="1">
      <x:c r="A535" s="1" t="str">
        <x:v>5780</x:v>
      </x:c>
      <x:c r="B535" s="1" t="str">
        <x:v>Telephone</x:v>
      </x:c>
      <x:c r="C535" s="7" t="d">
        <x:v>2025-06-30T12:00:00.000Z</x:v>
      </x:c>
      <x:c r="D535" s="1" t="str">
        <x:v>Videotron</x:v>
      </x:c>
      <x:c r="E535" s="1" t="str">
        <x:v>Cash</x:v>
      </x:c>
      <x:c r="F535" s="1" t="str">
        <x:v>J662</x:v>
      </x:c>
      <x:c r="G535" s="9" t="n">
        <x:v>128.1</x:v>
      </x:c>
      <x:c r="H535" s="9" t="n">
        <x:v>0</x:v>
      </x:c>
      <x:c r="I535" s="1" t="n">
        <x:v>654</x:v>
      </x:c>
      <x:c r="J535" s="1"/>
      <x:c r="K535" s="1" t="str">
        <x:v>GRAND-LIVRE-ORIGINAL-feuille-1.csv, ligne 654</x:v>
      </x:c>
    </x:row>
    <x:row r="536" ht="22" customHeight="1">
      <x:c r="A536" s="1" t="str">
        <x:v>5780</x:v>
      </x:c>
      <x:c r="B536" s="1" t="str">
        <x:v>Telephone</x:v>
      </x:c>
      <x:c r="C536" s="7" t="d">
        <x:v>2025-06-30T12:00:00.000Z</x:v>
      </x:c>
      <x:c r="D536" s="1" t="str">
        <x:v>Videotron</x:v>
      </x:c>
      <x:c r="E536" s="1" t="str">
        <x:v>Cash</x:v>
      </x:c>
      <x:c r="F536" s="1" t="str">
        <x:v>J664</x:v>
      </x:c>
      <x:c r="G536" s="9" t="n">
        <x:v>128.1</x:v>
      </x:c>
      <x:c r="H536" s="9" t="n">
        <x:v>0</x:v>
      </x:c>
      <x:c r="I536" s="1" t="n">
        <x:v>655</x:v>
      </x:c>
      <x:c r="J536" s="1"/>
      <x:c r="K536" s="1" t="str">
        <x:v>GRAND-LIVRE-ORIGINAL-feuille-1.csv, ligne 655</x:v>
      </x:c>
    </x:row>
    <x:row r="537" ht="22" customHeight="1">
      <x:c r="A537" s="1" t="str">
        <x:v>5780</x:v>
      </x:c>
      <x:c r="B537" s="1" t="str">
        <x:v>Telephone</x:v>
      </x:c>
      <x:c r="C537" s="7" t="d">
        <x:v>2025-06-30T12:00:00.000Z</x:v>
      </x:c>
      <x:c r="D537" s="1" t="str">
        <x:v>Phone2</x:v>
      </x:c>
      <x:c r="E537" s="1" t="str">
        <x:v>Cash</x:v>
      </x:c>
      <x:c r="F537" s="1" t="str">
        <x:v>J693</x:v>
      </x:c>
      <x:c r="G537" s="9" t="n">
        <x:v>48</x:v>
      </x:c>
      <x:c r="H537" s="9" t="n">
        <x:v>0</x:v>
      </x:c>
      <x:c r="I537" s="1" t="n">
        <x:v>656</x:v>
      </x:c>
      <x:c r="J537" s="1"/>
      <x:c r="K537" s="1" t="str">
        <x:v>GRAND-LIVRE-ORIGINAL-feuille-1.csv, ligne 656</x:v>
      </x:c>
    </x:row>
    <x:row r="538" ht="22" customHeight="1">
      <x:c r="A538" s="1" t="str">
        <x:v>5780</x:v>
      </x:c>
      <x:c r="B538" s="1" t="str">
        <x:v>Telephone</x:v>
      </x:c>
      <x:c r="C538" s="7" t="d">
        <x:v>2025-06-30T12:00:00.000Z</x:v>
      </x:c>
      <x:c r="D538" s="1" t="str">
        <x:v>Phone2</x:v>
      </x:c>
      <x:c r="E538" s="1" t="str">
        <x:v>Cash</x:v>
      </x:c>
      <x:c r="F538" s="1" t="str">
        <x:v>J694</x:v>
      </x:c>
      <x:c r="G538" s="9" t="n">
        <x:v>69</x:v>
      </x:c>
      <x:c r="H538" s="9" t="n">
        <x:v>0</x:v>
      </x:c>
      <x:c r="I538" s="1" t="n">
        <x:v>657</x:v>
      </x:c>
      <x:c r="J538" s="1"/>
      <x:c r="K538" s="1" t="str">
        <x:v>GRAND-LIVRE-ORIGINAL-feuille-1.csv, ligne 657</x:v>
      </x:c>
    </x:row>
    <x:row r="539" ht="22" customHeight="1">
      <x:c r="A539" s="1" t="str">
        <x:v>5780</x:v>
      </x:c>
      <x:c r="B539" s="1" t="str">
        <x:v>Telephone</x:v>
      </x:c>
      <x:c r="C539" s="7" t="d">
        <x:v>2025-06-30T12:00:00.000Z</x:v>
      </x:c>
      <x:c r="D539" s="1" t="str">
        <x:v>Phone2</x:v>
      </x:c>
      <x:c r="E539" s="1" t="str">
        <x:v>Cash</x:v>
      </x:c>
      <x:c r="F539" s="1" t="str">
        <x:v>J695</x:v>
      </x:c>
      <x:c r="G539" s="9" t="n">
        <x:v>59.99</x:v>
      </x:c>
      <x:c r="H539" s="9" t="n">
        <x:v>0</x:v>
      </x:c>
      <x:c r="I539" s="1" t="n">
        <x:v>658</x:v>
      </x:c>
      <x:c r="J539" s="1"/>
      <x:c r="K539" s="1" t="str">
        <x:v>GRAND-LIVRE-ORIGINAL-feuille-1.csv, ligne 658</x:v>
      </x:c>
    </x:row>
    <x:row r="540" ht="22" customHeight="1">
      <x:c r="A540" s="1" t="str">
        <x:v>5780</x:v>
      </x:c>
      <x:c r="B540" s="1" t="str">
        <x:v>Telephone</x:v>
      </x:c>
      <x:c r="C540" s="7" t="d">
        <x:v>2025-06-30T12:00:00.000Z</x:v>
      </x:c>
      <x:c r="D540" s="1" t="str">
        <x:v>Phone2</x:v>
      </x:c>
      <x:c r="E540" s="1" t="str">
        <x:v>Cash</x:v>
      </x:c>
      <x:c r="F540" s="1" t="str">
        <x:v>J696</x:v>
      </x:c>
      <x:c r="G540" s="9" t="n">
        <x:v>16.95</x:v>
      </x:c>
      <x:c r="H540" s="9" t="n">
        <x:v>0</x:v>
      </x:c>
      <x:c r="I540" s="1" t="n">
        <x:v>659</x:v>
      </x:c>
      <x:c r="J540" s="1"/>
      <x:c r="K540" s="1" t="str">
        <x:v>GRAND-LIVRE-ORIGINAL-feuille-1.csv, ligne 659</x:v>
      </x:c>
    </x:row>
    <x:row r="541" ht="22" customHeight="1">
      <x:c r="A541" s="1" t="str">
        <x:v>5784</x:v>
      </x:c>
      <x:c r="B541" s="1" t="str">
        <x:v>Travel &amp; Entertainment</x:v>
      </x:c>
      <x:c r="C541" s="7" t="d">
        <x:v>2024-12-04T12:00:00.000Z</x:v>
      </x:c>
      <x:c r="D541" s="1" t="str">
        <x:v>Meals</x:v>
      </x:c>
      <x:c r="E541" s="1" t="str">
        <x:v>Cash</x:v>
      </x:c>
      <x:c r="F541" s="1" t="str">
        <x:v>J101</x:v>
      </x:c>
      <x:c r="G541" s="9" t="n">
        <x:v>51.45</x:v>
      </x:c>
      <x:c r="H541" s="9" t="n">
        <x:v>0</x:v>
      </x:c>
      <x:c r="I541" s="1" t="n">
        <x:v>663</x:v>
      </x:c>
      <x:c r="J541" s="1"/>
      <x:c r="K541" s="1" t="str">
        <x:v>GRAND-LIVRE-ORIGINAL-feuille-1.csv, ligne 663</x:v>
      </x:c>
    </x:row>
    <x:row r="542" ht="22" customHeight="1">
      <x:c r="A542" s="1" t="str">
        <x:v>5784</x:v>
      </x:c>
      <x:c r="B542" s="1" t="str">
        <x:v>Travel &amp; Entertainment</x:v>
      </x:c>
      <x:c r="C542" s="7" t="d">
        <x:v>2025-06-01T12:00:00.000Z</x:v>
      </x:c>
      <x:c r="D542" s="1" t="str">
        <x:v>Travel</x:v>
      </x:c>
      <x:c r="E542" s="1" t="str">
        <x:v>Cash</x:v>
      </x:c>
      <x:c r="F542" s="1" t="str">
        <x:v>J609</x:v>
      </x:c>
      <x:c r="G542" s="9" t="n">
        <x:v>411.89</x:v>
      </x:c>
      <x:c r="H542" s="9" t="n">
        <x:v>0</x:v>
      </x:c>
      <x:c r="I542" s="1" t="n">
        <x:v>664</x:v>
      </x:c>
      <x:c r="J542" s="1"/>
      <x:c r="K542" s="1" t="str">
        <x:v>GRAND-LIVRE-ORIGINAL-feuille-1.csv, ligne 664</x:v>
      </x:c>
    </x:row>
    <x:row r="543" ht="22" customHeight="1">
      <x:c r="A543" s="1" t="str">
        <x:v>5790</x:v>
      </x:c>
      <x:c r="B543" s="1" t="str">
        <x:v>Utilities</x:v>
      </x:c>
      <x:c r="C543" s="7" t="d">
        <x:v>2024-07-01T12:00:00.000Z</x:v>
      </x:c>
      <x:c r="D543" s="1" t="str">
        <x:v>Hydro Quebec</x:v>
      </x:c>
      <x:c r="E543" s="1" t="str">
        <x:v>Cash</x:v>
      </x:c>
      <x:c r="F543" s="1" t="str">
        <x:v>J2</x:v>
      </x:c>
      <x:c r="G543" s="9" t="n">
        <x:v>861.06</x:v>
      </x:c>
      <x:c r="H543" s="9" t="n">
        <x:v>0</x:v>
      </x:c>
      <x:c r="I543" s="1" t="n">
        <x:v>670</x:v>
      </x:c>
      <x:c r="J543" s="1"/>
      <x:c r="K543" s="1" t="str">
        <x:v>GRAND-LIVRE-ORIGINAL-feuille-1.csv, ligne 670</x:v>
      </x:c>
    </x:row>
    <x:row r="544" ht="22" customHeight="1">
      <x:c r="A544" s="1" t="str">
        <x:v>5790</x:v>
      </x:c>
      <x:c r="B544" s="1" t="str">
        <x:v>Utilities</x:v>
      </x:c>
      <x:c r="C544" s="7" t="d">
        <x:v>2024-07-01T12:00:00.000Z</x:v>
      </x:c>
      <x:c r="D544" s="1" t="str">
        <x:v>Hydro Quebec</x:v>
      </x:c>
      <x:c r="E544" s="1" t="str">
        <x:v>Cash</x:v>
      </x:c>
      <x:c r="F544" s="1" t="str">
        <x:v>J3</x:v>
      </x:c>
      <x:c r="G544" s="9" t="n">
        <x:v>434.88</x:v>
      </x:c>
      <x:c r="H544" s="9" t="n">
        <x:v>0</x:v>
      </x:c>
      <x:c r="I544" s="1" t="n">
        <x:v>671</x:v>
      </x:c>
      <x:c r="J544" s="1"/>
      <x:c r="K544" s="1" t="str">
        <x:v>GRAND-LIVRE-ORIGINAL-feuille-1.csv, ligne 671</x:v>
      </x:c>
    </x:row>
    <x:row r="545" ht="22" customHeight="1">
      <x:c r="A545" s="1" t="str">
        <x:v>5790</x:v>
      </x:c>
      <x:c r="B545" s="1" t="str">
        <x:v>Utilities</x:v>
      </x:c>
      <x:c r="C545" s="7" t="d">
        <x:v>2024-07-01T12:00:00.000Z</x:v>
      </x:c>
      <x:c r="D545" s="1" t="str">
        <x:v>Quadro Holdings</x:v>
      </x:c>
      <x:c r="E545" s="1" t="str">
        <x:v>Cash</x:v>
      </x:c>
      <x:c r="F545" s="1" t="str">
        <x:v>J328</x:v>
      </x:c>
      <x:c r="G545" s="9" t="n">
        <x:v>25</x:v>
      </x:c>
      <x:c r="H545" s="9" t="n">
        <x:v>0</x:v>
      </x:c>
      <x:c r="I545" s="1" t="n">
        <x:v>672</x:v>
      </x:c>
      <x:c r="J545" s="1"/>
      <x:c r="K545" s="1" t="str">
        <x:v>GRAND-LIVRE-ORIGINAL-feuille-1.csv, ligne 672</x:v>
      </x:c>
    </x:row>
    <x:row r="546" ht="22" customHeight="1">
      <x:c r="A546" s="1" t="str">
        <x:v>5790</x:v>
      </x:c>
      <x:c r="B546" s="1" t="str">
        <x:v>Utilities</x:v>
      </x:c>
      <x:c r="C546" s="7" t="d">
        <x:v>2024-07-26T12:00:00.000Z</x:v>
      </x:c>
      <x:c r="D546" s="1" t="str">
        <x:v>Hydro Quebec</x:v>
      </x:c>
      <x:c r="E546" s="1" t="str">
        <x:v>Cash</x:v>
      </x:c>
      <x:c r="F546" s="1" t="str">
        <x:v>J11</x:v>
      </x:c>
      <x:c r="G546" s="9" t="n">
        <x:v>434.88</x:v>
      </x:c>
      <x:c r="H546" s="9" t="n">
        <x:v>0</x:v>
      </x:c>
      <x:c r="I546" s="1" t="n">
        <x:v>673</x:v>
      </x:c>
      <x:c r="J546" s="1"/>
      <x:c r="K546" s="1" t="str">
        <x:v>GRAND-LIVRE-ORIGINAL-feuille-1.csv, ligne 673</x:v>
      </x:c>
    </x:row>
    <x:row r="547" ht="22" customHeight="1">
      <x:c r="A547" s="1" t="str">
        <x:v>5790</x:v>
      </x:c>
      <x:c r="B547" s="1" t="str">
        <x:v>Utilities</x:v>
      </x:c>
      <x:c r="C547" s="7" t="d">
        <x:v>2024-08-16T12:00:00.000Z</x:v>
      </x:c>
      <x:c r="D547" s="1" t="str">
        <x:v>Hydro Quebec</x:v>
      </x:c>
      <x:c r="E547" s="1" t="str">
        <x:v>Cash</x:v>
      </x:c>
      <x:c r="F547" s="1" t="str">
        <x:v>J25</x:v>
      </x:c>
      <x:c r="G547" s="9" t="n">
        <x:v>782.78</x:v>
      </x:c>
      <x:c r="H547" s="9" t="n">
        <x:v>0</x:v>
      </x:c>
      <x:c r="I547" s="1" t="n">
        <x:v>674</x:v>
      </x:c>
      <x:c r="J547" s="1"/>
      <x:c r="K547" s="1" t="str">
        <x:v>GRAND-LIVRE-ORIGINAL-feuille-1.csv, ligne 674</x:v>
      </x:c>
    </x:row>
    <x:row r="548" ht="22" customHeight="1">
      <x:c r="A548" s="1" t="str">
        <x:v>5790</x:v>
      </x:c>
      <x:c r="B548" s="1" t="str">
        <x:v>Utilities</x:v>
      </x:c>
      <x:c r="C548" s="7" t="d">
        <x:v>2024-12-02T12:00:00.000Z</x:v>
      </x:c>
      <x:c r="D548" s="1" t="str">
        <x:v>Quadro Holdings</x:v>
      </x:c>
      <x:c r="E548" s="1" t="str">
        <x:v>Cash</x:v>
      </x:c>
      <x:c r="F548" s="1" t="str">
        <x:v>J259</x:v>
      </x:c>
      <x:c r="G548" s="9" t="n">
        <x:v>217.44</x:v>
      </x:c>
      <x:c r="H548" s="9" t="n">
        <x:v>0</x:v>
      </x:c>
      <x:c r="I548" s="1" t="n">
        <x:v>675</x:v>
      </x:c>
      <x:c r="J548" s="1"/>
      <x:c r="K548" s="1" t="str">
        <x:v>GRAND-LIVRE-ORIGINAL-feuille-1.csv, ligne 675</x:v>
      </x:c>
    </x:row>
    <x:row r="549" ht="22" customHeight="1">
      <x:c r="A549" s="1" t="str">
        <x:v>5790</x:v>
      </x:c>
      <x:c r="B549" s="1" t="str">
        <x:v>Utilities</x:v>
      </x:c>
      <x:c r="C549" s="7" t="d">
        <x:v>2024-12-11T12:00:00.000Z</x:v>
      </x:c>
      <x:c r="D549" s="1" t="str">
        <x:v>Quadro Holdings</x:v>
      </x:c>
      <x:c r="E549" s="1" t="str">
        <x:v>Cash</x:v>
      </x:c>
      <x:c r="F549" s="1" t="str">
        <x:v>J261</x:v>
      </x:c>
      <x:c r="G549" s="9" t="n">
        <x:v>127.86</x:v>
      </x:c>
      <x:c r="H549" s="9" t="n">
        <x:v>0</x:v>
      </x:c>
      <x:c r="I549" s="1" t="n">
        <x:v>676</x:v>
      </x:c>
      <x:c r="J549" s="1"/>
      <x:c r="K549" s="1" t="str">
        <x:v>GRAND-LIVRE-ORIGINAL-feuille-1.csv, ligne 676</x:v>
      </x:c>
    </x:row>
    <x:row r="550" ht="22" customHeight="1">
      <x:c r="A550" s="1" t="str">
        <x:v>5790</x:v>
      </x:c>
      <x:c r="B550" s="1" t="str">
        <x:v>Utilities</x:v>
      </x:c>
      <x:c r="C550" s="7" t="d">
        <x:v>2024-12-20T12:00:00.000Z</x:v>
      </x:c>
      <x:c r="D550" s="1" t="str">
        <x:v>Quadro Holdings</x:v>
      </x:c>
      <x:c r="E550" s="1" t="str">
        <x:v>Cash</x:v>
      </x:c>
      <x:c r="F550" s="1" t="str">
        <x:v>J263</x:v>
      </x:c>
      <x:c r="G550" s="9" t="n">
        <x:v>172.75</x:v>
      </x:c>
      <x:c r="H550" s="9" t="n">
        <x:v>0</x:v>
      </x:c>
      <x:c r="I550" s="1" t="n">
        <x:v>677</x:v>
      </x:c>
      <x:c r="J550" s="1"/>
      <x:c r="K550" s="1" t="str">
        <x:v>GRAND-LIVRE-ORIGINAL-feuille-1.csv, ligne 677</x:v>
      </x:c>
    </x:row>
    <x:row r="551" ht="22" customHeight="1">
      <x:c r="A551" s="1" t="str">
        <x:v>5790</x:v>
      </x:c>
      <x:c r="B551" s="1" t="str">
        <x:v>Utilities</x:v>
      </x:c>
      <x:c r="C551" s="7" t="d">
        <x:v>2024-12-25T12:00:00.000Z</x:v>
      </x:c>
      <x:c r="D551" s="1" t="str">
        <x:v>Quadro Holdings</x:v>
      </x:c>
      <x:c r="E551" s="1" t="str">
        <x:v>Cash</x:v>
      </x:c>
      <x:c r="F551" s="1" t="str">
        <x:v>J265</x:v>
      </x:c>
      <x:c r="G551" s="9" t="n">
        <x:v>172.75</x:v>
      </x:c>
      <x:c r="H551" s="9" t="n">
        <x:v>0</x:v>
      </x:c>
      <x:c r="I551" s="1" t="n">
        <x:v>678</x:v>
      </x:c>
      <x:c r="J551" s="1"/>
      <x:c r="K551" s="1" t="str">
        <x:v>GRAND-LIVRE-ORIGINAL-feuille-1.csv, ligne 678</x:v>
      </x:c>
    </x:row>
    <x:row r="552" ht="22" customHeight="1">
      <x:c r="A552" s="1" t="str">
        <x:v>5790</x:v>
      </x:c>
      <x:c r="B552" s="1" t="str">
        <x:v>Utilities</x:v>
      </x:c>
      <x:c r="C552" s="7" t="d">
        <x:v>2025-01-09T12:00:00.000Z</x:v>
      </x:c>
      <x:c r="D552" s="1" t="str">
        <x:v>Quadro Holdings</x:v>
      </x:c>
      <x:c r="E552" s="1" t="str">
        <x:v>Cash</x:v>
      </x:c>
      <x:c r="F552" s="1" t="str">
        <x:v>J267</x:v>
      </x:c>
      <x:c r="G552" s="9" t="n">
        <x:v>172.75</x:v>
      </x:c>
      <x:c r="H552" s="9" t="n">
        <x:v>0</x:v>
      </x:c>
      <x:c r="I552" s="1" t="n">
        <x:v>679</x:v>
      </x:c>
      <x:c r="J552" s="1"/>
      <x:c r="K552" s="1" t="str">
        <x:v>GRAND-LIVRE-ORIGINAL-feuille-1.csv, ligne 679</x:v>
      </x:c>
    </x:row>
    <x:row r="553" ht="22" customHeight="1">
      <x:c r="A553" s="1" t="str">
        <x:v>5790</x:v>
      </x:c>
      <x:c r="B553" s="1" t="str">
        <x:v>Utilities</x:v>
      </x:c>
      <x:c r="C553" s="7" t="d">
        <x:v>2025-03-06T12:00:00.000Z</x:v>
      </x:c>
      <x:c r="D553" s="1" t="str">
        <x:v>Quadro Holdings</x:v>
      </x:c>
      <x:c r="E553" s="1" t="str">
        <x:v>Cash</x:v>
      </x:c>
      <x:c r="F553" s="1" t="str">
        <x:v>J292</x:v>
      </x:c>
      <x:c r="G553" s="9" t="n">
        <x:v>172.75</x:v>
      </x:c>
      <x:c r="H553" s="9" t="n">
        <x:v>0</x:v>
      </x:c>
      <x:c r="I553" s="1" t="n">
        <x:v>680</x:v>
      </x:c>
      <x:c r="J553" s="1"/>
      <x:c r="K553" s="1" t="str">
        <x:v>GRAND-LIVRE-ORIGINAL-feuille-1.csv, ligne 680</x:v>
      </x:c>
    </x:row>
    <x:row r="554" ht="22" customHeight="1">
      <x:c r="A554" s="1" t="str">
        <x:v>5790</x:v>
      </x:c>
      <x:c r="B554" s="1" t="str">
        <x:v>Utilities</x:v>
      </x:c>
      <x:c r="C554" s="7" t="d">
        <x:v>2025-05-01T12:00:00.000Z</x:v>
      </x:c>
      <x:c r="D554" s="1" t="str">
        <x:v>Quadro Holdings</x:v>
      </x:c>
      <x:c r="E554" s="1" t="str">
        <x:v>Cash</x:v>
      </x:c>
      <x:c r="F554" s="1" t="str">
        <x:v>J558</x:v>
      </x:c>
      <x:c r="G554" s="9" t="n">
        <x:v>369.6</x:v>
      </x:c>
      <x:c r="H554" s="9" t="n">
        <x:v>0</x:v>
      </x:c>
      <x:c r="I554" s="1" t="n">
        <x:v>681</x:v>
      </x:c>
      <x:c r="J554" s="1"/>
      <x:c r="K554" s="1" t="str">
        <x:v>GRAND-LIVRE-ORIGINAL-feuille-1.csv, ligne 681</x:v>
      </x:c>
    </x:row>
    <x:row r="555" ht="22" customHeight="1">
      <x:c r="A555" s="1" t="str">
        <x:v>5898</x:v>
      </x:c>
      <x:c r="B555" s="1" t="str">
        <x:v>Online Payment Fees</x:v>
      </x:c>
      <x:c r="C555" s="7" t="d">
        <x:v>2024-07-01T12:00:00.000Z</x:v>
      </x:c>
      <x:c r="D555" s="1" t="str">
        <x:v>First Data</x:v>
      </x:c>
      <x:c r="E555" s="1" t="str">
        <x:v>Cash</x:v>
      </x:c>
      <x:c r="F555" s="1" t="str">
        <x:v>J257</x:v>
      </x:c>
      <x:c r="G555" s="9" t="n">
        <x:v>38.3</x:v>
      </x:c>
      <x:c r="H555" s="9" t="n">
        <x:v>0</x:v>
      </x:c>
      <x:c r="I555" s="1" t="n">
        <x:v>693</x:v>
      </x:c>
      <x:c r="J555" s="1"/>
      <x:c r="K555" s="1" t="str">
        <x:v>GRAND-LIVRE-ORIGINAL-feuille-1.csv, ligne 693</x:v>
      </x:c>
    </x:row>
    <x:row r="556" ht="22" customHeight="1">
      <x:c r="A556" s="1" t="str">
        <x:v>5898</x:v>
      </x:c>
      <x:c r="B556" s="1" t="str">
        <x:v>Online Payment Fees</x:v>
      </x:c>
      <x:c r="C556" s="7" t="d">
        <x:v>2024-07-10T12:00:00.000Z</x:v>
      </x:c>
      <x:c r="D556" s="1" t="str">
        <x:v>Clover App Market</x:v>
      </x:c>
      <x:c r="E556" s="1" t="str">
        <x:v>Cash</x:v>
      </x:c>
      <x:c r="F556" s="1" t="str">
        <x:v>J7</x:v>
      </x:c>
      <x:c r="G556" s="9" t="n">
        <x:v>49.95</x:v>
      </x:c>
      <x:c r="H556" s="9" t="n">
        <x:v>0</x:v>
      </x:c>
      <x:c r="I556" s="1" t="n">
        <x:v>694</x:v>
      </x:c>
      <x:c r="J556" s="1"/>
      <x:c r="K556" s="1" t="str">
        <x:v>GRAND-LIVRE-ORIGINAL-feuille-1.csv, ligne 694</x:v>
      </x:c>
    </x:row>
    <x:row r="557" ht="22" customHeight="1">
      <x:c r="A557" s="1" t="str">
        <x:v>5898</x:v>
      </x:c>
      <x:c r="B557" s="1" t="str">
        <x:v>Online Payment Fees</x:v>
      </x:c>
      <x:c r="C557" s="7" t="d">
        <x:v>2024-07-30T12:00:00.000Z</x:v>
      </x:c>
      <x:c r="D557" s="1" t="str">
        <x:v>First Data</x:v>
      </x:c>
      <x:c r="E557" s="1" t="str">
        <x:v>Cash</x:v>
      </x:c>
      <x:c r="F557" s="1" t="str">
        <x:v>J253</x:v>
      </x:c>
      <x:c r="G557" s="9" t="n">
        <x:v>5.18</x:v>
      </x:c>
      <x:c r="H557" s="9" t="n">
        <x:v>0</x:v>
      </x:c>
      <x:c r="I557" s="1" t="n">
        <x:v>695</x:v>
      </x:c>
      <x:c r="J557" s="1"/>
      <x:c r="K557" s="1" t="str">
        <x:v>GRAND-LIVRE-ORIGINAL-feuille-1.csv, ligne 695</x:v>
      </x:c>
    </x:row>
    <x:row r="558" ht="22" customHeight="1">
      <x:c r="A558" s="1" t="str">
        <x:v>5898</x:v>
      </x:c>
      <x:c r="B558" s="1" t="str">
        <x:v>Online Payment Fees</x:v>
      </x:c>
      <x:c r="C558" s="7" t="d">
        <x:v>2024-07-30T12:00:00.000Z</x:v>
      </x:c>
      <x:c r="D558" s="1" t="str">
        <x:v>First Data</x:v>
      </x:c>
      <x:c r="E558" s="1" t="str">
        <x:v>Cash</x:v>
      </x:c>
      <x:c r="F558" s="1" t="str">
        <x:v>J255</x:v>
      </x:c>
      <x:c r="G558" s="9" t="n">
        <x:v>17.3</x:v>
      </x:c>
      <x:c r="H558" s="9" t="n">
        <x:v>0</x:v>
      </x:c>
      <x:c r="I558" s="1" t="n">
        <x:v>696</x:v>
      </x:c>
      <x:c r="J558" s="1"/>
      <x:c r="K558" s="1" t="str">
        <x:v>GRAND-LIVRE-ORIGINAL-feuille-1.csv, ligne 696</x:v>
      </x:c>
    </x:row>
    <x:row r="559" ht="22" customHeight="1">
      <x:c r="A559" s="1" t="str">
        <x:v>5898</x:v>
      </x:c>
      <x:c r="B559" s="1" t="str">
        <x:v>Online Payment Fees</x:v>
      </x:c>
      <x:c r="C559" s="7" t="d">
        <x:v>2024-08-12T12:00:00.000Z</x:v>
      </x:c>
      <x:c r="D559" s="1" t="str">
        <x:v>Clover App Market</x:v>
      </x:c>
      <x:c r="E559" s="1" t="str">
        <x:v>Cash</x:v>
      </x:c>
      <x:c r="F559" s="1" t="str">
        <x:v>J22</x:v>
      </x:c>
      <x:c r="G559" s="9" t="n">
        <x:v>49.95</x:v>
      </x:c>
      <x:c r="H559" s="9" t="n">
        <x:v>0</x:v>
      </x:c>
      <x:c r="I559" s="1" t="n">
        <x:v>697</x:v>
      </x:c>
      <x:c r="J559" s="1"/>
      <x:c r="K559" s="1" t="str">
        <x:v>GRAND-LIVRE-ORIGINAL-feuille-1.csv, ligne 697</x:v>
      </x:c>
    </x:row>
    <x:row r="560" ht="22" customHeight="1">
      <x:c r="A560" s="1" t="str">
        <x:v>5898</x:v>
      </x:c>
      <x:c r="B560" s="1" t="str">
        <x:v>Online Payment Fees</x:v>
      </x:c>
      <x:c r="C560" s="7" t="d">
        <x:v>2024-08-31T12:00:00.000Z</x:v>
      </x:c>
      <x:c r="D560" s="1" t="str">
        <x:v>First Data</x:v>
      </x:c>
      <x:c r="E560" s="1" t="str">
        <x:v>Cash</x:v>
      </x:c>
      <x:c r="F560" s="1" t="str">
        <x:v>J21</x:v>
      </x:c>
      <x:c r="G560" s="9" t="n">
        <x:v>70.63</x:v>
      </x:c>
      <x:c r="H560" s="9" t="n">
        <x:v>0</x:v>
      </x:c>
      <x:c r="I560" s="1" t="n">
        <x:v>698</x:v>
      </x:c>
      <x:c r="J560" s="1"/>
      <x:c r="K560" s="1" t="str">
        <x:v>GRAND-LIVRE-ORIGINAL-feuille-1.csv, ligne 698</x:v>
      </x:c>
    </x:row>
    <x:row r="561" ht="22" customHeight="1">
      <x:c r="A561" s="1" t="str">
        <x:v>5898</x:v>
      </x:c>
      <x:c r="B561" s="1" t="str">
        <x:v>Online Payment Fees</x:v>
      </x:c>
      <x:c r="C561" s="7" t="d">
        <x:v>2024-09-12T12:00:00.000Z</x:v>
      </x:c>
      <x:c r="D561" s="1" t="str">
        <x:v>Clover App Market</x:v>
      </x:c>
      <x:c r="E561" s="1" t="str">
        <x:v>Cash</x:v>
      </x:c>
      <x:c r="F561" s="1" t="str">
        <x:v>J34</x:v>
      </x:c>
      <x:c r="G561" s="9" t="n">
        <x:v>49.95</x:v>
      </x:c>
      <x:c r="H561" s="9" t="n">
        <x:v>0</x:v>
      </x:c>
      <x:c r="I561" s="1" t="n">
        <x:v>699</x:v>
      </x:c>
      <x:c r="J561" s="1"/>
      <x:c r="K561" s="1" t="str">
        <x:v>GRAND-LIVRE-ORIGINAL-feuille-1.csv, ligne 699</x:v>
      </x:c>
    </x:row>
    <x:row r="562" ht="22" customHeight="1">
      <x:c r="A562" s="1" t="str">
        <x:v>5898</x:v>
      </x:c>
      <x:c r="B562" s="1" t="str">
        <x:v>Online Payment Fees</x:v>
      </x:c>
      <x:c r="C562" s="7" t="d">
        <x:v>2024-09-30T12:00:00.000Z</x:v>
      </x:c>
      <x:c r="D562" s="1" t="str">
        <x:v>First Data</x:v>
      </x:c>
      <x:c r="E562" s="1" t="str">
        <x:v>Cash</x:v>
      </x:c>
      <x:c r="F562" s="1" t="str">
        <x:v>J36</x:v>
      </x:c>
      <x:c r="G562" s="9" t="n">
        <x:v>549.02</x:v>
      </x:c>
      <x:c r="H562" s="9" t="n">
        <x:v>0</x:v>
      </x:c>
      <x:c r="I562" s="1" t="n">
        <x:v>700</x:v>
      </x:c>
      <x:c r="J562" s="1"/>
      <x:c r="K562" s="1" t="str">
        <x:v>GRAND-LIVRE-ORIGINAL-feuille-1.csv, ligne 700</x:v>
      </x:c>
    </x:row>
    <x:row r="563" ht="22" customHeight="1">
      <x:c r="A563" s="1" t="str">
        <x:v>5898</x:v>
      </x:c>
      <x:c r="B563" s="1" t="str">
        <x:v>Online Payment Fees</x:v>
      </x:c>
      <x:c r="C563" s="7" t="d">
        <x:v>2024-10-10T12:00:00.000Z</x:v>
      </x:c>
      <x:c r="D563" s="1" t="str">
        <x:v>Clover App Market</x:v>
      </x:c>
      <x:c r="E563" s="1" t="str">
        <x:v>Cash</x:v>
      </x:c>
      <x:c r="F563" s="1" t="str">
        <x:v>J38</x:v>
      </x:c>
      <x:c r="G563" s="9" t="n">
        <x:v>53.17</x:v>
      </x:c>
      <x:c r="H563" s="9" t="n">
        <x:v>0</x:v>
      </x:c>
      <x:c r="I563" s="1" t="n">
        <x:v>701</x:v>
      </x:c>
      <x:c r="J563" s="1"/>
      <x:c r="K563" s="1" t="str">
        <x:v>GRAND-LIVRE-ORIGINAL-feuille-1.csv, ligne 701</x:v>
      </x:c>
    </x:row>
    <x:row r="564" ht="22" customHeight="1">
      <x:c r="A564" s="1" t="str">
        <x:v>5898</x:v>
      </x:c>
      <x:c r="B564" s="1" t="str">
        <x:v>Online Payment Fees</x:v>
      </x:c>
      <x:c r="C564" s="7" t="d">
        <x:v>2024-10-31T12:00:00.000Z</x:v>
      </x:c>
      <x:c r="D564" s="1" t="str">
        <x:v>First Data</x:v>
      </x:c>
      <x:c r="E564" s="1" t="str">
        <x:v>Cash</x:v>
      </x:c>
      <x:c r="F564" s="1" t="str">
        <x:v>J40</x:v>
      </x:c>
      <x:c r="G564" s="9" t="n">
        <x:v>571.77</x:v>
      </x:c>
      <x:c r="H564" s="9" t="n">
        <x:v>0</x:v>
      </x:c>
      <x:c r="I564" s="1" t="n">
        <x:v>702</x:v>
      </x:c>
      <x:c r="J564" s="1"/>
      <x:c r="K564" s="1" t="str">
        <x:v>GRAND-LIVRE-ORIGINAL-feuille-1.csv, ligne 702</x:v>
      </x:c>
    </x:row>
    <x:row r="565" ht="22" customHeight="1">
      <x:c r="A565" s="1" t="str">
        <x:v>5898</x:v>
      </x:c>
      <x:c r="B565" s="1" t="str">
        <x:v>Online Payment Fees</x:v>
      </x:c>
      <x:c r="C565" s="7" t="d">
        <x:v>2024-11-12T12:00:00.000Z</x:v>
      </x:c>
      <x:c r="D565" s="1" t="str">
        <x:v>Clover App Market</x:v>
      </x:c>
      <x:c r="E565" s="1" t="str">
        <x:v>Cash</x:v>
      </x:c>
      <x:c r="F565" s="1" t="str">
        <x:v>J90</x:v>
      </x:c>
      <x:c r="G565" s="9" t="n">
        <x:v>49.95</x:v>
      </x:c>
      <x:c r="H565" s="9" t="n">
        <x:v>0</x:v>
      </x:c>
      <x:c r="I565" s="1" t="n">
        <x:v>703</x:v>
      </x:c>
      <x:c r="J565" s="1"/>
      <x:c r="K565" s="1" t="str">
        <x:v>GRAND-LIVRE-ORIGINAL-feuille-1.csv, ligne 703</x:v>
      </x:c>
    </x:row>
    <x:row r="566" ht="22" customHeight="1">
      <x:c r="A566" s="1" t="str">
        <x:v>5898</x:v>
      </x:c>
      <x:c r="B566" s="1" t="str">
        <x:v>Online Payment Fees</x:v>
      </x:c>
      <x:c r="C566" s="7" t="d">
        <x:v>2024-11-30T12:00:00.000Z</x:v>
      </x:c>
      <x:c r="D566" s="1" t="str">
        <x:v>First Data</x:v>
      </x:c>
      <x:c r="E566" s="1" t="str">
        <x:v>Cash</x:v>
      </x:c>
      <x:c r="F566" s="1" t="str">
        <x:v>J92</x:v>
      </x:c>
      <x:c r="G566" s="9" t="n">
        <x:v>550.06</x:v>
      </x:c>
      <x:c r="H566" s="9" t="n">
        <x:v>0</x:v>
      </x:c>
      <x:c r="I566" s="1" t="n">
        <x:v>704</x:v>
      </x:c>
      <x:c r="J566" s="1"/>
      <x:c r="K566" s="1" t="str">
        <x:v>GRAND-LIVRE-ORIGINAL-feuille-1.csv, ligne 704</x:v>
      </x:c>
    </x:row>
    <x:row r="567" ht="22" customHeight="1">
      <x:c r="A567" s="1" t="str">
        <x:v>5898</x:v>
      </x:c>
      <x:c r="B567" s="1" t="str">
        <x:v>Online Payment Fees</x:v>
      </x:c>
      <x:c r="C567" s="7" t="d">
        <x:v>2024-12-12T12:00:00.000Z</x:v>
      </x:c>
      <x:c r="D567" s="1" t="str">
        <x:v>Clover App Market</x:v>
      </x:c>
      <x:c r="E567" s="1" t="str">
        <x:v>Cash</x:v>
      </x:c>
      <x:c r="F567" s="1" t="str">
        <x:v>J187</x:v>
      </x:c>
      <x:c r="G567" s="9" t="n">
        <x:v>85.28</x:v>
      </x:c>
      <x:c r="H567" s="9" t="n">
        <x:v>0</x:v>
      </x:c>
      <x:c r="I567" s="1" t="n">
        <x:v>705</x:v>
      </x:c>
      <x:c r="J567" s="1"/>
      <x:c r="K567" s="1" t="str">
        <x:v>GRAND-LIVRE-ORIGINAL-feuille-1.csv, ligne 705</x:v>
      </x:c>
    </x:row>
    <x:row r="568" ht="22" customHeight="1">
      <x:c r="A568" s="1" t="str">
        <x:v>5898</x:v>
      </x:c>
      <x:c r="B568" s="1" t="str">
        <x:v>Online Payment Fees</x:v>
      </x:c>
      <x:c r="C568" s="7" t="d">
        <x:v>2024-12-31T12:00:00.000Z</x:v>
      </x:c>
      <x:c r="D568" s="1" t="str">
        <x:v>First Data</x:v>
      </x:c>
      <x:c r="E568" s="1" t="str">
        <x:v>Cash</x:v>
      </x:c>
      <x:c r="F568" s="1" t="str">
        <x:v>J189</x:v>
      </x:c>
      <x:c r="G568" s="9" t="n">
        <x:v>544.1</x:v>
      </x:c>
      <x:c r="H568" s="9" t="n">
        <x:v>0</x:v>
      </x:c>
      <x:c r="I568" s="1" t="n">
        <x:v>706</x:v>
      </x:c>
      <x:c r="J568" s="1"/>
      <x:c r="K568" s="1" t="str">
        <x:v>GRAND-LIVRE-ORIGINAL-feuille-1.csv, ligne 706</x:v>
      </x:c>
    </x:row>
    <x:row r="569" ht="22" customHeight="1">
      <x:c r="A569" s="1" t="str">
        <x:v>5898</x:v>
      </x:c>
      <x:c r="B569" s="1" t="str">
        <x:v>Online Payment Fees</x:v>
      </x:c>
      <x:c r="C569" s="7" t="d">
        <x:v>2025-01-12T12:00:00.000Z</x:v>
      </x:c>
      <x:c r="D569" s="1" t="str">
        <x:v>Clover App Market</x:v>
      </x:c>
      <x:c r="E569" s="1" t="str">
        <x:v>Cash</x:v>
      </x:c>
      <x:c r="F569" s="1" t="str">
        <x:v>J248</x:v>
      </x:c>
      <x:c r="G569" s="9" t="n">
        <x:v>69.95</x:v>
      </x:c>
      <x:c r="H569" s="9" t="n">
        <x:v>0</x:v>
      </x:c>
      <x:c r="I569" s="1" t="n">
        <x:v>707</x:v>
      </x:c>
      <x:c r="J569" s="1"/>
      <x:c r="K569" s="1" t="str">
        <x:v>GRAND-LIVRE-ORIGINAL-feuille-1.csv, ligne 707</x:v>
      </x:c>
    </x:row>
    <x:row r="570" ht="22" customHeight="1">
      <x:c r="A570" s="1" t="str">
        <x:v>5898</x:v>
      </x:c>
      <x:c r="B570" s="1" t="str">
        <x:v>Online Payment Fees</x:v>
      </x:c>
      <x:c r="C570" s="7" t="d">
        <x:v>2025-01-31T12:00:00.000Z</x:v>
      </x:c>
      <x:c r="D570" s="1" t="str">
        <x:v>First Data</x:v>
      </x:c>
      <x:c r="E570" s="1" t="str">
        <x:v>Cash</x:v>
      </x:c>
      <x:c r="F570" s="1" t="str">
        <x:v>J249</x:v>
      </x:c>
      <x:c r="G570" s="9" t="n">
        <x:v>536.03</x:v>
      </x:c>
      <x:c r="H570" s="9" t="n">
        <x:v>0</x:v>
      </x:c>
      <x:c r="I570" s="1" t="n">
        <x:v>708</x:v>
      </x:c>
      <x:c r="J570" s="1"/>
      <x:c r="K570" s="1" t="str">
        <x:v>GRAND-LIVRE-ORIGINAL-feuille-1.csv, ligne 708</x:v>
      </x:c>
    </x:row>
    <x:row r="571" ht="22" customHeight="1">
      <x:c r="A571" s="1" t="str">
        <x:v>5898</x:v>
      </x:c>
      <x:c r="B571" s="1" t="str">
        <x:v>Online Payment Fees</x:v>
      </x:c>
      <x:c r="C571" s="7" t="d">
        <x:v>2025-02-12T12:00:00.000Z</x:v>
      </x:c>
      <x:c r="D571" s="1" t="str">
        <x:v>Clover App Market</x:v>
      </x:c>
      <x:c r="E571" s="1" t="str">
        <x:v>Cash</x:v>
      </x:c>
      <x:c r="F571" s="1" t="str">
        <x:v>J272</x:v>
      </x:c>
      <x:c r="G571" s="9" t="n">
        <x:v>69.95</x:v>
      </x:c>
      <x:c r="H571" s="9" t="n">
        <x:v>0</x:v>
      </x:c>
      <x:c r="I571" s="1" t="n">
        <x:v>709</x:v>
      </x:c>
      <x:c r="J571" s="1"/>
      <x:c r="K571" s="1" t="str">
        <x:v>GRAND-LIVRE-ORIGINAL-feuille-1.csv, ligne 709</x:v>
      </x:c>
    </x:row>
    <x:row r="572" ht="22" customHeight="1">
      <x:c r="A572" s="1" t="str">
        <x:v>5898</x:v>
      </x:c>
      <x:c r="B572" s="1" t="str">
        <x:v>Online Payment Fees</x:v>
      </x:c>
      <x:c r="C572" s="7" t="d">
        <x:v>2025-02-28T12:00:00.000Z</x:v>
      </x:c>
      <x:c r="D572" s="1" t="str">
        <x:v>First Data</x:v>
      </x:c>
      <x:c r="E572" s="1" t="str">
        <x:v>Cash</x:v>
      </x:c>
      <x:c r="F572" s="1" t="str">
        <x:v>J274</x:v>
      </x:c>
      <x:c r="G572" s="9" t="n">
        <x:v>537.1</x:v>
      </x:c>
      <x:c r="H572" s="9" t="n">
        <x:v>0</x:v>
      </x:c>
      <x:c r="I572" s="1" t="n">
        <x:v>710</x:v>
      </x:c>
      <x:c r="J572" s="1"/>
      <x:c r="K572" s="1" t="str">
        <x:v>GRAND-LIVRE-ORIGINAL-feuille-1.csv, ligne 710</x:v>
      </x:c>
    </x:row>
    <x:row r="573" ht="22" customHeight="1">
      <x:c r="A573" s="1" t="str">
        <x:v>5898</x:v>
      </x:c>
      <x:c r="B573" s="1" t="str">
        <x:v>Online Payment Fees</x:v>
      </x:c>
      <x:c r="C573" s="7" t="d">
        <x:v>2025-03-12T12:00:00.000Z</x:v>
      </x:c>
      <x:c r="D573" s="1" t="str">
        <x:v>Clover App Market</x:v>
      </x:c>
      <x:c r="E573" s="1" t="str">
        <x:v>Cash</x:v>
      </x:c>
      <x:c r="F573" s="1" t="str">
        <x:v>J281</x:v>
      </x:c>
      <x:c r="G573" s="9" t="n">
        <x:v>69.95</x:v>
      </x:c>
      <x:c r="H573" s="9" t="n">
        <x:v>0</x:v>
      </x:c>
      <x:c r="I573" s="1" t="n">
        <x:v>711</x:v>
      </x:c>
      <x:c r="J573" s="1"/>
      <x:c r="K573" s="1" t="str">
        <x:v>GRAND-LIVRE-ORIGINAL-feuille-1.csv, ligne 711</x:v>
      </x:c>
    </x:row>
    <x:row r="574" ht="22" customHeight="1">
      <x:c r="A574" s="1" t="str">
        <x:v>5898</x:v>
      </x:c>
      <x:c r="B574" s="1" t="str">
        <x:v>Online Payment Fees</x:v>
      </x:c>
      <x:c r="C574" s="7" t="d">
        <x:v>2025-03-31T12:00:00.000Z</x:v>
      </x:c>
      <x:c r="D574" s="1" t="str">
        <x:v>First Data</x:v>
      </x:c>
      <x:c r="E574" s="1" t="str">
        <x:v>Cash</x:v>
      </x:c>
      <x:c r="F574" s="1" t="str">
        <x:v>J283</x:v>
      </x:c>
      <x:c r="G574" s="9" t="n">
        <x:v>535.81</x:v>
      </x:c>
      <x:c r="H574" s="9" t="n">
        <x:v>0</x:v>
      </x:c>
      <x:c r="I574" s="1" t="n">
        <x:v>712</x:v>
      </x:c>
      <x:c r="J574" s="1"/>
      <x:c r="K574" s="1" t="str">
        <x:v>GRAND-LIVRE-ORIGINAL-feuille-1.csv, ligne 712</x:v>
      </x:c>
    </x:row>
    <x:row r="575" ht="22" customHeight="1">
      <x:c r="A575" s="1" t="str">
        <x:v>5898</x:v>
      </x:c>
      <x:c r="B575" s="1" t="str">
        <x:v>Online Payment Fees</x:v>
      </x:c>
      <x:c r="C575" s="7" t="d">
        <x:v>2025-04-12T12:00:00.000Z</x:v>
      </x:c>
      <x:c r="D575" s="1" t="str">
        <x:v>Clover App Market</x:v>
      </x:c>
      <x:c r="E575" s="1" t="str">
        <x:v>Cash</x:v>
      </x:c>
      <x:c r="F575" s="1" t="str">
        <x:v>J304</x:v>
      </x:c>
      <x:c r="G575" s="9" t="n">
        <x:v>69.95</x:v>
      </x:c>
      <x:c r="H575" s="9" t="n">
        <x:v>0</x:v>
      </x:c>
      <x:c r="I575" s="1" t="n">
        <x:v>713</x:v>
      </x:c>
      <x:c r="J575" s="1"/>
      <x:c r="K575" s="1" t="str">
        <x:v>GRAND-LIVRE-ORIGINAL-feuille-1.csv, ligne 713</x:v>
      </x:c>
    </x:row>
    <x:row r="576" ht="22" customHeight="1">
      <x:c r="A576" s="1" t="str">
        <x:v>5898</x:v>
      </x:c>
      <x:c r="B576" s="1" t="str">
        <x:v>Online Payment Fees</x:v>
      </x:c>
      <x:c r="C576" s="7" t="d">
        <x:v>2025-04-30T12:00:00.000Z</x:v>
      </x:c>
      <x:c r="D576" s="1" t="str">
        <x:v>First Data</x:v>
      </x:c>
      <x:c r="E576" s="1" t="str">
        <x:v>Cash</x:v>
      </x:c>
      <x:c r="F576" s="1" t="str">
        <x:v>J303</x:v>
      </x:c>
      <x:c r="G576" s="9" t="n">
        <x:v>12.9</x:v>
      </x:c>
      <x:c r="H576" s="9" t="n">
        <x:v>0</x:v>
      </x:c>
      <x:c r="I576" s="1" t="n">
        <x:v>714</x:v>
      </x:c>
      <x:c r="J576" s="1"/>
      <x:c r="K576" s="1" t="str">
        <x:v>GRAND-LIVRE-ORIGINAL-feuille-1.csv, ligne 714</x:v>
      </x:c>
    </x:row>
    <x:row r="577" ht="22" customHeight="1">
      <x:c r="A577" s="1" t="str">
        <x:v>5898</x:v>
      </x:c>
      <x:c r="B577" s="1" t="str">
        <x:v>Online Payment Fees</x:v>
      </x:c>
      <x:c r="C577" s="7" t="d">
        <x:v>2025-05-31T12:00:00.000Z</x:v>
      </x:c>
      <x:c r="D577" s="1" t="str">
        <x:v>First Data</x:v>
      </x:c>
      <x:c r="E577" s="1" t="str">
        <x:v>Cash</x:v>
      </x:c>
      <x:c r="F577" s="1" t="str">
        <x:v>J314</x:v>
      </x:c>
      <x:c r="G577" s="9" t="n">
        <x:v>7.08</x:v>
      </x:c>
      <x:c r="H577" s="9" t="n">
        <x:v>0</x:v>
      </x:c>
      <x:c r="I577" s="1" t="n">
        <x:v>715</x:v>
      </x:c>
      <x:c r="J577" s="1"/>
      <x:c r="K577" s="1" t="str">
        <x:v>GRAND-LIVRE-ORIGINAL-feuille-1.csv, ligne 715</x:v>
      </x:c>
    </x:row>
  </x:sheetData>
  <x:pageMargins left="0.7" right="0.7" top="0.75" bottom="0.75" header="0.3" footer="0.3"/>
  <x:tableParts count="1">
    <x:tablePart xmlns:r="http://schemas.openxmlformats.org/officeDocument/2006/relationships" r:id="R2a9f9cf3b29841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9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58" hidden="0" customWidth="1"/>
    <x:col min="12" max="12" width="3" hidden="0" customWidth="1"/>
    <x:col min="13" max="13" width="5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2" customHeight="1">
      <x:c r="A2" s="2" t="str">
        <x:v>Assurance historique : copie du 22 avril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 t="str">
        <x:v>Transcription des colonnes source, pas une demande cumulable. Réparations et remplacements peuvent viser les mêmes biens.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6" t="str">
        <x:v>Ligne</x:v>
      </x:c>
      <x:c r="B5" s="6" t="str">
        <x:v>Item</x:v>
      </x:c>
      <x:c r="C5" s="6" t="str">
        <x:v>Description</x:v>
      </x:c>
      <x:c r="D5" s="6" t="str">
        <x:v>Pièce</x:v>
      </x:c>
      <x:c r="E5" s="6" t="str">
        <x:v>Réclamé ($)</x:v>
      </x:c>
      <x:c r="F5" s="6" t="str">
        <x:v>Évalué ($)</x:v>
      </x:c>
      <x:c r="G5" s="6" t="str">
        <x:v>Alloué ($)</x:v>
      </x:c>
      <x:c r="H5" s="6" t="str">
        <x:v>3 juillet ($)</x:v>
      </x:c>
      <x:c r="I5" s="6" t="str">
        <x:v>8 juillet ($)</x:v>
      </x:c>
      <x:c r="J5" s="6" t="str">
        <x:v>Réserve ($)</x:v>
      </x:c>
      <x:c r="K5" s="6" t="str">
        <x:v>Commentaire source</x:v>
      </x:c>
      <x:c r="L5" s="6" t="str"/>
      <x:c r="M5" s="6" t="str">
        <x:v>Source</x:v>
      </x:c>
    </x:row>
    <x:row r="6" ht="22" customHeight="1">
      <x:c r="A6" s="1" t="n">
        <x:v>13</x:v>
      </x:c>
      <x:c r="B6" s="1" t="str">
        <x:v>1</x:v>
      </x:c>
      <x:c r="C6" s="1" t="str">
        <x:v>Frigo Pâtisserie IFI-DDSG-6</x:v>
      </x:c>
      <x:c r="D6" s="1" t="str">
        <x:v>Devis 259</x:v>
      </x:c>
      <x:c r="E6" s="9" t="n">
        <x:v>2615</x:v>
      </x:c>
      <x:c r="F6" s="9" t="n">
        <x:v>2615</x:v>
      </x:c>
      <x:c r="G6" s="9" t="n">
        <x:v>2615</x:v>
      </x:c>
      <x:c r="H6" s="9"/>
      <x:c r="I6" s="9"/>
      <x:c r="J6" s="9" t="n">
        <x:v>11500</x:v>
      </x:c>
      <x:c r="K6" s="1" t="str">
        <x:v>Remplacement de compresseur $2,615</x:v>
      </x:c>
      <x:c r="L6" s="1"/>
      <x:c r="M6" s="1" t="str">
        <x:v>Copie Hadmo 22 avril 2025, Feuil1, ligne 13</x:v>
      </x:c>
    </x:row>
    <x:row r="7" ht="22" customHeight="1">
      <x:c r="A7" s="1" t="n">
        <x:v>14</x:v>
      </x:c>
      <x:c r="B7" s="1" t="str">
        <x:v>1</x:v>
      </x:c>
      <x:c r="C7" s="1" t="str">
        <x:v>Frigo Pâtisserie IFI-DDSG-6</x:v>
      </x:c>
      <x:c r="D7" s="1" t="str"/>
      <x:c r="E7" s="9" t="n">
        <x:v>11500</x:v>
      </x:c>
      <x:c r="F7" s="9"/>
      <x:c r="G7" s="9"/>
      <x:c r="H7" s="9"/>
      <x:c r="I7" s="9"/>
      <x:c r="J7" s="9"/>
      <x:c r="K7" s="1" t="str">
        <x:v>recommnedation  de Frigo de remplacer</x:v>
      </x:c>
      <x:c r="L7" s="1"/>
      <x:c r="M7" s="1" t="str">
        <x:v>Copie Hadmo 22 avril 2025, Feuil1, ligne 14</x:v>
      </x:c>
    </x:row>
    <x:row r="8" ht="22" customHeight="1">
      <x:c r="A8" s="1" t="n">
        <x:v>17</x:v>
      </x:c>
      <x:c r="B8" s="1" t="str">
        <x:v>2A</x:v>
      </x:c>
      <x:c r="C8" s="1" t="str">
        <x:v>Machine à café Curtis</x:v>
      </x:c>
      <x:c r="D8" s="1" t="str">
        <x:v>Devis 260</x:v>
      </x:c>
      <x:c r="E8" s="9" t="n">
        <x:v>1200</x:v>
      </x:c>
      <x:c r="F8" s="9" t="n">
        <x:v>1200</x:v>
      </x:c>
      <x:c r="G8" s="9" t="n">
        <x:v>1200</x:v>
      </x:c>
      <x:c r="H8" s="9"/>
      <x:c r="I8" s="9"/>
      <x:c r="J8" s="9"/>
      <x:c r="K8" s="1" t="str">
        <x:v>Module de remplissage et valve</x:v>
      </x:c>
      <x:c r="L8" s="1"/>
      <x:c r="M8" s="1" t="str">
        <x:v>Copie Hadmo 22 avril 2025, Feuil1, ligne 17</x:v>
      </x:c>
    </x:row>
    <x:row r="9" ht="22" customHeight="1">
      <x:c r="A9" s="1" t="n">
        <x:v>18</x:v>
      </x:c>
      <x:c r="B9" s="1" t="str">
        <x:v>2B</x:v>
      </x:c>
      <x:c r="C9" s="1" t="str">
        <x:v>Kurig</x:v>
      </x:c>
      <x:c r="D9" s="1" t="str"/>
      <x:c r="E9" s="9" t="n">
        <x:v>2690.42</x:v>
      </x:c>
      <x:c r="F9" s="9" t="n">
        <x:v>2690.42</x:v>
      </x:c>
      <x:c r="G9" s="9"/>
      <x:c r="H9" s="9"/>
      <x:c r="I9" s="9"/>
      <x:c r="J9" s="9" t="n">
        <x:v>2700</x:v>
      </x:c>
      <x:c r="K9" s="1" t="str">
        <x:v>Attends facture</x:v>
      </x:c>
      <x:c r="L9" s="1"/>
      <x:c r="M9" s="1" t="str">
        <x:v>Copie Hadmo 22 avril 2025, Feuil1, ligne 18</x:v>
      </x:c>
    </x:row>
    <x:row r="10" ht="22" customHeight="1">
      <x:c r="A10" s="1" t="n">
        <x:v>20</x:v>
      </x:c>
      <x:c r="B10" s="1" t="str">
        <x:v>3</x:v>
      </x:c>
      <x:c r="C10" s="1" t="str">
        <x:v>Chambre de congélation</x:v>
      </x:c>
      <x:c r="D10" s="1" t="str">
        <x:v>A290</x:v>
      </x:c>
      <x:c r="E10" s="9" t="n">
        <x:v>2960</x:v>
      </x:c>
      <x:c r="F10" s="9" t="n">
        <x:v>2960</x:v>
      </x:c>
      <x:c r="G10" s="9" t="n">
        <x:v>2960</x:v>
      </x:c>
      <x:c r="H10" s="9"/>
      <x:c r="I10" s="9"/>
      <x:c r="J10" s="9"/>
      <x:c r="K10" s="1" t="str">
        <x:v>Compresseur filtre,thermostat</x:v>
      </x:c>
      <x:c r="L10" s="1"/>
      <x:c r="M10" s="1" t="str">
        <x:v>Copie Hadmo 22 avril 2025, Feuil1, ligne 20</x:v>
      </x:c>
    </x:row>
    <x:row r="11" ht="22" customHeight="1">
      <x:c r="A11" s="1" t="n">
        <x:v>22</x:v>
      </x:c>
      <x:c r="B11" s="1" t="str">
        <x:v>3</x:v>
      </x:c>
      <x:c r="C11" s="1" t="str">
        <x:v>Chambre de congélation</x:v>
      </x:c>
      <x:c r="D11" s="1" t="str">
        <x:v>A266</x:v>
      </x:c>
      <x:c r="E11" s="9" t="n">
        <x:v>8320</x:v>
      </x:c>
      <x:c r="F11" s="9" t="n">
        <x:v>8320</x:v>
      </x:c>
      <x:c r="G11" s="9" t="n">
        <x:v>8320</x:v>
      </x:c>
      <x:c r="H11" s="9"/>
      <x:c r="I11" s="9"/>
      <x:c r="J11" s="9"/>
      <x:c r="K11" s="1" t="str">
        <x:v>Installé unité air</x:v>
      </x:c>
      <x:c r="L11" s="1"/>
      <x:c r="M11" s="1" t="str">
        <x:v>Copie Hadmo 22 avril 2025, Feuil1, ligne 22</x:v>
      </x:c>
    </x:row>
    <x:row r="12" ht="22" customHeight="1">
      <x:c r="A12" s="1" t="n">
        <x:v>23</x:v>
      </x:c>
      <x:c r="B12" s="1" t="str">
        <x:v>4</x:v>
      </x:c>
      <x:c r="C12" s="1" t="str">
        <x:v>Four Tim Horton</x:v>
      </x:c>
      <x:c r="D12" s="1" t="str">
        <x:v>Devis 263</x:v>
      </x:c>
      <x:c r="E12" s="9" t="n">
        <x:v>4635</x:v>
      </x:c>
      <x:c r="F12" s="9" t="n">
        <x:v>4635</x:v>
      </x:c>
      <x:c r="G12" s="9" t="n">
        <x:v>4635</x:v>
      </x:c>
      <x:c r="H12" s="9"/>
      <x:c r="I12" s="9"/>
      <x:c r="J12" s="9" t="n">
        <x:v>4700</x:v>
      </x:c>
      <x:c r="K12" s="1" t="str">
        <x:v>Sonde de temp. et plaque de contrôle</x:v>
      </x:c>
      <x:c r="L12" s="1"/>
      <x:c r="M12" s="1" t="str">
        <x:v>Copie Hadmo 22 avril 2025, Feuil1, ligne 23</x:v>
      </x:c>
    </x:row>
    <x:row r="13" ht="22" customHeight="1">
      <x:c r="A13" s="1" t="n">
        <x:v>24</x:v>
      </x:c>
      <x:c r="B13" s="1" t="str">
        <x:v>4</x:v>
      </x:c>
      <x:c r="C13" s="1" t="str">
        <x:v>Four Tim Horton</x:v>
      </x:c>
      <x:c r="D13" s="1" t="str"/>
      <x:c r="E13" s="9" t="n">
        <x:v>30118.46</x:v>
      </x:c>
      <x:c r="F13" s="9"/>
      <x:c r="G13" s="9"/>
      <x:c r="H13" s="9"/>
      <x:c r="I13" s="9"/>
      <x:c r="J13" s="9" t="n">
        <x:v>30000</x:v>
      </x:c>
      <x:c r="K13" s="1" t="str">
        <x:v>L'assuré réclame perte totale aucune expertise</x:v>
      </x:c>
      <x:c r="L13" s="1"/>
      <x:c r="M13" s="1" t="str">
        <x:v>Copie Hadmo 22 avril 2025, Feuil1, ligne 24</x:v>
      </x:c>
    </x:row>
    <x:row r="14" ht="22" customHeight="1">
      <x:c r="A14" s="1" t="n">
        <x:v>25</x:v>
      </x:c>
      <x:c r="B14" s="1" t="str">
        <x:v>5</x:v>
      </x:c>
      <x:c r="C14" s="1" t="str">
        <x:v>Frigo une porte</x:v>
      </x:c>
      <x:c r="D14" s="1" t="str">
        <x:v>A320</x:v>
      </x:c>
      <x:c r="E14" s="9" t="n">
        <x:v>1705</x:v>
      </x:c>
      <x:c r="F14" s="9" t="n">
        <x:v>1705</x:v>
      </x:c>
      <x:c r="G14" s="9" t="n">
        <x:v>1705</x:v>
      </x:c>
      <x:c r="H14" s="9"/>
      <x:c r="I14" s="9"/>
      <x:c r="J14" s="9"/>
      <x:c r="K14" s="1" t="str"/>
      <x:c r="L14" s="1"/>
      <x:c r="M14" s="1" t="str">
        <x:v>Copie Hadmo 22 avril 2025, Feuil1, ligne 25</x:v>
      </x:c>
    </x:row>
    <x:row r="15" ht="22" customHeight="1">
      <x:c r="A15" s="1" t="n">
        <x:v>27</x:v>
      </x:c>
      <x:c r="B15" s="1" t="str">
        <x:v>6</x:v>
      </x:c>
      <x:c r="C15" s="1" t="str">
        <x:v>Machine cocktail taylor</x:v>
      </x:c>
      <x:c r="D15" s="1" t="str">
        <x:v>A294</x:v>
      </x:c>
      <x:c r="E15" s="9" t="n">
        <x:v>3850</x:v>
      </x:c>
      <x:c r="F15" s="9" t="n">
        <x:v>3850</x:v>
      </x:c>
      <x:c r="G15" s="9" t="n">
        <x:v>3850</x:v>
      </x:c>
      <x:c r="H15" s="9"/>
      <x:c r="I15" s="9"/>
      <x:c r="J15" s="9"/>
      <x:c r="K15" s="1" t="str">
        <x:v>Moteur agitateur et compresseur</x:v>
      </x:c>
      <x:c r="L15" s="1"/>
      <x:c r="M15" s="1" t="str">
        <x:v>Copie Hadmo 22 avril 2025, Feuil1, ligne 27</x:v>
      </x:c>
    </x:row>
    <x:row r="16" ht="22" customHeight="1">
      <x:c r="A16" s="1" t="n">
        <x:v>29</x:v>
      </x:c>
      <x:c r="B16" s="1" t="str">
        <x:v>7</x:v>
      </x:c>
      <x:c r="C16" s="1" t="str">
        <x:v>Electro Freeze Electro freeze</x:v>
      </x:c>
      <x:c r="D16" s="1" t="str">
        <x:v>Devis 264</x:v>
      </x:c>
      <x:c r="E16" s="9" t="n">
        <x:v>5990</x:v>
      </x:c>
      <x:c r="F16" s="9" t="n">
        <x:v>5990</x:v>
      </x:c>
      <x:c r="G16" s="9" t="n">
        <x:v>5990</x:v>
      </x:c>
      <x:c r="H16" s="9"/>
      <x:c r="I16" s="9"/>
      <x:c r="J16" s="9"/>
      <x:c r="K16" s="1" t="str">
        <x:v>Selon assuré nil</x:v>
      </x:c>
      <x:c r="L16" s="1"/>
      <x:c r="M16" s="1" t="str">
        <x:v>Copie Hadmo 22 avril 2025, Feuil1, ligne 29</x:v>
      </x:c>
    </x:row>
    <x:row r="17" ht="22" customHeight="1">
      <x:c r="A17" s="1" t="n">
        <x:v>31</x:v>
      </x:c>
      <x:c r="B17" s="1" t="str">
        <x:v>8</x:v>
      </x:c>
      <x:c r="C17" s="1" t="str">
        <x:v>Machine à Slush taylor</x:v>
      </x:c>
      <x:c r="D17" s="1" t="str">
        <x:v>A281</x:v>
      </x:c>
      <x:c r="E17" s="9" t="n">
        <x:v>2340</x:v>
      </x:c>
      <x:c r="F17" s="9" t="n">
        <x:v>2340</x:v>
      </x:c>
      <x:c r="G17" s="9" t="n">
        <x:v>2340</x:v>
      </x:c>
      <x:c r="H17" s="9"/>
      <x:c r="I17" s="9"/>
      <x:c r="J17" s="9"/>
      <x:c r="K17" s="1" t="str">
        <x:v>Contrôle électronique</x:v>
      </x:c>
      <x:c r="L17" s="1"/>
      <x:c r="M17" s="1" t="str">
        <x:v>Copie Hadmo 22 avril 2025, Feuil1, ligne 31</x:v>
      </x:c>
    </x:row>
    <x:row r="18" ht="22" customHeight="1">
      <x:c r="A18" s="1" t="n">
        <x:v>33</x:v>
      </x:c>
      <x:c r="B18" s="1" t="str">
        <x:v>9</x:v>
      </x:c>
      <x:c r="C18" s="1" t="str">
        <x:v>Four à Pizza</x:v>
      </x:c>
      <x:c r="D18" s="1" t="str">
        <x:v>Devis 265</x:v>
      </x:c>
      <x:c r="E18" s="9" t="n">
        <x:v>6700.68</x:v>
      </x:c>
      <x:c r="F18" s="9" t="n">
        <x:v>6700.68</x:v>
      </x:c>
      <x:c r="G18" s="9"/>
      <x:c r="H18" s="9" t="n">
        <x:v>6700.68</x:v>
      </x:c>
      <x:c r="I18" s="9"/>
      <x:c r="J18" s="9"/>
      <x:c r="K18" s="1" t="str">
        <x:v>Blowers, Pilot. Sensor de sécurité</x:v>
      </x:c>
      <x:c r="L18" s="1"/>
      <x:c r="M18" s="1" t="str">
        <x:v>Copie Hadmo 22 avril 2025, Feuil1, ligne 33</x:v>
      </x:c>
    </x:row>
    <x:row r="19" ht="22" customHeight="1">
      <x:c r="A19" s="1" t="n">
        <x:v>37</x:v>
      </x:c>
      <x:c r="B19" s="1" t="str">
        <x:v>9</x:v>
      </x:c>
      <x:c r="C19" s="1" t="str">
        <x:v>Four à Pizza</x:v>
      </x:c>
      <x:c r="D19" s="1" t="n">
        <x:v>12786</x:v>
      </x:c>
      <x:c r="E19" s="9" t="n">
        <x:v>308.75</x:v>
      </x:c>
      <x:c r="F19" s="9" t="n">
        <x:v>308.75</x:v>
      </x:c>
      <x:c r="G19" s="9" t="n">
        <x:v>0</x:v>
      </x:c>
      <x:c r="H19" s="9"/>
      <x:c r="I19" s="9"/>
      <x:c r="J19" s="9"/>
      <x:c r="K19" s="1" t="str">
        <x:v>Avant la date de perte</x:v>
      </x:c>
      <x:c r="L19" s="1"/>
      <x:c r="M19" s="1" t="str">
        <x:v>Copie Hadmo 22 avril 2025, Feuil1, ligne 37</x:v>
      </x:c>
    </x:row>
    <x:row r="20" ht="22" customHeight="1">
      <x:c r="A20" s="1" t="n">
        <x:v>39</x:v>
      </x:c>
      <x:c r="B20" s="1" t="str">
        <x:v>10</x:v>
      </x:c>
      <x:c r="C20" s="1" t="str">
        <x:v>Machine Crème glacée</x:v>
      </x:c>
      <x:c r="D20" s="1" t="str">
        <x:v>A280</x:v>
      </x:c>
      <x:c r="E20" s="9" t="n">
        <x:v>5990</x:v>
      </x:c>
      <x:c r="F20" s="9" t="n">
        <x:v>0</x:v>
      </x:c>
      <x:c r="G20" s="9" t="n">
        <x:v>0</x:v>
      </x:c>
      <x:c r="H20" s="9"/>
      <x:c r="I20" s="9"/>
      <x:c r="J20" s="9"/>
      <x:c r="K20" s="1" t="str">
        <x:v>Ne reclame pas dédoublement</x:v>
      </x:c>
      <x:c r="L20" s="1"/>
      <x:c r="M20" s="1" t="str">
        <x:v>Copie Hadmo 22 avril 2025, Feuil1, ligne 39</x:v>
      </x:c>
    </x:row>
    <x:row r="21" ht="22" customHeight="1">
      <x:c r="A21" s="1" t="n">
        <x:v>40</x:v>
      </x:c>
      <x:c r="B21" s="1" t="str">
        <x:v>11</x:v>
      </x:c>
      <x:c r="C21" s="1" t="str">
        <x:v>Four À Pizza</x:v>
      </x:c>
      <x:c r="D21" s="1" t="str"/>
      <x:c r="E21" s="9" t="n">
        <x:v>29472.24</x:v>
      </x:c>
      <x:c r="F21" s="9" t="str">
        <x:v>En suspens</x:v>
      </x:c>
      <x:c r="G21" s="9"/>
      <x:c r="H21" s="9" t="str">
        <x:v>En suspens</x:v>
      </x:c>
      <x:c r="I21" s="9"/>
      <x:c r="J21" s="9" t="n">
        <x:v>30000</x:v>
      </x:c>
      <x:c r="K21" s="1" t="str">
        <x:v>Perte Totale usagée besoin d'un rapport d'un technicien</x:v>
      </x:c>
      <x:c r="L21" s="1"/>
      <x:c r="M21" s="1" t="str">
        <x:v>Copie Hadmo 22 avril 2025, Feuil1, ligne 40</x:v>
      </x:c>
    </x:row>
    <x:row r="22" ht="22" customHeight="1">
      <x:c r="A22" s="1" t="n">
        <x:v>42</x:v>
      </x:c>
      <x:c r="B22" s="1" t="str">
        <x:v>11</x:v>
      </x:c>
      <x:c r="C22" s="1" t="str">
        <x:v>Four À Pizza</x:v>
      </x:c>
      <x:c r="D22" s="1" t="str">
        <x:v>A315</x:v>
      </x:c>
      <x:c r="E22" s="9" t="n">
        <x:v>7900</x:v>
      </x:c>
      <x:c r="F22" s="9" t="n">
        <x:v>7900</x:v>
      </x:c>
      <x:c r="G22" s="9" t="n">
        <x:v>7900</x:v>
      </x:c>
      <x:c r="H22" s="9"/>
      <x:c r="I22" s="9"/>
      <x:c r="J22" s="9"/>
      <x:c r="K22" s="1" t="str">
        <x:v>Réparation</x:v>
      </x:c>
      <x:c r="L22" s="1"/>
      <x:c r="M22" s="1" t="str">
        <x:v>Copie Hadmo 22 avril 2025, Feuil1, ligne 42</x:v>
      </x:c>
    </x:row>
    <x:row r="23" ht="22" customHeight="1">
      <x:c r="A23" s="1" t="n">
        <x:v>44</x:v>
      </x:c>
      <x:c r="B23" s="1" t="str">
        <x:v>12</x:v>
      </x:c>
      <x:c r="C23" s="1" t="str">
        <x:v>Frigidaire patisserie Hydro-Coll (2)</x:v>
      </x:c>
      <x:c r="D23" s="1" t="str">
        <x:v>Estimé</x:v>
      </x:c>
      <x:c r="E23" s="9" t="n">
        <x:v>15933</x:v>
      </x:c>
      <x:c r="F23" s="9" t="str">
        <x:v>En suspens</x:v>
      </x:c>
      <x:c r="G23" s="9"/>
      <x:c r="H23" s="9"/>
      <x:c r="I23" s="9"/>
      <x:c r="J23" s="9" t="n">
        <x:v>16000</x:v>
      </x:c>
      <x:c r="K23" s="1" t="str">
        <x:v>Attends facture et nous avons besoin</x:v>
      </x:c>
      <x:c r="L23" s="1"/>
      <x:c r="M23" s="1" t="str">
        <x:v>Copie Hadmo 22 avril 2025, Feuil1, ligne 44</x:v>
      </x:c>
    </x:row>
    <x:row r="24" ht="22" customHeight="1">
      <x:c r="A24" s="1" t="n">
        <x:v>46</x:v>
      </x:c>
      <x:c r="B24" s="1" t="str">
        <x:v>13</x:v>
      </x:c>
      <x:c r="C24" s="1" t="str">
        <x:v>Chambre froide</x:v>
      </x:c>
      <x:c r="D24" s="1" t="str">
        <x:v>Devis 268</x:v>
      </x:c>
      <x:c r="E24" s="9" t="n">
        <x:v>1700</x:v>
      </x:c>
      <x:c r="F24" s="9" t="n">
        <x:v>1700</x:v>
      </x:c>
      <x:c r="G24" s="9" t="n">
        <x:v>0</x:v>
      </x:c>
      <x:c r="H24" s="9"/>
      <x:c r="I24" s="9" t="n">
        <x:v>1700</x:v>
      </x:c>
      <x:c r="J24" s="9" t="n">
        <x:v>1700</x:v>
      </x:c>
      <x:c r="K24" s="1" t="str">
        <x:v>Compresseur attends la facture</x:v>
      </x:c>
      <x:c r="L24" s="1"/>
      <x:c r="M24" s="1" t="str">
        <x:v>Copie Hadmo 22 avril 2025, Feuil1, ligne 46</x:v>
      </x:c>
    </x:row>
    <x:row r="25" ht="22" customHeight="1">
      <x:c r="A25" s="1" t="n">
        <x:v>48</x:v>
      </x:c>
      <x:c r="B25" s="1" t="str">
        <x:v>14</x:v>
      </x:c>
      <x:c r="C25" s="1" t="str">
        <x:v>Installation unité AC</x:v>
      </x:c>
      <x:c r="D25" s="1" t="str">
        <x:v>A245</x:v>
      </x:c>
      <x:c r="E25" s="9" t="n">
        <x:v>1145</x:v>
      </x:c>
      <x:c r="F25" s="9" t="n">
        <x:v>1145</x:v>
      </x:c>
      <x:c r="G25" s="9" t="n">
        <x:v>1145</x:v>
      </x:c>
      <x:c r="H25" s="9"/>
      <x:c r="I25" s="9"/>
      <x:c r="J25" s="9"/>
      <x:c r="K25" s="1" t="str">
        <x:v>Voir commenatires de l'assuré</x:v>
      </x:c>
      <x:c r="L25" s="1"/>
      <x:c r="M25" s="1" t="str">
        <x:v>Copie Hadmo 22 avril 2025, Feuil1, ligne 48</x:v>
      </x:c>
    </x:row>
    <x:row r="26" ht="22" customHeight="1">
      <x:c r="A26" s="1" t="n">
        <x:v>50</x:v>
      </x:c>
      <x:c r="B26" s="1" t="str">
        <x:v>14A</x:v>
      </x:c>
      <x:c r="C26" s="1" t="str">
        <x:v>Conditioner heat pump plus inst.</x:v>
      </x:c>
      <x:c r="D26" s="1" t="str"/>
      <x:c r="E26" s="9" t="n">
        <x:v>5009.99</x:v>
      </x:c>
      <x:c r="F26" s="9" t="n">
        <x:v>5009.99</x:v>
      </x:c>
      <x:c r="G26" s="9" t="n">
        <x:v>5009.99</x:v>
      </x:c>
      <x:c r="H26" s="9"/>
      <x:c r="I26" s="9"/>
      <x:c r="J26" s="9"/>
      <x:c r="K26" s="1" t="str">
        <x:v>Attend plus d'explications </x:v>
      </x:c>
      <x:c r="L26" s="1"/>
      <x:c r="M26" s="1" t="str">
        <x:v>Copie Hadmo 22 avril 2025, Feuil1, ligne 50</x:v>
      </x:c>
    </x:row>
    <x:row r="27" ht="22" customHeight="1">
      <x:c r="A27" s="1" t="n">
        <x:v>52</x:v>
      </x:c>
      <x:c r="B27" s="1" t="str">
        <x:v>16</x:v>
      </x:c>
      <x:c r="C27" s="1" t="str">
        <x:v>Inspection</x:v>
      </x:c>
      <x:c r="D27" s="1" t="n">
        <x:v>6371</x:v>
      </x:c>
      <x:c r="E27" s="9" t="n">
        <x:v>408.16</x:v>
      </x:c>
      <x:c r="F27" s="9" t="n">
        <x:v>408.16</x:v>
      </x:c>
      <x:c r="G27" s="9" t="n">
        <x:v>408.16</x:v>
      </x:c>
      <x:c r="H27" s="9"/>
      <x:c r="I27" s="9"/>
      <x:c r="J27" s="9"/>
      <x:c r="K27" s="1" t="str"/>
      <x:c r="L27" s="1"/>
      <x:c r="M27" s="1" t="str">
        <x:v>Copie Hadmo 22 avril 2025, Feuil1, ligne 52</x:v>
      </x:c>
    </x:row>
    <x:row r="28" ht="22" customHeight="1">
      <x:c r="A28" s="1" t="n">
        <x:v>53</x:v>
      </x:c>
      <x:c r="B28" s="1" t="str">
        <x:v>16</x:v>
      </x:c>
      <x:c r="C28" s="1" t="str">
        <x:v>Déplacements techniciens</x:v>
      </x:c>
      <x:c r="D28" s="1" t="str"/>
      <x:c r="E28" s="9" t="n">
        <x:v>7704.1</x:v>
      </x:c>
      <x:c r="F28" s="9" t="n">
        <x:v>7704.1</x:v>
      </x:c>
      <x:c r="G28" s="9" t="n">
        <x:v>7704.1</x:v>
      </x:c>
      <x:c r="H28" s="9"/>
      <x:c r="I28" s="9"/>
      <x:c r="J28" s="9" t="n">
        <x:v>0</x:v>
      </x:c>
      <x:c r="K28" s="1" t="str"/>
      <x:c r="L28" s="1"/>
      <x:c r="M28" s="1" t="str">
        <x:v>Copie Hadmo 22 avril 2025, Feuil1, ligne 53</x:v>
      </x:c>
    </x:row>
    <x:row r="29" ht="22" customHeight="1">
      <x:c r="A29" s="1" t="n">
        <x:v>60</x:v>
      </x:c>
      <x:c r="B29" s="1" t="str"/>
      <x:c r="C29" s="1" t="str">
        <x:v>Marchandise</x:v>
      </x:c>
      <x:c r="D29" s="1" t="str"/>
      <x:c r="E29" s="9" t="n">
        <x:v>31420.08</x:v>
      </x:c>
      <x:c r="F29" s="9" t="n">
        <x:v>25136.06</x:v>
      </x:c>
      <x:c r="G29" s="9" t="n">
        <x:v>25136.06</x:v>
      </x:c>
      <x:c r="H29" s="9"/>
      <x:c r="I29" s="9"/>
      <x:c r="J29" s="9"/>
      <x:c r="K29" s="1" t="str">
        <x:v>allocation 80% attends rapport de WMM</x:v>
      </x:c>
      <x:c r="L29" s="1"/>
      <x:c r="M29" s="1" t="str">
        <x:v>Copie Hadmo 22 avril 2025, Feuil1, ligne 60</x:v>
      </x:c>
    </x:row>
    <x:row r="32">
      <x:c r="A32" t="str">
        <x:v>Sommaire de la copie</x:v>
      </x:c>
      <x:c r="B32" t="str">
        <x:v>Réclamé</x:v>
      </x:c>
      <x:c r="C32" t="str">
        <x:v>Évalué</x:v>
      </x:c>
      <x:c r="D32" t="str">
        <x:v>Alloué</x:v>
      </x:c>
    </x:row>
    <x:row r="33">
      <x:c r="A33" t="str">
        <x:v>Total affiché</x:v>
      </x:c>
      <x:c r="B33" s="12" t="n">
        <x:v>191615.88</x:v>
      </x:c>
      <x:c r="C33" s="12" t="n">
        <x:v>92318.16</x:v>
      </x:c>
      <x:c r="D33" s="12" t="n">
        <x:v>80918.31</x:v>
      </x:c>
      <x:c r="F33" t="str">
        <x:v>Source : Feuil1 F63:H73. Alloué et provisoire ne prouvent pas un crédit bancaire.</x:v>
      </x:c>
    </x:row>
    <x:row r="34">
      <x:c r="A34" t="str">
        <x:v>Franchise source</x:v>
      </x:c>
      <x:c r="B34" s="12"/>
      <x:c r="C34" s="12"/>
      <x:c r="D34" s="12" t="n">
        <x:v>-1000</x:v>
      </x:c>
    </x:row>
    <x:row r="35">
      <x:c r="A35" t="str">
        <x:v>Après franchise</x:v>
      </x:c>
      <x:c r="B35" s="12"/>
      <x:c r="C35" s="12"/>
      <x:c r="D35" s="13" t="n">
        <x:f>SUM(D33:D34)</x:f>
        <x:v>79918.31</x:v>
      </x:c>
    </x:row>
    <x:row r="36">
      <x:c r="A36" t="str">
        <x:v>Provisoire no 1 inscrit</x:v>
      </x:c>
      <x:c r="B36" s="12"/>
      <x:c r="C36" s="12"/>
      <x:c r="D36" s="12" t="n">
        <x:v>-24136.06</x:v>
      </x:c>
    </x:row>
    <x:row r="37">
      <x:c r="A37" t="str">
        <x:v>Provisoire no 2 inscrit</x:v>
      </x:c>
      <x:c r="B37" s="12"/>
      <x:c r="C37" s="12"/>
      <x:c r="D37" s="12" t="n">
        <x:v>-37288.16</x:v>
      </x:c>
    </x:row>
    <x:row r="38">
      <x:c r="A38" t="str">
        <x:v>Indemnité no 3 calculée</x:v>
      </x:c>
      <x:c r="B38" s="12"/>
      <x:c r="C38" s="12"/>
      <x:c r="D38" s="13" t="n">
        <x:f>SUM(D35:D37)</x:f>
        <x:v>18494.089999999997</x:v>
      </x:c>
    </x:row>
  </x:sheetData>
  <x:pageMargins left="0.7" right="0.7" top="0.75" bottom="0.75" header="0.3" footer="0.3"/>
  <x:tableParts count="1">
    <x:tablePart xmlns:r="http://schemas.openxmlformats.org/officeDocument/2006/relationships" r:id="Rf52423a517c5492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24" hidden="0" customWidth="1"/>
    <x:col min="3" max="3" width="24" hidden="0" customWidth="1"/>
    <x:col min="4" max="4" width="20" hidden="0" customWidth="1"/>
    <x:col min="5" max="5" width="85" hidden="0" customWidth="1"/>
  </x:cols>
  <x:sheetData>
    <x:row r="1" ht="22" customHeight="1">
      <x:c r="A1" s="1"/>
      <x:c r="B1" s="1"/>
      <x:c r="C1" s="1"/>
      <x:c r="D1" s="1"/>
      <x:c r="E1" s="1"/>
    </x:row>
    <x:row r="2" ht="22" customHeight="1">
      <x:c r="A2" s="2" t="str">
        <x:v>Contrôles et rapprochements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22" customHeight="1">
      <x:c r="A4" s="1"/>
      <x:c r="B4" s="1"/>
      <x:c r="C4" s="1"/>
      <x:c r="D4" s="1"/>
      <x:c r="E4" s="1"/>
    </x:row>
    <x:row r="5" ht="34" customHeight="1">
      <x:c r="A5" s="6" t="str">
        <x:v>Contrôle</x:v>
      </x:c>
      <x:c r="B5" s="6" t="str">
        <x:v>Recalculé</x:v>
      </x:c>
      <x:c r="C5" s="6" t="str">
        <x:v>Source / référence</x:v>
      </x:c>
      <x:c r="D5" s="6" t="str">
        <x:v>Écart</x:v>
      </x:c>
      <x:c r="E5" s="6" t="str">
        <x:v>Explication</x:v>
      </x:c>
    </x:row>
    <x:row r="6" ht="22" customHeight="1">
      <x:c r="A6" s="1" t="str">
        <x:v>Ventes GL : total des 10 écritures</x:v>
      </x:c>
      <x:c r="B6" s="16" t="n">
        <x:f>'Synthese'!B6</x:f>
        <x:v>77995.44</x:v>
      </x:c>
      <x:c r="C6" s="9" t="n">
        <x:v>77995.44</x:v>
      </x:c>
      <x:c r="D6" s="25" t="n">
        <x:f>ROUND(B6-C6,2)</x:f>
        <x:v>0</x:v>
      </x:c>
      <x:c r="E6" s="1" t="str">
        <x:v>Source CSV ligne 16</x:v>
      </x:c>
    </x:row>
    <x:row r="7" ht="22" customHeight="1">
      <x:c r="A7" s="1" t="str">
        <x:v>Réparations GL : total des 64 écritures</x:v>
      </x:c>
      <x:c r="B7" s="16" t="n">
        <x:f>'Synthese'!B7</x:f>
        <x:v>57842.6</x:v>
      </x:c>
      <x:c r="C7" s="9" t="n">
        <x:v>57842.6</x:v>
      </x:c>
      <x:c r="D7" s="25" t="n">
        <x:f>ROUND(B7-C7,2)</x:f>
        <x:v>0</x:v>
      </x:c>
      <x:c r="E7" s="1" t="str">
        <x:v>Compte 5765, extraction datée</x:v>
      </x:c>
    </x:row>
    <x:row r="8" ht="22" customHeight="1">
      <x:c r="A8" s="1" t="str">
        <x:v>Uber : somme des mois</x:v>
      </x:c>
      <x:c r="B8" s="16" t="n">
        <x:f>'Ventes'!B21</x:f>
        <x:v>55609.85</x:v>
      </x:c>
      <x:c r="C8" s="9" t="n">
        <x:v>55609.85</x:v>
      </x:c>
      <x:c r="D8" s="25" t="n">
        <x:f>ROUND(B8-C8,2)</x:f>
        <x:v>0</x:v>
      </x:c>
      <x:c r="E8" s="1" t="str">
        <x:v>Source Ventes total 2024!C17</x:v>
      </x:c>
    </x:row>
    <x:row r="9" ht="22" customHeight="1">
      <x:c r="A9" s="1" t="str">
        <x:v>DoorDash : somme des mois</x:v>
      </x:c>
      <x:c r="B9" s="16" t="n">
        <x:f>'Ventes'!C21</x:f>
        <x:v>22774.339999999997</x:v>
      </x:c>
      <x:c r="C9" s="9" t="n">
        <x:v>22774.34</x:v>
      </x:c>
      <x:c r="D9" s="25" t="n">
        <x:f>ROUND(B9-C9,2)</x:f>
        <x:v>0</x:v>
      </x:c>
      <x:c r="E9" s="1" t="str">
        <x:v>Source Ventes total 2024!C15</x:v>
      </x:c>
    </x:row>
    <x:row r="10" ht="22" customHeight="1">
      <x:c r="A10" s="1" t="str">
        <x:v>Hadmo : alloué moins franchise/provisoires</x:v>
      </x:c>
      <x:c r="B10" s="16" t="n">
        <x:f>'Hadmo avril'!D38</x:f>
        <x:v>18494.089999999997</x:v>
      </x:c>
      <x:c r="C10" s="9" t="n">
        <x:v>18494.089999999997</x:v>
      </x:c>
      <x:c r="D10" s="25" t="n">
        <x:f>ROUND(B10-C10,2)</x:f>
        <x:v>0</x:v>
      </x:c>
      <x:c r="E10" s="1" t="str">
        <x:v>Source Feuil1!H73</x:v>
      </x:c>
    </x:row>
    <x:row r="11" ht="22" customHeight="1">
      <x:c r="A11" s="1" t="str">
        <x:v>Taxes : somme des écarts au carré</x:v>
      </x:c>
      <x:c r="B11" s="16" t="n">
        <x:f>SUMSQ('Factures et devis'!I6:I30)</x:f>
        <x:v>0</x:v>
      </x:c>
      <x:c r="C11" s="9" t="n">
        <x:v>0</x:v>
      </x:c>
      <x:c r="D11" s="25" t="n">
        <x:f>ROUND(B11-C11,2)</x:f>
        <x:v>0</x:v>
      </x:c>
      <x:c r="E11" s="1" t="str">
        <x:v>Total pièce moins HT, TPS et TVQ</x:v>
      </x:c>
    </x:row>
    <x:row r="12" ht="22" customHeight="1">
      <x:c r="A12" s="1" t="str">
        <x:v>Réserve Hadmo : plage affichée</x:v>
      </x:c>
      <x:c r="B12" s="16" t="n">
        <x:f>SUM('Hadmo avril'!J10:J28)</x:f>
        <x:v>82400</x:v>
      </x:c>
      <x:c r="C12" s="9" t="n">
        <x:v>82400</x:v>
      </x:c>
      <x:c r="D12" s="25" t="n">
        <x:f>ROUND(B12-C12,2)</x:f>
        <x:v>0</x:v>
      </x:c>
      <x:c r="E12" s="1" t="str">
        <x:v>K55 = SUM(K20:K54); exclut K13 et K18</x:v>
      </x:c>
    </x:row>
    <x:row r="13" ht="22" customHeight="1">
      <x:c r="A13" s="1" t="str">
        <x:v>Réserve Hadmo : toutes lignes détaillées</x:v>
      </x:c>
      <x:c r="B13" s="16" t="n">
        <x:f>SUM('Hadmo avril'!J6:J29)</x:f>
        <x:v>96600</x:v>
      </x:c>
      <x:c r="C13" s="9"/>
      <x:c r="D13" s="25" t="n">
        <x:f>B13-B12</x:f>
        <x:v>14200</x:v>
      </x:c>
      <x:c r="E13" s="1" t="str">
        <x:v>Total différent attendu; portée à expliquer, ne pas corriger source</x:v>
      </x:c>
    </x:row>
  </x:sheetData>
  <x:conditionalFormatting sqref="D6:D13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4e256382ac491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45" hidden="0" customWidth="1"/>
  </x:cols>
  <x:sheetData>
    <x:row r="1" ht="22" customHeight="1">
      <x:c r="A1" s="1"/>
      <x:c r="B1" s="1"/>
    </x:row>
    <x:row r="2" ht="22" customHeight="1">
      <x:c r="A2" s="2" t="str">
        <x:v>Utilisation et limites du master</x:v>
      </x:c>
      <x:c r="B2" s="1"/>
    </x:row>
    <x:row r="3" ht="22" customHeight="1">
      <x:c r="A3" s="1"/>
      <x:c r="B3" s="1"/>
    </x:row>
    <x:row r="4" ht="22" customHeight="1">
      <x:c r="A4" s="1"/>
      <x:c r="B4" s="1"/>
    </x:row>
    <x:row r="5" ht="34" customHeight="1">
      <x:c r="A5" s="6" t="str">
        <x:v>Sujet</x:v>
      </x:c>
      <x:c r="B5" s="6" t="str">
        <x:v>Règle</x:v>
      </x:c>
    </x:row>
    <x:row r="6" ht="42" customHeight="1">
      <x:c r="A6" s="1" t="str">
        <x:v>Devise</x:v>
      </x:c>
      <x:c r="B6" s="24" t="str">
        <x:v>CAD explicite sur factures Harmony. Pour les autres sources en $, devise canadienne présumée à confirmer. Aucune conversion.</x:v>
      </x:c>
    </x:row>
    <x:row r="7" ht="42" customHeight="1">
      <x:c r="A7" s="1" t="str">
        <x:v>Source grand livre</x:v>
      </x:c>
      <x:c r="B7" s="24" t="str">
        <x:v>GRAND-LIVRE-ORIGINAL-feuille-1.csv, extraction de final.xls. Le binaire .xls est conservé; contrôle direct de ce format non exécuté ici.</x:v>
      </x:c>
    </x:row>
    <x:row r="8" ht="42" customHeight="1">
      <x:c r="A8" s="1" t="str">
        <x:v>Traçabilité</x:v>
      </x:c>
      <x:c r="B8" s="24" t="str">
        <x:v>Les chemins complets et SHA-256 des fichiers relus figurent dans comptabilite-synthese.json. Les cellules, lignes ou pièces sont indiquées dans chaque onglet source.</x:v>
      </x:c>
    </x:row>
    <x:row r="9" ht="42" customHeight="1">
      <x:c r="A9" s="1" t="str">
        <x:v>Factures</x:v>
      </x:c>
      <x:c r="B9" s="24" t="str">
        <x:v>Registre de pièces vérifiées, pas preuve automatique de paiement ni d’admissibilité. Versions et photos répétées ne créent pas une nouvelle dépense.</x:v>
      </x:c>
    </x:row>
    <x:row r="10" ht="42" customHeight="1">
      <x:c r="A10" s="1" t="str">
        <x:v>Taxes</x:v>
      </x:c>
      <x:c r="B10" s="24" t="str">
        <x:v>HT, TPS, TVQ et TTC conservés distinctement. Le droit aux crédits de taxes n’est pas établi; saisir uniquement les taxes non récupérables justifiées.</x:v>
      </x:c>
    </x:row>
    <x:row r="11" ht="42" customHeight="1">
      <x:c r="A11" s="1" t="str">
        <x:v>Pertes nouvelles</x:v>
      </x:c>
      <x:c r="B11" s="24" t="str">
        <x:v>Les 27 rubriques viennent du registre existant. Identifier les objets multiples, séries, état avant/après et preuve du lien au déménagement avant validation.</x:v>
      </x:c>
    </x:row>
    <x:row r="12" ht="42" customHeight="1">
      <x:c r="A12" s="1" t="str">
        <x:v>Calcul par bien</x:v>
      </x:c>
      <x:c r="B12" s="24" t="str">
        <x:v>Choisir une seule méthode. Coût HT + taxes non récupérables − recouvrement affecté − valeur résiduelle. Les quatre montants, une pièce et le statut Validé sont requis.</x:v>
      </x:c>
    </x:row>
    <x:row r="13" ht="42" customHeight="1">
      <x:c r="A13" s="1" t="str">
        <x:v>Rubrique exclue</x:v>
      </x:c>
      <x:c r="B13" s="24" t="str">
        <x:v>Pour une exclusion documentée, conserver le motif et saisir les montants à zéro avec statut Validé après validation du responsable. Ne jamais utiliser zéro pour une donnée absente.</x:v>
      </x:c>
    </x:row>
    <x:row r="14" ht="42" customHeight="1">
      <x:c r="A14" s="1" t="str">
        <x:v>Recouvrements</x:v>
      </x:c>
      <x:c r="B14" s="24" t="str">
        <x:v>Ne déduire que les sommes du même dommage et même événement. Un chèque remplacé et son virement ne sont pas deux paiements.</x:v>
      </x:c>
    </x:row>
    <x:row r="15" ht="42" customHeight="1">
      <x:c r="A15" s="1" t="str">
        <x:v>Exploitation</x:v>
      </x:c>
      <x:c r="B15" s="24" t="str">
        <x:v>Calcul de travail : (ventes de référence − ventes réalisées) × marge contributive + frais supplémentaires − recouvrements affectés. Méthode et période à établir.</x:v>
      </x:c>
    </x:row>
    <x:row r="16" ht="42" customHeight="1">
      <x:c r="A16" s="1" t="str">
        <x:v>Limites de couverture</x:v>
      </x:c>
      <x:c r="B16" s="24" t="str">
        <x:v>Les données locales examinées ne certifient ni exhaustivité des boîtes mail, ni bilan complet, ni montant judiciaire recouvrable.</x:v>
      </x:c>
    </x:row>
    <x:row r="17" ht="42" customHeight="1">
      <x:c r="A17" s="1" t="str">
        <x:v>Historique des conversations</x:v>
      </x:c>
      <x:c r="B17" s="24" t="str">
        <x:v>Les anciennes réponses d’assistant peuvent contenir montants ou dates transformés. Aucune translation de date (+1 an) n’est appliquée. Priorité aux dates imprimées et écritures originales.</x:v>
      </x:c>
    </x:row>
    <x:row r="18" ht="42" customHeight="1">
      <x:c r="A18" s="1" t="str">
        <x:v>Mise à jour</x:v>
      </x:c>
      <x:c r="B18" s="24" t="str">
        <x:v>Compléter les cellules jaunes sur copie de travail. Pour ajouter une nouvelle ligne, prolonger les formules et plages de synthèse, puis vérifier les contrôles.</x:v>
      </x:c>
    </x:row>
    <x:row r="19" ht="42" customHeight="1">
      <x:c r="A19" s="1" t="str">
        <x:v>Documents photographiés</x:v>
      </x:c>
      <x:c r="B19" s="24" t="str">
        <x:v>Dix photographies de factures/estimation ont été lues visuellement; les originaux restent inchangés. OCR généralisé et autres pièces se poursuivent dans le dossier documentaire.</x:v>
      </x:c>
    </x:row>
    <x:row r="20" ht="42" customHeight="1">
      <x:c r="A20" s="1" t="str">
        <x:v>Date</x:v>
      </x:c>
      <x:c r="B20" s="24" t="str">
        <x:v>Préparation le 21 octobre 2026. Données sources datées 2024–2026 selon les pièces.</x:v>
      </x:c>
    </x:row>
  </x:sheetData>
  <x:pageMargins left="0.7" right="0.7" top="0.75" bottom="0.75" header="0.3" footer="0.3"/>
  <x:tableParts count="1">
    <x:tablePart xmlns:r="http://schemas.openxmlformats.org/officeDocument/2006/relationships" r:id="R7e57bd65f5904686"/>
  </x:tableParts>
</x:worksheet>
</file>