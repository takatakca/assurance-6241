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50" yWindow="680" windowWidth="18500" windowHeight="7790"/>
  </bookViews>
  <sheets>
    <sheet name="Ventes total 2024" sheetId="11" r:id="rId1"/>
    <sheet name="Mars 24" sheetId="1" r:id="rId2"/>
    <sheet name="Avril 24" sheetId="2" r:id="rId3"/>
    <sheet name="Mai 24" sheetId="3" r:id="rId4"/>
    <sheet name="Juin 24" sheetId="4" r:id="rId5"/>
    <sheet name="Juillet 24" sheetId="5" r:id="rId6"/>
    <sheet name="Aout 24" sheetId="6" r:id="rId7"/>
    <sheet name="septembre 24" sheetId="7" r:id="rId8"/>
    <sheet name="Octobre 24" sheetId="8" r:id="rId9"/>
    <sheet name="novembre 24" sheetId="9" r:id="rId10"/>
    <sheet name="December 24" sheetId="10" r:id="rId11"/>
  </sheets>
  <calcPr calcId="144525" concurrentCalc="0"/>
</workbook>
</file>

<file path=xl/calcChain.xml><?xml version="1.0" encoding="utf-8"?>
<calcChain xmlns="http://schemas.openxmlformats.org/spreadsheetml/2006/main">
  <c r="C17" i="11" l="1"/>
  <c r="H276" i="2"/>
  <c r="G275" i="2"/>
  <c r="H387" i="3"/>
  <c r="G386" i="3"/>
  <c r="G381" i="3"/>
  <c r="H285" i="4"/>
  <c r="G284" i="4"/>
  <c r="H277" i="5"/>
  <c r="G276" i="5"/>
  <c r="H274" i="6"/>
  <c r="G47" i="6"/>
  <c r="G273" i="6"/>
  <c r="H274" i="7"/>
  <c r="G273" i="7"/>
  <c r="H259" i="8"/>
  <c r="G258" i="8"/>
  <c r="H253" i="10"/>
  <c r="G252" i="10"/>
  <c r="H186" i="1"/>
  <c r="G185" i="1"/>
  <c r="G19" i="10"/>
  <c r="H19" i="10"/>
  <c r="G42" i="10"/>
  <c r="H42" i="10"/>
  <c r="G64" i="10"/>
  <c r="H64" i="10"/>
  <c r="G82" i="10"/>
  <c r="H82" i="10"/>
  <c r="G110" i="10"/>
  <c r="H110" i="10"/>
  <c r="G134" i="10"/>
  <c r="H134" i="10"/>
  <c r="G165" i="10"/>
  <c r="H165" i="10"/>
  <c r="G191" i="10"/>
  <c r="H191" i="10"/>
  <c r="G205" i="10"/>
  <c r="H205" i="10"/>
  <c r="G227" i="10"/>
  <c r="H227" i="10"/>
  <c r="G247" i="10"/>
  <c r="H247" i="10"/>
  <c r="H250" i="9"/>
  <c r="G249" i="9"/>
  <c r="H233" i="9"/>
  <c r="G16" i="9"/>
  <c r="H16" i="9"/>
  <c r="G39" i="9"/>
  <c r="H39" i="9"/>
  <c r="G61" i="9"/>
  <c r="H61" i="9"/>
  <c r="G70" i="9"/>
  <c r="H70" i="9"/>
  <c r="G85" i="9"/>
  <c r="H85" i="9"/>
  <c r="G100" i="9"/>
  <c r="H100" i="9"/>
  <c r="G148" i="9"/>
  <c r="H148" i="9"/>
  <c r="G186" i="9"/>
  <c r="H186" i="9"/>
  <c r="G215" i="9"/>
  <c r="H215" i="9"/>
  <c r="G233" i="9"/>
  <c r="G244" i="9"/>
  <c r="H244" i="9"/>
  <c r="G11" i="8"/>
  <c r="H11" i="8"/>
  <c r="G42" i="8"/>
  <c r="H42" i="8"/>
  <c r="G58" i="8"/>
  <c r="H58" i="8"/>
  <c r="G66" i="8"/>
  <c r="H66" i="8"/>
  <c r="G88" i="8"/>
  <c r="H88" i="8"/>
  <c r="G101" i="8"/>
  <c r="H101" i="8"/>
  <c r="G162" i="8"/>
  <c r="H162" i="8"/>
  <c r="G195" i="8"/>
  <c r="H195" i="8"/>
  <c r="G213" i="8"/>
  <c r="H213" i="8"/>
  <c r="G235" i="8"/>
  <c r="H235" i="8"/>
  <c r="G252" i="8"/>
  <c r="H252" i="8"/>
  <c r="G101" i="7"/>
  <c r="H101" i="7"/>
  <c r="G15" i="7"/>
  <c r="H15" i="7"/>
  <c r="G43" i="7"/>
  <c r="H43" i="7"/>
  <c r="G63" i="7"/>
  <c r="H63" i="7"/>
  <c r="G73" i="7"/>
  <c r="H73" i="7"/>
  <c r="G122" i="7"/>
  <c r="H122" i="7"/>
  <c r="G164" i="7"/>
  <c r="H164" i="7"/>
  <c r="G199" i="7"/>
  <c r="H199" i="7"/>
  <c r="G225" i="7"/>
  <c r="H225" i="7"/>
  <c r="G251" i="7"/>
  <c r="H251" i="7"/>
  <c r="G267" i="7"/>
  <c r="H267" i="7"/>
  <c r="H47" i="6"/>
  <c r="G53" i="6"/>
  <c r="H53" i="6"/>
  <c r="G76" i="6"/>
  <c r="H76" i="6"/>
  <c r="G103" i="6"/>
  <c r="H103" i="6"/>
  <c r="G162" i="6"/>
  <c r="H162" i="6"/>
  <c r="G194" i="6"/>
  <c r="H194" i="6"/>
  <c r="G253" i="6"/>
  <c r="H253" i="6"/>
  <c r="G268" i="6"/>
  <c r="H268" i="6"/>
  <c r="G226" i="6"/>
  <c r="H226" i="6"/>
  <c r="G29" i="5"/>
  <c r="H29" i="5"/>
  <c r="G56" i="5"/>
  <c r="H56" i="5"/>
  <c r="G61" i="5"/>
  <c r="H61" i="5"/>
  <c r="G77" i="5"/>
  <c r="H77" i="5"/>
  <c r="G121" i="5"/>
  <c r="H121" i="5"/>
  <c r="G181" i="5"/>
  <c r="H181" i="5"/>
  <c r="G211" i="5"/>
  <c r="H211" i="5"/>
  <c r="G252" i="5"/>
  <c r="H252" i="5"/>
  <c r="G262" i="5"/>
  <c r="H262" i="5"/>
  <c r="G270" i="5"/>
  <c r="H270" i="5"/>
  <c r="G11" i="5"/>
  <c r="H11" i="5"/>
  <c r="H35" i="6"/>
  <c r="G35" i="6"/>
  <c r="H11" i="6"/>
  <c r="G11" i="6"/>
  <c r="H280" i="4"/>
  <c r="G280" i="4"/>
  <c r="H274" i="4"/>
  <c r="G274" i="4"/>
  <c r="H268" i="4"/>
  <c r="G268" i="4"/>
  <c r="H238" i="4"/>
  <c r="G238" i="4"/>
  <c r="H185" i="4"/>
  <c r="G185" i="4"/>
  <c r="H124" i="4"/>
  <c r="G124" i="4"/>
  <c r="H104" i="4"/>
  <c r="G104" i="4"/>
  <c r="H91" i="4"/>
  <c r="G91" i="4"/>
  <c r="H82" i="4"/>
  <c r="G82" i="4"/>
  <c r="H43" i="4"/>
  <c r="G43" i="4"/>
  <c r="H23" i="4"/>
  <c r="G23" i="4"/>
  <c r="H381" i="3"/>
  <c r="H376" i="3"/>
  <c r="G376" i="3"/>
  <c r="H366" i="3"/>
  <c r="G366" i="3"/>
  <c r="H318" i="3"/>
  <c r="G318" i="3"/>
  <c r="H220" i="3"/>
  <c r="G220" i="3"/>
  <c r="H156" i="3"/>
  <c r="G156" i="3"/>
  <c r="H131" i="3"/>
  <c r="G131" i="3"/>
  <c r="H109" i="3"/>
  <c r="G109" i="3"/>
  <c r="H97" i="3"/>
  <c r="G97" i="3"/>
  <c r="H65" i="3"/>
  <c r="G65" i="3"/>
  <c r="H16" i="3"/>
  <c r="G16" i="3"/>
  <c r="H88" i="2"/>
  <c r="G88" i="2"/>
  <c r="H97" i="2"/>
  <c r="G97" i="2"/>
  <c r="H224" i="2"/>
  <c r="G224" i="2"/>
  <c r="H259" i="2"/>
  <c r="G259" i="2"/>
  <c r="H270" i="2"/>
  <c r="G270" i="2"/>
  <c r="H66" i="2"/>
  <c r="G66" i="2"/>
  <c r="H23" i="2"/>
  <c r="G23" i="2"/>
  <c r="H178" i="1"/>
  <c r="G178" i="1"/>
  <c r="H160" i="1"/>
  <c r="G160" i="1"/>
  <c r="H50" i="1"/>
  <c r="G50" i="1"/>
  <c r="H38" i="1"/>
  <c r="G38" i="1"/>
</calcChain>
</file>

<file path=xl/sharedStrings.xml><?xml version="1.0" encoding="utf-8"?>
<sst xmlns="http://schemas.openxmlformats.org/spreadsheetml/2006/main" count="9715" uniqueCount="2267">
  <si>
    <t>PPP Pizzeria (Montréal)</t>
  </si>
  <si>
    <t>#EA715</t>
  </si>
  <si>
    <t>Delivery - Partner Using Uber App</t>
  </si>
  <si>
    <t>Completed</t>
  </si>
  <si>
    <t>#FA920</t>
  </si>
  <si>
    <t>#78EF4</t>
  </si>
  <si>
    <t>#9BF9B</t>
  </si>
  <si>
    <t>#6AE24</t>
  </si>
  <si>
    <t>#636E8</t>
  </si>
  <si>
    <t>#305EF</t>
  </si>
  <si>
    <t>#BBA8C</t>
  </si>
  <si>
    <t>#CC8E6</t>
  </si>
  <si>
    <t>#12EF1</t>
  </si>
  <si>
    <t>#B9E43</t>
  </si>
  <si>
    <t>#32245</t>
  </si>
  <si>
    <t>#62A71</t>
  </si>
  <si>
    <t>#A8596</t>
  </si>
  <si>
    <t>#491AD</t>
  </si>
  <si>
    <t>#17319</t>
  </si>
  <si>
    <t>#27E1C</t>
  </si>
  <si>
    <t>#E936E</t>
  </si>
  <si>
    <t>#2B7AA</t>
  </si>
  <si>
    <t>#000CF</t>
  </si>
  <si>
    <t>#13E85</t>
  </si>
  <si>
    <t>#79373</t>
  </si>
  <si>
    <t>#3F7D6</t>
  </si>
  <si>
    <t>#D00C5</t>
  </si>
  <si>
    <t>#0DFED</t>
  </si>
  <si>
    <t>#5D2FD</t>
  </si>
  <si>
    <t>#DDA76</t>
  </si>
  <si>
    <t>#7381B</t>
  </si>
  <si>
    <t>#102EF</t>
  </si>
  <si>
    <t>#12AE6</t>
  </si>
  <si>
    <t>Nutrition Shake (Montréal)</t>
  </si>
  <si>
    <t>#4F4C9</t>
  </si>
  <si>
    <t>#67C87</t>
  </si>
  <si>
    <t>#5D86E</t>
  </si>
  <si>
    <t>#20C70</t>
  </si>
  <si>
    <t>#B3050</t>
  </si>
  <si>
    <t>#DC790</t>
  </si>
  <si>
    <t xml:space="preserve">Gateau Et Viennoise (Montréal) </t>
  </si>
  <si>
    <t>#A53BE</t>
  </si>
  <si>
    <t>#E8D04</t>
  </si>
  <si>
    <t>#572A2</t>
  </si>
  <si>
    <t>#FB1BA</t>
  </si>
  <si>
    <t>#CCBEA</t>
  </si>
  <si>
    <t>#6934E</t>
  </si>
  <si>
    <t>#C9E7F</t>
  </si>
  <si>
    <t>#BA83C</t>
  </si>
  <si>
    <t>#AC023</t>
  </si>
  <si>
    <t>#A1478</t>
  </si>
  <si>
    <t>#C201D</t>
  </si>
  <si>
    <t>#C5563</t>
  </si>
  <si>
    <t>#A8F67</t>
  </si>
  <si>
    <t>#D1509</t>
  </si>
  <si>
    <t>#36102</t>
  </si>
  <si>
    <t>#209E5</t>
  </si>
  <si>
    <t>#AC2C7</t>
  </si>
  <si>
    <t>Unfulfilled</t>
  </si>
  <si>
    <t>#5C1D9</t>
  </si>
  <si>
    <t>Cancelled</t>
  </si>
  <si>
    <t>#F5A82</t>
  </si>
  <si>
    <t>#CB9AE</t>
  </si>
  <si>
    <t>#C87B2</t>
  </si>
  <si>
    <t>#E7012</t>
  </si>
  <si>
    <t>#B7783</t>
  </si>
  <si>
    <t>#3C3C9</t>
  </si>
  <si>
    <t>#BD8A3</t>
  </si>
  <si>
    <t>#BB55A</t>
  </si>
  <si>
    <t>#1971F</t>
  </si>
  <si>
    <t>#ADDC0</t>
  </si>
  <si>
    <t>#46BE7</t>
  </si>
  <si>
    <t>#58B8C</t>
  </si>
  <si>
    <t>#25111</t>
  </si>
  <si>
    <t>#F65A3</t>
  </si>
  <si>
    <t>#269D3</t>
  </si>
  <si>
    <t>#4B9E5</t>
  </si>
  <si>
    <t>#CB09B</t>
  </si>
  <si>
    <t>#A5113</t>
  </si>
  <si>
    <t>#962D7</t>
  </si>
  <si>
    <t>#30842</t>
  </si>
  <si>
    <t>#01B06</t>
  </si>
  <si>
    <t>#E4EB1</t>
  </si>
  <si>
    <t>#3C3DC</t>
  </si>
  <si>
    <t>#E1D8B</t>
  </si>
  <si>
    <t>#2BCC5</t>
  </si>
  <si>
    <t>#6B236</t>
  </si>
  <si>
    <t>#C14B0</t>
  </si>
  <si>
    <t>#0F760</t>
  </si>
  <si>
    <t>#876CF</t>
  </si>
  <si>
    <t>#463D4</t>
  </si>
  <si>
    <t>#368A4</t>
  </si>
  <si>
    <t>#177A0</t>
  </si>
  <si>
    <t>#27C85</t>
  </si>
  <si>
    <t>#222E6</t>
  </si>
  <si>
    <t>#E9A66</t>
  </si>
  <si>
    <t>#405DE</t>
  </si>
  <si>
    <t>#CB67A</t>
  </si>
  <si>
    <t>#BE95C</t>
  </si>
  <si>
    <t>#59E4B</t>
  </si>
  <si>
    <t>#19432</t>
  </si>
  <si>
    <t>#12C67</t>
  </si>
  <si>
    <t>#152E6</t>
  </si>
  <si>
    <t>#43ED6</t>
  </si>
  <si>
    <t>#2A019</t>
  </si>
  <si>
    <t>#2066A</t>
  </si>
  <si>
    <t>#03FA9</t>
  </si>
  <si>
    <t>#F03B4</t>
  </si>
  <si>
    <t>#5B25C</t>
  </si>
  <si>
    <t>#B4EC7</t>
  </si>
  <si>
    <t>#566CD</t>
  </si>
  <si>
    <t>#067EB</t>
  </si>
  <si>
    <t>#6B425</t>
  </si>
  <si>
    <t>#FDEB0</t>
  </si>
  <si>
    <t>#9D6F8</t>
  </si>
  <si>
    <t>#35E52</t>
  </si>
  <si>
    <t>#E02BB</t>
  </si>
  <si>
    <t>#35CC3</t>
  </si>
  <si>
    <t>#B55EA</t>
  </si>
  <si>
    <t>#79375</t>
  </si>
  <si>
    <t>#FD436</t>
  </si>
  <si>
    <t>#8AA3F</t>
  </si>
  <si>
    <t>#726BA</t>
  </si>
  <si>
    <t>#06A76</t>
  </si>
  <si>
    <t>#FBEF4</t>
  </si>
  <si>
    <t>#53AD1</t>
  </si>
  <si>
    <t>#63F21</t>
  </si>
  <si>
    <t>#0E0F4</t>
  </si>
  <si>
    <t>#08CAA</t>
  </si>
  <si>
    <t>#E82F6</t>
  </si>
  <si>
    <t>#8C4C3</t>
  </si>
  <si>
    <t>#9E5AC</t>
  </si>
  <si>
    <t>#CE787</t>
  </si>
  <si>
    <t>#D0A07</t>
  </si>
  <si>
    <t>#65991</t>
  </si>
  <si>
    <t>#B73C5</t>
  </si>
  <si>
    <t>#BAB96</t>
  </si>
  <si>
    <t>#0BD71</t>
  </si>
  <si>
    <t>#EAF08</t>
  </si>
  <si>
    <t>#98D81</t>
  </si>
  <si>
    <t>#1D24B</t>
  </si>
  <si>
    <t>#6E525</t>
  </si>
  <si>
    <t>#9FCA1</t>
  </si>
  <si>
    <t>#CBF58</t>
  </si>
  <si>
    <t>#2FD6A</t>
  </si>
  <si>
    <t>#A2DC0</t>
  </si>
  <si>
    <t>#864AB</t>
  </si>
  <si>
    <t>#1B243</t>
  </si>
  <si>
    <t>O'OEUFS Déjeuner (Montréal)</t>
  </si>
  <si>
    <t>#5B843</t>
  </si>
  <si>
    <t>#63762</t>
  </si>
  <si>
    <t>#1B6F0</t>
  </si>
  <si>
    <t>#C07DF</t>
  </si>
  <si>
    <t>#BCD92</t>
  </si>
  <si>
    <t>#87852</t>
  </si>
  <si>
    <t>#3E868</t>
  </si>
  <si>
    <t>#881A5</t>
  </si>
  <si>
    <t>#2C587</t>
  </si>
  <si>
    <t>#06A9F</t>
  </si>
  <si>
    <t>#D5978</t>
  </si>
  <si>
    <t>#25378</t>
  </si>
  <si>
    <t>#EA403</t>
  </si>
  <si>
    <t>Resto</t>
  </si>
  <si>
    <t>Order ID</t>
  </si>
  <si>
    <t>Type</t>
  </si>
  <si>
    <t>Date</t>
  </si>
  <si>
    <t>Heure</t>
  </si>
  <si>
    <t>Status</t>
  </si>
  <si>
    <t>Vente sans-tax</t>
  </si>
  <si>
    <t>Tax sur vente</t>
  </si>
  <si>
    <t>Total des ventes de Mars</t>
  </si>
  <si>
    <t>Total tax sur vente</t>
  </si>
  <si>
    <t>Order id</t>
  </si>
  <si>
    <t>Po Poulet (Montréal)</t>
  </si>
  <si>
    <t>#1DE03</t>
  </si>
  <si>
    <t>#F99F1</t>
  </si>
  <si>
    <t>#EBEAA</t>
  </si>
  <si>
    <t>#197BA</t>
  </si>
  <si>
    <t>#62B75</t>
  </si>
  <si>
    <t>#36D30</t>
  </si>
  <si>
    <t>Pickup</t>
  </si>
  <si>
    <t>#710E8</t>
  </si>
  <si>
    <t>#837EE</t>
  </si>
  <si>
    <t>#7E074</t>
  </si>
  <si>
    <t>#B9741</t>
  </si>
  <si>
    <t>#6AD00</t>
  </si>
  <si>
    <t>#A0C5C</t>
  </si>
  <si>
    <t>#90D51</t>
  </si>
  <si>
    <t>#44F64</t>
  </si>
  <si>
    <t>#779E7</t>
  </si>
  <si>
    <t>#C10D5</t>
  </si>
  <si>
    <t>#78D43</t>
  </si>
  <si>
    <t>#7FAC4</t>
  </si>
  <si>
    <t>#7D572</t>
  </si>
  <si>
    <t>#35340</t>
  </si>
  <si>
    <t>#A3B6C</t>
  </si>
  <si>
    <t>#F6191</t>
  </si>
  <si>
    <t>#1BAC2</t>
  </si>
  <si>
    <t>#0C2D6</t>
  </si>
  <si>
    <t>#B393B</t>
  </si>
  <si>
    <t>#57CCC</t>
  </si>
  <si>
    <t>#D5B2B</t>
  </si>
  <si>
    <t>#90C18</t>
  </si>
  <si>
    <t>#83BD6</t>
  </si>
  <si>
    <t>#A56E0</t>
  </si>
  <si>
    <t>#8B597</t>
  </si>
  <si>
    <t>#00BE3</t>
  </si>
  <si>
    <t>#C5E3D</t>
  </si>
  <si>
    <t>#6142B</t>
  </si>
  <si>
    <t>#F2156</t>
  </si>
  <si>
    <t>#BC886</t>
  </si>
  <si>
    <t>#74263</t>
  </si>
  <si>
    <t>#3291F</t>
  </si>
  <si>
    <t>#9242D</t>
  </si>
  <si>
    <t>#AAAC1</t>
  </si>
  <si>
    <t>#F5403</t>
  </si>
  <si>
    <t>#F11F1</t>
  </si>
  <si>
    <t>#BCEA8</t>
  </si>
  <si>
    <t>#C812B</t>
  </si>
  <si>
    <t>#F6953</t>
  </si>
  <si>
    <t>#11E2E</t>
  </si>
  <si>
    <t>#A3CD5</t>
  </si>
  <si>
    <t>#3BE47</t>
  </si>
  <si>
    <t>#CCD52</t>
  </si>
  <si>
    <t>#E3BC4</t>
  </si>
  <si>
    <t>#B1EE7</t>
  </si>
  <si>
    <t>#1E2CD</t>
  </si>
  <si>
    <t>#80281</t>
  </si>
  <si>
    <t>#CA480</t>
  </si>
  <si>
    <t>#27443</t>
  </si>
  <si>
    <t>#D64B6</t>
  </si>
  <si>
    <t>#A53E3</t>
  </si>
  <si>
    <t>#E5284</t>
  </si>
  <si>
    <t>#A81F0</t>
  </si>
  <si>
    <t>#93321</t>
  </si>
  <si>
    <t>#5D29E</t>
  </si>
  <si>
    <t>#30CD2</t>
  </si>
  <si>
    <t>#7840C</t>
  </si>
  <si>
    <t>#C8B5A</t>
  </si>
  <si>
    <t>#72C57</t>
  </si>
  <si>
    <t>#997B5</t>
  </si>
  <si>
    <t>#B7CA6</t>
  </si>
  <si>
    <t>#70D84</t>
  </si>
  <si>
    <t>#56755</t>
  </si>
  <si>
    <t>#12089</t>
  </si>
  <si>
    <t>#68B46</t>
  </si>
  <si>
    <t>Crèmerie Bin Molle Bin Dure (Montréal)</t>
  </si>
  <si>
    <t>#96307</t>
  </si>
  <si>
    <t>#13ECE</t>
  </si>
  <si>
    <t>#38A40</t>
  </si>
  <si>
    <t>#72270</t>
  </si>
  <si>
    <t>#73D69</t>
  </si>
  <si>
    <t>#33B50</t>
  </si>
  <si>
    <t>#A6A2B</t>
  </si>
  <si>
    <t>#C0E9F</t>
  </si>
  <si>
    <t>#86E0E</t>
  </si>
  <si>
    <t>#30C6C</t>
  </si>
  <si>
    <t>#29F2D</t>
  </si>
  <si>
    <t>#968C3</t>
  </si>
  <si>
    <t>#814DC</t>
  </si>
  <si>
    <t>#B68B8</t>
  </si>
  <si>
    <t>#E6F55</t>
  </si>
  <si>
    <t>#20A97</t>
  </si>
  <si>
    <t>#14F94</t>
  </si>
  <si>
    <t>#EF970</t>
  </si>
  <si>
    <t>#655AF</t>
  </si>
  <si>
    <t>#BFB6D</t>
  </si>
  <si>
    <t>#DEE19</t>
  </si>
  <si>
    <t>#C6CDD</t>
  </si>
  <si>
    <t>#45B16</t>
  </si>
  <si>
    <t>#94EA9</t>
  </si>
  <si>
    <t>#35575</t>
  </si>
  <si>
    <t>#82CFD</t>
  </si>
  <si>
    <t>#9AE97</t>
  </si>
  <si>
    <t>#5FCAA</t>
  </si>
  <si>
    <t>#6E928</t>
  </si>
  <si>
    <t>#810E7</t>
  </si>
  <si>
    <t>#CB332</t>
  </si>
  <si>
    <t>#CE264</t>
  </si>
  <si>
    <t>#A5D7C</t>
  </si>
  <si>
    <t>#3824D</t>
  </si>
  <si>
    <t>#754D6</t>
  </si>
  <si>
    <t>#4EDD5</t>
  </si>
  <si>
    <t>#C42D9</t>
  </si>
  <si>
    <t>#0008E</t>
  </si>
  <si>
    <t>#DC305</t>
  </si>
  <si>
    <t>#A66FF</t>
  </si>
  <si>
    <t>#78D5E</t>
  </si>
  <si>
    <t>#AB9FF</t>
  </si>
  <si>
    <t>#FDC7D</t>
  </si>
  <si>
    <t>#88258</t>
  </si>
  <si>
    <t>#E5F71</t>
  </si>
  <si>
    <t>#546ED</t>
  </si>
  <si>
    <t>#076F1</t>
  </si>
  <si>
    <t>#2FFAF</t>
  </si>
  <si>
    <t>#5FB71</t>
  </si>
  <si>
    <t>#F9ED5</t>
  </si>
  <si>
    <t>#26571</t>
  </si>
  <si>
    <t>#702A3</t>
  </si>
  <si>
    <t>#9D58D</t>
  </si>
  <si>
    <t>#C1B44</t>
  </si>
  <si>
    <t>#5D653</t>
  </si>
  <si>
    <t>#B4DC2</t>
  </si>
  <si>
    <t>#03D8C</t>
  </si>
  <si>
    <t>#304BC</t>
  </si>
  <si>
    <t>#6EB45</t>
  </si>
  <si>
    <t>#9E6DC</t>
  </si>
  <si>
    <t>#652EC</t>
  </si>
  <si>
    <t>#06F3A</t>
  </si>
  <si>
    <t>#B2EE1</t>
  </si>
  <si>
    <t>#B3F35</t>
  </si>
  <si>
    <t>#C2052</t>
  </si>
  <si>
    <t>#596C0</t>
  </si>
  <si>
    <t>#D877D</t>
  </si>
  <si>
    <t>#50E92</t>
  </si>
  <si>
    <t>#04B48</t>
  </si>
  <si>
    <t>#EEEA0</t>
  </si>
  <si>
    <t>#672B2</t>
  </si>
  <si>
    <t>#E6269</t>
  </si>
  <si>
    <t>#C081A</t>
  </si>
  <si>
    <t>#12489</t>
  </si>
  <si>
    <t>#705A6</t>
  </si>
  <si>
    <t>#BF17F</t>
  </si>
  <si>
    <t>#075FA</t>
  </si>
  <si>
    <t>#24D27</t>
  </si>
  <si>
    <t>#B82B8</t>
  </si>
  <si>
    <t>#CE3DF</t>
  </si>
  <si>
    <t>#0BF5A</t>
  </si>
  <si>
    <t>#C4138</t>
  </si>
  <si>
    <t>#BB347</t>
  </si>
  <si>
    <t>#CE178</t>
  </si>
  <si>
    <t>#DF2C8</t>
  </si>
  <si>
    <t>#7A736</t>
  </si>
  <si>
    <t>#265C7</t>
  </si>
  <si>
    <t>#D5176</t>
  </si>
  <si>
    <t>#2691C</t>
  </si>
  <si>
    <t>#ACE3E</t>
  </si>
  <si>
    <t>#94DB7</t>
  </si>
  <si>
    <t>#64154</t>
  </si>
  <si>
    <t>#1EE07</t>
  </si>
  <si>
    <t>#548D5</t>
  </si>
  <si>
    <t>#3F2B3</t>
  </si>
  <si>
    <t>#D0EF9</t>
  </si>
  <si>
    <t>#D54E8</t>
  </si>
  <si>
    <t>#CF45B</t>
  </si>
  <si>
    <t>#35830</t>
  </si>
  <si>
    <t>#B9A18</t>
  </si>
  <si>
    <t>#DD462</t>
  </si>
  <si>
    <t>#8141D</t>
  </si>
  <si>
    <t>#58832</t>
  </si>
  <si>
    <t>#6EDF4</t>
  </si>
  <si>
    <t>#23C90</t>
  </si>
  <si>
    <t>#72600</t>
  </si>
  <si>
    <t>#328EB</t>
  </si>
  <si>
    <t>#1E01C</t>
  </si>
  <si>
    <t>#582F2</t>
  </si>
  <si>
    <t>#5F4D9</t>
  </si>
  <si>
    <t>#13FBC</t>
  </si>
  <si>
    <t>#9CABC</t>
  </si>
  <si>
    <t>#A30C9</t>
  </si>
  <si>
    <t>#58E58</t>
  </si>
  <si>
    <t>#1E0CD</t>
  </si>
  <si>
    <t>#BBE7E</t>
  </si>
  <si>
    <t>#3DBA1</t>
  </si>
  <si>
    <t>#C4DC1</t>
  </si>
  <si>
    <t>#43F10</t>
  </si>
  <si>
    <t>#42CB0</t>
  </si>
  <si>
    <t>#34A3E</t>
  </si>
  <si>
    <t>#37020</t>
  </si>
  <si>
    <t>#50D4F</t>
  </si>
  <si>
    <t>#5AEA1</t>
  </si>
  <si>
    <t>#83367</t>
  </si>
  <si>
    <t>#5C2B0</t>
  </si>
  <si>
    <t>#8A750</t>
  </si>
  <si>
    <t>#52A11</t>
  </si>
  <si>
    <t>#1E475</t>
  </si>
  <si>
    <t>#84A79</t>
  </si>
  <si>
    <t>#A042A</t>
  </si>
  <si>
    <t>#09E13</t>
  </si>
  <si>
    <t>#9277D</t>
  </si>
  <si>
    <t>#D1037</t>
  </si>
  <si>
    <t>#14913</t>
  </si>
  <si>
    <t>#93566</t>
  </si>
  <si>
    <t>#1B1A1</t>
  </si>
  <si>
    <t>#6C09E</t>
  </si>
  <si>
    <t>#90D3F</t>
  </si>
  <si>
    <t>#C3292</t>
  </si>
  <si>
    <t>#3E5FF</t>
  </si>
  <si>
    <t>#01987</t>
  </si>
  <si>
    <t>#7CCAB</t>
  </si>
  <si>
    <t>#985A5</t>
  </si>
  <si>
    <t>#C57A5</t>
  </si>
  <si>
    <t>#9867A</t>
  </si>
  <si>
    <t>#FE311</t>
  </si>
  <si>
    <t>#EDAB1</t>
  </si>
  <si>
    <t>#3EAAD</t>
  </si>
  <si>
    <t>#52D50</t>
  </si>
  <si>
    <t>#46A04</t>
  </si>
  <si>
    <t>#6F6F4</t>
  </si>
  <si>
    <t>#9D1A0</t>
  </si>
  <si>
    <t>#45D42</t>
  </si>
  <si>
    <t>#E0E21</t>
  </si>
  <si>
    <t>#429A1</t>
  </si>
  <si>
    <t>Pi pita (Montréal)</t>
  </si>
  <si>
    <t>#AE88F</t>
  </si>
  <si>
    <t>#FAF14</t>
  </si>
  <si>
    <t>#94596</t>
  </si>
  <si>
    <t>#4A13C</t>
  </si>
  <si>
    <t>#493F8</t>
  </si>
  <si>
    <t>#DB32B</t>
  </si>
  <si>
    <t>#A0A0D</t>
  </si>
  <si>
    <t>Restaurant</t>
  </si>
  <si>
    <t>Vente avant tax</t>
  </si>
  <si>
    <t>Total vente avril 2024</t>
  </si>
  <si>
    <t>Bolon Café (Montréal)</t>
  </si>
  <si>
    <t>#5EE58</t>
  </si>
  <si>
    <t>#4C5B7</t>
  </si>
  <si>
    <t>#6BAB0</t>
  </si>
  <si>
    <t>#E1603</t>
  </si>
  <si>
    <t>#0CE60</t>
  </si>
  <si>
    <t>#04EE8</t>
  </si>
  <si>
    <t>#E19DE</t>
  </si>
  <si>
    <t>#9222D</t>
  </si>
  <si>
    <t>#DB811</t>
  </si>
  <si>
    <t>#26F23</t>
  </si>
  <si>
    <t>#F32A6</t>
  </si>
  <si>
    <t>#9E503</t>
  </si>
  <si>
    <t>#95A5F</t>
  </si>
  <si>
    <t>#55E26</t>
  </si>
  <si>
    <t>#94048</t>
  </si>
  <si>
    <t>#7ABB9</t>
  </si>
  <si>
    <t>#76F92</t>
  </si>
  <si>
    <t>#48468</t>
  </si>
  <si>
    <t>#AB112</t>
  </si>
  <si>
    <t>#8B0EB</t>
  </si>
  <si>
    <t>#66B3D</t>
  </si>
  <si>
    <t>#8A095</t>
  </si>
  <si>
    <t>#912BE</t>
  </si>
  <si>
    <t>#5A52E</t>
  </si>
  <si>
    <t>#8CF26</t>
  </si>
  <si>
    <t>#721E1</t>
  </si>
  <si>
    <t>#6740B</t>
  </si>
  <si>
    <t>#1A684</t>
  </si>
  <si>
    <t>#DC9BA</t>
  </si>
  <si>
    <t>#DC1CB</t>
  </si>
  <si>
    <t>#0F740</t>
  </si>
  <si>
    <t>#DD4CF</t>
  </si>
  <si>
    <t>#ECE50</t>
  </si>
  <si>
    <t>#BE369</t>
  </si>
  <si>
    <t>#C27F2</t>
  </si>
  <si>
    <t>#59EF1</t>
  </si>
  <si>
    <t>#30199</t>
  </si>
  <si>
    <t>#B05D8</t>
  </si>
  <si>
    <t>#97DA2</t>
  </si>
  <si>
    <t>#3AF14</t>
  </si>
  <si>
    <t>#F644A</t>
  </si>
  <si>
    <t>#D828D</t>
  </si>
  <si>
    <t>#3899E</t>
  </si>
  <si>
    <t>#40C9B</t>
  </si>
  <si>
    <t>#3E58D</t>
  </si>
  <si>
    <t>#6163F</t>
  </si>
  <si>
    <t>#1A872</t>
  </si>
  <si>
    <t>#6F601</t>
  </si>
  <si>
    <t>#A9083</t>
  </si>
  <si>
    <t>#571A4</t>
  </si>
  <si>
    <t>#DA049</t>
  </si>
  <si>
    <t>#C0F2A</t>
  </si>
  <si>
    <t>#6E1D8</t>
  </si>
  <si>
    <t>#90DC1</t>
  </si>
  <si>
    <t>#B7D00</t>
  </si>
  <si>
    <t>#EDB9F</t>
  </si>
  <si>
    <t>#01D32</t>
  </si>
  <si>
    <t>#0B4CD</t>
  </si>
  <si>
    <t>#94571</t>
  </si>
  <si>
    <t>#989F6</t>
  </si>
  <si>
    <t>#257DF</t>
  </si>
  <si>
    <t>#F64AD</t>
  </si>
  <si>
    <t>#2DB6F</t>
  </si>
  <si>
    <t>#BEC3E</t>
  </si>
  <si>
    <t>#DFB18</t>
  </si>
  <si>
    <t>#80BBC</t>
  </si>
  <si>
    <t>#C98D4</t>
  </si>
  <si>
    <t>#0B503</t>
  </si>
  <si>
    <t>#39493</t>
  </si>
  <si>
    <t>#14269</t>
  </si>
  <si>
    <t>#A5156</t>
  </si>
  <si>
    <t>#4C92B</t>
  </si>
  <si>
    <t>#26AE1</t>
  </si>
  <si>
    <t>#A9E04</t>
  </si>
  <si>
    <t>#06B43</t>
  </si>
  <si>
    <t>#A99C1</t>
  </si>
  <si>
    <t>#9BCB4</t>
  </si>
  <si>
    <t>#70768</t>
  </si>
  <si>
    <t>#D216D</t>
  </si>
  <si>
    <t>#2D183</t>
  </si>
  <si>
    <t>#B0A26</t>
  </si>
  <si>
    <t>PIZZA INNTIME (Montreal)</t>
  </si>
  <si>
    <t>#95D5E</t>
  </si>
  <si>
    <t>#BB59B</t>
  </si>
  <si>
    <t>#E33F5</t>
  </si>
  <si>
    <t>#9E74D</t>
  </si>
  <si>
    <t>#B7713</t>
  </si>
  <si>
    <t>#7D94F</t>
  </si>
  <si>
    <t>#C5D8C</t>
  </si>
  <si>
    <t>#0B1FF</t>
  </si>
  <si>
    <t>#AB682</t>
  </si>
  <si>
    <t>#BF540</t>
  </si>
  <si>
    <t>#1ED9E</t>
  </si>
  <si>
    <t>#A5831</t>
  </si>
  <si>
    <t>#F5E0D</t>
  </si>
  <si>
    <t>#A9AA3</t>
  </si>
  <si>
    <t>#E58AD</t>
  </si>
  <si>
    <t>#E0CAC</t>
  </si>
  <si>
    <t>#5C168</t>
  </si>
  <si>
    <t>#31202</t>
  </si>
  <si>
    <t>#261F1</t>
  </si>
  <si>
    <t>#E033D</t>
  </si>
  <si>
    <t>#D352E</t>
  </si>
  <si>
    <t>#639A3</t>
  </si>
  <si>
    <t>#50C14</t>
  </si>
  <si>
    <t>#C20A7</t>
  </si>
  <si>
    <t>#D7D6A</t>
  </si>
  <si>
    <t>#CE807</t>
  </si>
  <si>
    <t>#CFF80</t>
  </si>
  <si>
    <t>#06F9B</t>
  </si>
  <si>
    <t>#B7206</t>
  </si>
  <si>
    <t>#36A01</t>
  </si>
  <si>
    <t>#D6770</t>
  </si>
  <si>
    <t>#3EB77</t>
  </si>
  <si>
    <t>#C2D22</t>
  </si>
  <si>
    <t>#4A46F</t>
  </si>
  <si>
    <t>#A1A1C</t>
  </si>
  <si>
    <t>#41C18</t>
  </si>
  <si>
    <t>#D44DD</t>
  </si>
  <si>
    <t>#DCAAC</t>
  </si>
  <si>
    <t>#5F14C</t>
  </si>
  <si>
    <t>#165E7</t>
  </si>
  <si>
    <t>#BA8E5</t>
  </si>
  <si>
    <t>#7A012</t>
  </si>
  <si>
    <t>#2740F</t>
  </si>
  <si>
    <t>#4088B</t>
  </si>
  <si>
    <t>#09806</t>
  </si>
  <si>
    <t>#1D1AA</t>
  </si>
  <si>
    <t>Taco Mexican (Montreal)</t>
  </si>
  <si>
    <t>#92675</t>
  </si>
  <si>
    <t>#28A89</t>
  </si>
  <si>
    <t>#BF8B4</t>
  </si>
  <si>
    <t>#48984</t>
  </si>
  <si>
    <t>#04968</t>
  </si>
  <si>
    <t>#C8F50</t>
  </si>
  <si>
    <t>#3B244</t>
  </si>
  <si>
    <t>#68BAF</t>
  </si>
  <si>
    <t>#CC9D1</t>
  </si>
  <si>
    <t>#EFC03</t>
  </si>
  <si>
    <t>#9B3B2</t>
  </si>
  <si>
    <t>#05674</t>
  </si>
  <si>
    <t>#9E4BB</t>
  </si>
  <si>
    <t>#A0E31</t>
  </si>
  <si>
    <t>#E1B5C</t>
  </si>
  <si>
    <t>#6F69C</t>
  </si>
  <si>
    <t>#545D0</t>
  </si>
  <si>
    <t>#AD59C</t>
  </si>
  <si>
    <t>#21661</t>
  </si>
  <si>
    <t>#9F45C</t>
  </si>
  <si>
    <t>#8A9D0</t>
  </si>
  <si>
    <t>#EA421</t>
  </si>
  <si>
    <t>#5D5AD</t>
  </si>
  <si>
    <t>#F7FB5</t>
  </si>
  <si>
    <t>#1C6E0</t>
  </si>
  <si>
    <t>#CE793</t>
  </si>
  <si>
    <t>#61F04</t>
  </si>
  <si>
    <t>#A783A</t>
  </si>
  <si>
    <t>#DEF5C</t>
  </si>
  <si>
    <t>#D6C6B</t>
  </si>
  <si>
    <t>#525AB</t>
  </si>
  <si>
    <t>#FC880</t>
  </si>
  <si>
    <t>#9A508</t>
  </si>
  <si>
    <t>#75770</t>
  </si>
  <si>
    <t>#0F1A6</t>
  </si>
  <si>
    <t>#3EA64</t>
  </si>
  <si>
    <t>#09AA1</t>
  </si>
  <si>
    <t>#433CB</t>
  </si>
  <si>
    <t>#40F7D</t>
  </si>
  <si>
    <t>#1445D</t>
  </si>
  <si>
    <t>#D8184</t>
  </si>
  <si>
    <t>#3F97C</t>
  </si>
  <si>
    <t>#6C012</t>
  </si>
  <si>
    <t>#C747F</t>
  </si>
  <si>
    <t>#CCFF2</t>
  </si>
  <si>
    <t>#1CA70</t>
  </si>
  <si>
    <t>#CF54C</t>
  </si>
  <si>
    <t>#AF555</t>
  </si>
  <si>
    <t>#1DE9E</t>
  </si>
  <si>
    <t>#C989E</t>
  </si>
  <si>
    <t>#D7B57</t>
  </si>
  <si>
    <t>#F9039</t>
  </si>
  <si>
    <t>#55A36</t>
  </si>
  <si>
    <t>#650B1</t>
  </si>
  <si>
    <t>#E3DFA</t>
  </si>
  <si>
    <t>#B9997</t>
  </si>
  <si>
    <t>#39EC6</t>
  </si>
  <si>
    <t>#29C9F</t>
  </si>
  <si>
    <t>#2140B</t>
  </si>
  <si>
    <t>#987E1</t>
  </si>
  <si>
    <t>#B8D62</t>
  </si>
  <si>
    <t>#BA73C</t>
  </si>
  <si>
    <t>#D10FD</t>
  </si>
  <si>
    <t>#796B4</t>
  </si>
  <si>
    <t>#92837</t>
  </si>
  <si>
    <t>#439B7</t>
  </si>
  <si>
    <t>#3C6F2</t>
  </si>
  <si>
    <t>#32034</t>
  </si>
  <si>
    <t>#28599</t>
  </si>
  <si>
    <t>#090ED</t>
  </si>
  <si>
    <t>#D8D0B</t>
  </si>
  <si>
    <t>#C1E2D</t>
  </si>
  <si>
    <t>#1B019</t>
  </si>
  <si>
    <t>#9320F</t>
  </si>
  <si>
    <t>#61351</t>
  </si>
  <si>
    <t>#9C566</t>
  </si>
  <si>
    <t>#7D966</t>
  </si>
  <si>
    <t>#9C214</t>
  </si>
  <si>
    <t>#CC73A</t>
  </si>
  <si>
    <t>#57CAE</t>
  </si>
  <si>
    <t>#22764</t>
  </si>
  <si>
    <t>#3054D</t>
  </si>
  <si>
    <t>#26932</t>
  </si>
  <si>
    <t>#57001</t>
  </si>
  <si>
    <t>#F40A3</t>
  </si>
  <si>
    <t>#AC9AD</t>
  </si>
  <si>
    <t>#4CE57</t>
  </si>
  <si>
    <t>#3FB8C</t>
  </si>
  <si>
    <t>#7FA6C</t>
  </si>
  <si>
    <t>#831E0</t>
  </si>
  <si>
    <t>#3AA49</t>
  </si>
  <si>
    <t>#25AD3</t>
  </si>
  <si>
    <t>#32292</t>
  </si>
  <si>
    <t>#08508</t>
  </si>
  <si>
    <t>#6B570</t>
  </si>
  <si>
    <t>#FC03D</t>
  </si>
  <si>
    <t>#8D5E4</t>
  </si>
  <si>
    <t>#80360</t>
  </si>
  <si>
    <t>#3445A</t>
  </si>
  <si>
    <t>#334BA</t>
  </si>
  <si>
    <t>#F0BDF</t>
  </si>
  <si>
    <t>#48C6A</t>
  </si>
  <si>
    <t>#A4D4A</t>
  </si>
  <si>
    <t>#4DD36</t>
  </si>
  <si>
    <t>#D62AF</t>
  </si>
  <si>
    <t>#43BF8</t>
  </si>
  <si>
    <t>#FF273</t>
  </si>
  <si>
    <t>#00442</t>
  </si>
  <si>
    <t>#4DF3C</t>
  </si>
  <si>
    <t>#A1337</t>
  </si>
  <si>
    <t>#D3C20</t>
  </si>
  <si>
    <t>#6D6DC</t>
  </si>
  <si>
    <t>#D0E0E</t>
  </si>
  <si>
    <t>#792DA</t>
  </si>
  <si>
    <t>#BAB73</t>
  </si>
  <si>
    <t>#41369</t>
  </si>
  <si>
    <t>#C1D3C</t>
  </si>
  <si>
    <t>#3ACDB</t>
  </si>
  <si>
    <t>#6C17E</t>
  </si>
  <si>
    <t>#D3805</t>
  </si>
  <si>
    <t>#D962D</t>
  </si>
  <si>
    <t>#64449</t>
  </si>
  <si>
    <t>#F91D1</t>
  </si>
  <si>
    <t>#A360E</t>
  </si>
  <si>
    <t>#9073E</t>
  </si>
  <si>
    <t>#A9C80</t>
  </si>
  <si>
    <t>#DFEE0</t>
  </si>
  <si>
    <t>#22C9E</t>
  </si>
  <si>
    <t>#D2A2A</t>
  </si>
  <si>
    <t>#1C0BF</t>
  </si>
  <si>
    <t>#8F176</t>
  </si>
  <si>
    <t>#F48E3</t>
  </si>
  <si>
    <t>#925DD</t>
  </si>
  <si>
    <t>#A810C</t>
  </si>
  <si>
    <t>#762FC</t>
  </si>
  <si>
    <t>#8A9EA</t>
  </si>
  <si>
    <t>#ABA8B</t>
  </si>
  <si>
    <t>#B6985</t>
  </si>
  <si>
    <t>#5C79D</t>
  </si>
  <si>
    <t>#D9FFB</t>
  </si>
  <si>
    <t>#8231B</t>
  </si>
  <si>
    <t>#D9A98</t>
  </si>
  <si>
    <t>#490FF</t>
  </si>
  <si>
    <t>#6C9A8</t>
  </si>
  <si>
    <t>#B48F3</t>
  </si>
  <si>
    <t>#A1669</t>
  </si>
  <si>
    <t>#94A75</t>
  </si>
  <si>
    <t>#12D93</t>
  </si>
  <si>
    <t>#49FA5</t>
  </si>
  <si>
    <t>#DEE16</t>
  </si>
  <si>
    <t>#DCC1D</t>
  </si>
  <si>
    <t>#1B4B6</t>
  </si>
  <si>
    <t>#D62C1</t>
  </si>
  <si>
    <t>#17B98</t>
  </si>
  <si>
    <t>#C1DA6</t>
  </si>
  <si>
    <t>#5D771</t>
  </si>
  <si>
    <t>#9A9C3</t>
  </si>
  <si>
    <t>#06E82</t>
  </si>
  <si>
    <t>#497AD</t>
  </si>
  <si>
    <t>#57B71</t>
  </si>
  <si>
    <t>#4D9B6</t>
  </si>
  <si>
    <t>#750C0</t>
  </si>
  <si>
    <t>#3AFEF</t>
  </si>
  <si>
    <t>#CBB75</t>
  </si>
  <si>
    <t>#5294B</t>
  </si>
  <si>
    <t>#EE37C</t>
  </si>
  <si>
    <t>#FEC37</t>
  </si>
  <si>
    <t>#A20C9</t>
  </si>
  <si>
    <t>#C38CF</t>
  </si>
  <si>
    <t>#BE755</t>
  </si>
  <si>
    <t>#E2EB5</t>
  </si>
  <si>
    <t>#7AF9A</t>
  </si>
  <si>
    <t>#AB1A2</t>
  </si>
  <si>
    <t>#4CD9D</t>
  </si>
  <si>
    <t>#AFEC7</t>
  </si>
  <si>
    <t>#2DA77</t>
  </si>
  <si>
    <t>#4B7D4</t>
  </si>
  <si>
    <t>#67601</t>
  </si>
  <si>
    <t>#1CA9C</t>
  </si>
  <si>
    <t>#BD819</t>
  </si>
  <si>
    <t>#7B417</t>
  </si>
  <si>
    <t>#5691C</t>
  </si>
  <si>
    <t>#DBCDE</t>
  </si>
  <si>
    <t>#78F56</t>
  </si>
  <si>
    <t>#89701</t>
  </si>
  <si>
    <t>#8F157</t>
  </si>
  <si>
    <t>#A9853</t>
  </si>
  <si>
    <t>#565B3</t>
  </si>
  <si>
    <t>#1AC26</t>
  </si>
  <si>
    <t>#02BFF</t>
  </si>
  <si>
    <t>#D75E6</t>
  </si>
  <si>
    <t>#A75DC</t>
  </si>
  <si>
    <t>#BD435</t>
  </si>
  <si>
    <t>#D7225</t>
  </si>
  <si>
    <t>#751A3</t>
  </si>
  <si>
    <t>#C5B20</t>
  </si>
  <si>
    <t>#D47F9</t>
  </si>
  <si>
    <t>#3A600</t>
  </si>
  <si>
    <t>#5917E</t>
  </si>
  <si>
    <t>O'Crêpe (Montréal)</t>
  </si>
  <si>
    <t>#37000</t>
  </si>
  <si>
    <t>#B6381</t>
  </si>
  <si>
    <t>#3DE0B</t>
  </si>
  <si>
    <t>#F1D3F</t>
  </si>
  <si>
    <t>#9B39D</t>
  </si>
  <si>
    <t>#B685C</t>
  </si>
  <si>
    <t>#F825A</t>
  </si>
  <si>
    <t>#C48D9</t>
  </si>
  <si>
    <t>Total vente mai 2024</t>
  </si>
  <si>
    <t>#8DA56</t>
  </si>
  <si>
    <t>#89D85</t>
  </si>
  <si>
    <t>#CB55F</t>
  </si>
  <si>
    <t>#7B633</t>
  </si>
  <si>
    <t>#85D83</t>
  </si>
  <si>
    <t>#4140D</t>
  </si>
  <si>
    <t>#54739</t>
  </si>
  <si>
    <t>#915EB</t>
  </si>
  <si>
    <t>#934C7</t>
  </si>
  <si>
    <t>#8B156</t>
  </si>
  <si>
    <t>#1696F</t>
  </si>
  <si>
    <t>#5B062</t>
  </si>
  <si>
    <t>#C1259</t>
  </si>
  <si>
    <t>#0B9EB</t>
  </si>
  <si>
    <t>#CD7AB</t>
  </si>
  <si>
    <t>#838E5</t>
  </si>
  <si>
    <t>#512A8</t>
  </si>
  <si>
    <t>#18322</t>
  </si>
  <si>
    <t>#140DF</t>
  </si>
  <si>
    <t>#1EBEE</t>
  </si>
  <si>
    <t>#32F9B</t>
  </si>
  <si>
    <t>#E0A06</t>
  </si>
  <si>
    <t>#A37BF</t>
  </si>
  <si>
    <t>#0FDFC</t>
  </si>
  <si>
    <t>#C673C</t>
  </si>
  <si>
    <t>#5EA93</t>
  </si>
  <si>
    <t>#05E44</t>
  </si>
  <si>
    <t>#F8721</t>
  </si>
  <si>
    <t>#E3237</t>
  </si>
  <si>
    <t>#BB469</t>
  </si>
  <si>
    <t>#D7C8D</t>
  </si>
  <si>
    <t>#F3F0C</t>
  </si>
  <si>
    <t>#03DF4</t>
  </si>
  <si>
    <t>#1EE4E</t>
  </si>
  <si>
    <t>#ED3D8</t>
  </si>
  <si>
    <t>#CFBD5</t>
  </si>
  <si>
    <t>#DBD21</t>
  </si>
  <si>
    <t>#07C56</t>
  </si>
  <si>
    <t>#2E515</t>
  </si>
  <si>
    <t>#D1973</t>
  </si>
  <si>
    <t>#998DD</t>
  </si>
  <si>
    <t>#8B73A</t>
  </si>
  <si>
    <t>#6222D</t>
  </si>
  <si>
    <t>#8F165</t>
  </si>
  <si>
    <t>#15764</t>
  </si>
  <si>
    <t>#63B65</t>
  </si>
  <si>
    <t>#D95D7</t>
  </si>
  <si>
    <t>#FF2F6</t>
  </si>
  <si>
    <t>#B815C</t>
  </si>
  <si>
    <t>#90092</t>
  </si>
  <si>
    <t>#E94A3</t>
  </si>
  <si>
    <t>#119AE</t>
  </si>
  <si>
    <t>#F4C9D</t>
  </si>
  <si>
    <t>#1B916</t>
  </si>
  <si>
    <t>#9993E</t>
  </si>
  <si>
    <t>#A5890</t>
  </si>
  <si>
    <t>#AB699</t>
  </si>
  <si>
    <t>#C5111</t>
  </si>
  <si>
    <t>#F2880</t>
  </si>
  <si>
    <t>#ED652</t>
  </si>
  <si>
    <t>#BFD46</t>
  </si>
  <si>
    <t>#2CDB2</t>
  </si>
  <si>
    <t>#CCACD</t>
  </si>
  <si>
    <t>#86E77</t>
  </si>
  <si>
    <t>#3C3DD</t>
  </si>
  <si>
    <t>#33684</t>
  </si>
  <si>
    <t>#4B931</t>
  </si>
  <si>
    <t>#0F5F6</t>
  </si>
  <si>
    <t>#7E659</t>
  </si>
  <si>
    <t>#A500B</t>
  </si>
  <si>
    <t>#D076C</t>
  </si>
  <si>
    <t>#2D767</t>
  </si>
  <si>
    <t>#F3A5E</t>
  </si>
  <si>
    <t>#DC51C</t>
  </si>
  <si>
    <t>#BD6C4</t>
  </si>
  <si>
    <t>#C92A7</t>
  </si>
  <si>
    <t>#869E2</t>
  </si>
  <si>
    <t>#9FC8A</t>
  </si>
  <si>
    <t>#DBD86</t>
  </si>
  <si>
    <t>#34912</t>
  </si>
  <si>
    <t>#E12B8</t>
  </si>
  <si>
    <t>#6D73B</t>
  </si>
  <si>
    <t>#2EE2C</t>
  </si>
  <si>
    <t>#7413B</t>
  </si>
  <si>
    <t>#170E0</t>
  </si>
  <si>
    <t>#B4B3E</t>
  </si>
  <si>
    <t>#D96EB</t>
  </si>
  <si>
    <t>#4B333</t>
  </si>
  <si>
    <t>#131E4</t>
  </si>
  <si>
    <t>#FF16B</t>
  </si>
  <si>
    <t>#F47CE</t>
  </si>
  <si>
    <t>#AC067</t>
  </si>
  <si>
    <t>#60E30</t>
  </si>
  <si>
    <t>#BBF06</t>
  </si>
  <si>
    <t>#3B4C6</t>
  </si>
  <si>
    <t>#3D506</t>
  </si>
  <si>
    <t>#5557F</t>
  </si>
  <si>
    <t>#98656</t>
  </si>
  <si>
    <t>#12243</t>
  </si>
  <si>
    <t>#2CDD7</t>
  </si>
  <si>
    <t>#10F7F</t>
  </si>
  <si>
    <t>#242B0</t>
  </si>
  <si>
    <t>#CD0AF</t>
  </si>
  <si>
    <t>#F2E5A</t>
  </si>
  <si>
    <t>#42C62</t>
  </si>
  <si>
    <t>#38179</t>
  </si>
  <si>
    <t>#733CC</t>
  </si>
  <si>
    <t>#96034</t>
  </si>
  <si>
    <t>#C523B</t>
  </si>
  <si>
    <t>#6A224</t>
  </si>
  <si>
    <t>#B6326</t>
  </si>
  <si>
    <t>#71A13</t>
  </si>
  <si>
    <t>#C4237</t>
  </si>
  <si>
    <t>#85795</t>
  </si>
  <si>
    <t>#D49E4</t>
  </si>
  <si>
    <t>#370C9</t>
  </si>
  <si>
    <t>#E9B23</t>
  </si>
  <si>
    <t>#48C8F</t>
  </si>
  <si>
    <t>#B9559</t>
  </si>
  <si>
    <t>#7BE68</t>
  </si>
  <si>
    <t>#0C3BB</t>
  </si>
  <si>
    <t>#8FE6B</t>
  </si>
  <si>
    <t>#B70BF</t>
  </si>
  <si>
    <t>#9818E</t>
  </si>
  <si>
    <t>#EB399</t>
  </si>
  <si>
    <t>#2A793</t>
  </si>
  <si>
    <t>#51CC0</t>
  </si>
  <si>
    <t>#1C266</t>
  </si>
  <si>
    <t>#C79B2</t>
  </si>
  <si>
    <t>#C9C74</t>
  </si>
  <si>
    <t>#46719</t>
  </si>
  <si>
    <t>#1470D</t>
  </si>
  <si>
    <t>#B8E7F</t>
  </si>
  <si>
    <t>#696EA</t>
  </si>
  <si>
    <t>#F78C6</t>
  </si>
  <si>
    <t>#F444F</t>
  </si>
  <si>
    <t>#BCEB1</t>
  </si>
  <si>
    <t>#97D5E</t>
  </si>
  <si>
    <t>#A4E55</t>
  </si>
  <si>
    <t>#55903</t>
  </si>
  <si>
    <t>#62906</t>
  </si>
  <si>
    <t>#05D02</t>
  </si>
  <si>
    <t>#7F2DF</t>
  </si>
  <si>
    <t>#7AC77</t>
  </si>
  <si>
    <t>#8267A</t>
  </si>
  <si>
    <t>#702C9</t>
  </si>
  <si>
    <t>#77E92</t>
  </si>
  <si>
    <t>#AC0B3</t>
  </si>
  <si>
    <t>#AACBB</t>
  </si>
  <si>
    <t>#6A6FB</t>
  </si>
  <si>
    <t>#68845</t>
  </si>
  <si>
    <t>#C0CEB</t>
  </si>
  <si>
    <t>#9F9F8</t>
  </si>
  <si>
    <t>#DFDBE</t>
  </si>
  <si>
    <t>#9A419</t>
  </si>
  <si>
    <t>#A8649</t>
  </si>
  <si>
    <t>#24EF7</t>
  </si>
  <si>
    <t>#EC4F6</t>
  </si>
  <si>
    <t>#90ABF</t>
  </si>
  <si>
    <t>#D52E6</t>
  </si>
  <si>
    <t>#D9188</t>
  </si>
  <si>
    <t>#F8856</t>
  </si>
  <si>
    <t>#B632F</t>
  </si>
  <si>
    <t>#CE377</t>
  </si>
  <si>
    <t>#42F7E</t>
  </si>
  <si>
    <t>#95939</t>
  </si>
  <si>
    <t>#F91A4</t>
  </si>
  <si>
    <t>#790B1</t>
  </si>
  <si>
    <t>#67BA3</t>
  </si>
  <si>
    <t>#A07FE</t>
  </si>
  <si>
    <t>#04751</t>
  </si>
  <si>
    <t>#E6B0A</t>
  </si>
  <si>
    <t>#675D3</t>
  </si>
  <si>
    <t>#0194B</t>
  </si>
  <si>
    <t>#73150</t>
  </si>
  <si>
    <t>#76BC2</t>
  </si>
  <si>
    <t>#AB016</t>
  </si>
  <si>
    <t>#3B9E5</t>
  </si>
  <si>
    <t>#D129F</t>
  </si>
  <si>
    <t>#58F37</t>
  </si>
  <si>
    <t>#86645</t>
  </si>
  <si>
    <t>#6D554</t>
  </si>
  <si>
    <t>#540A6</t>
  </si>
  <si>
    <t>#CFFA6</t>
  </si>
  <si>
    <t>#E7673</t>
  </si>
  <si>
    <t>#468AF</t>
  </si>
  <si>
    <t>#61B7F</t>
  </si>
  <si>
    <t>#030AA</t>
  </si>
  <si>
    <t>#E4E07</t>
  </si>
  <si>
    <t>#3C1DE</t>
  </si>
  <si>
    <t>#F6859</t>
  </si>
  <si>
    <t>#77884</t>
  </si>
  <si>
    <t>#CFF0E</t>
  </si>
  <si>
    <t>#F95CE</t>
  </si>
  <si>
    <t>#039ED</t>
  </si>
  <si>
    <t>#A51B6</t>
  </si>
  <si>
    <t>#58278</t>
  </si>
  <si>
    <t>#07A33</t>
  </si>
  <si>
    <t>#92A95</t>
  </si>
  <si>
    <t>#C8664</t>
  </si>
  <si>
    <t>#0CC7D</t>
  </si>
  <si>
    <t>#19A40</t>
  </si>
  <si>
    <t>#7539D</t>
  </si>
  <si>
    <t>#9C4A1</t>
  </si>
  <si>
    <t>#D3EF5</t>
  </si>
  <si>
    <t>#FDB86</t>
  </si>
  <si>
    <t>#0D960</t>
  </si>
  <si>
    <t>#22E1C</t>
  </si>
  <si>
    <t>#4D302</t>
  </si>
  <si>
    <t>#E3260</t>
  </si>
  <si>
    <t>#3D00E</t>
  </si>
  <si>
    <t>#7195F</t>
  </si>
  <si>
    <t>#A04B6</t>
  </si>
  <si>
    <t>#56A4F</t>
  </si>
  <si>
    <t>#08B0D</t>
  </si>
  <si>
    <t>#D0278</t>
  </si>
  <si>
    <t>#980C5</t>
  </si>
  <si>
    <t>#1A226</t>
  </si>
  <si>
    <t>#22ADE</t>
  </si>
  <si>
    <t>#523B6</t>
  </si>
  <si>
    <t>#2F5E6</t>
  </si>
  <si>
    <t>#B1626</t>
  </si>
  <si>
    <t>#7DDA1</t>
  </si>
  <si>
    <t>#91173</t>
  </si>
  <si>
    <t>#6EC98</t>
  </si>
  <si>
    <t>#3E3E9</t>
  </si>
  <si>
    <t>#A7597</t>
  </si>
  <si>
    <t>#DF6AD</t>
  </si>
  <si>
    <t>#D53F7</t>
  </si>
  <si>
    <t>#1A7FE</t>
  </si>
  <si>
    <t>#2206F</t>
  </si>
  <si>
    <t>#66859</t>
  </si>
  <si>
    <t>#14F53</t>
  </si>
  <si>
    <t>#FD696</t>
  </si>
  <si>
    <t>#BC30B</t>
  </si>
  <si>
    <t>#1BB1A</t>
  </si>
  <si>
    <t>#02C45</t>
  </si>
  <si>
    <t>#9EBCF</t>
  </si>
  <si>
    <t>#F4B96</t>
  </si>
  <si>
    <t>#16FA0</t>
  </si>
  <si>
    <t>#1074B</t>
  </si>
  <si>
    <t>#FB4CA</t>
  </si>
  <si>
    <t>#4D1FF</t>
  </si>
  <si>
    <t>#5E01C</t>
  </si>
  <si>
    <t>#81709</t>
  </si>
  <si>
    <t>#0B23D</t>
  </si>
  <si>
    <t>#A9C09</t>
  </si>
  <si>
    <t>#0E639</t>
  </si>
  <si>
    <t>#D3EC0</t>
  </si>
  <si>
    <t>#9764E</t>
  </si>
  <si>
    <t>#91BEA</t>
  </si>
  <si>
    <t>#B6009</t>
  </si>
  <si>
    <t>#86318</t>
  </si>
  <si>
    <t>#DC3EE</t>
  </si>
  <si>
    <t>#F2DA5</t>
  </si>
  <si>
    <t>#BD131</t>
  </si>
  <si>
    <t>#706E9</t>
  </si>
  <si>
    <t>#2095B</t>
  </si>
  <si>
    <t>#60679</t>
  </si>
  <si>
    <t>#A53EF</t>
  </si>
  <si>
    <t>#8CDFA</t>
  </si>
  <si>
    <t>#0C438</t>
  </si>
  <si>
    <t>#5EB6E</t>
  </si>
  <si>
    <t>#F6149</t>
  </si>
  <si>
    <t>#33BE1</t>
  </si>
  <si>
    <t>#9B21B</t>
  </si>
  <si>
    <t>#98966</t>
  </si>
  <si>
    <t>#4DAE9</t>
  </si>
  <si>
    <t>#15633</t>
  </si>
  <si>
    <t>#B65B1</t>
  </si>
  <si>
    <t>#6BFCD</t>
  </si>
  <si>
    <t>#07B2D</t>
  </si>
  <si>
    <t>#1802D</t>
  </si>
  <si>
    <t>#2C9FF</t>
  </si>
  <si>
    <t>#4F27C</t>
  </si>
  <si>
    <t>#79A4D</t>
  </si>
  <si>
    <t>#FD8E2</t>
  </si>
  <si>
    <t>#27A39</t>
  </si>
  <si>
    <t>#DF35D</t>
  </si>
  <si>
    <t>#589F0</t>
  </si>
  <si>
    <t>#81578</t>
  </si>
  <si>
    <t>#42AC9</t>
  </si>
  <si>
    <t>#95674</t>
  </si>
  <si>
    <t>#830E8</t>
  </si>
  <si>
    <t>#CC16D</t>
  </si>
  <si>
    <t>#48421</t>
  </si>
  <si>
    <t>#B3E9E</t>
  </si>
  <si>
    <t>#5E0FE</t>
  </si>
  <si>
    <t>#01438</t>
  </si>
  <si>
    <t>#67747</t>
  </si>
  <si>
    <t>#DC7AD</t>
  </si>
  <si>
    <t>#92552</t>
  </si>
  <si>
    <t>#F906D</t>
  </si>
  <si>
    <t>#1B02B</t>
  </si>
  <si>
    <t>#2D234</t>
  </si>
  <si>
    <t>#DE08A</t>
  </si>
  <si>
    <t>#1210C</t>
  </si>
  <si>
    <t>#9C9B1</t>
  </si>
  <si>
    <t>#EB16B</t>
  </si>
  <si>
    <t>#881C8</t>
  </si>
  <si>
    <t>#8D3F9</t>
  </si>
  <si>
    <t>#83578</t>
  </si>
  <si>
    <t>#832A1</t>
  </si>
  <si>
    <t>#CDE07</t>
  </si>
  <si>
    <t>#F5965</t>
  </si>
  <si>
    <t>#34B09</t>
  </si>
  <si>
    <t>#5297B</t>
  </si>
  <si>
    <t>#7334D</t>
  </si>
  <si>
    <t>#824D2</t>
  </si>
  <si>
    <t>#A506E</t>
  </si>
  <si>
    <t>#04A1A</t>
  </si>
  <si>
    <t>#9C985</t>
  </si>
  <si>
    <t>#A1D28</t>
  </si>
  <si>
    <t>#E675F</t>
  </si>
  <si>
    <t>#4065B</t>
  </si>
  <si>
    <t>#B0869</t>
  </si>
  <si>
    <t>#9F315</t>
  </si>
  <si>
    <t>#EDB6D</t>
  </si>
  <si>
    <t>#A1FBA</t>
  </si>
  <si>
    <t>#B0153</t>
  </si>
  <si>
    <t>#FF2EA</t>
  </si>
  <si>
    <t>#7B4A0</t>
  </si>
  <si>
    <t>#3EF11</t>
  </si>
  <si>
    <t>#3F77F</t>
  </si>
  <si>
    <t>#8DC02</t>
  </si>
  <si>
    <t>#29DF2</t>
  </si>
  <si>
    <t>#06705</t>
  </si>
  <si>
    <t>#2489C</t>
  </si>
  <si>
    <t>#332EF</t>
  </si>
  <si>
    <t>#44EFB</t>
  </si>
  <si>
    <t>#68A44</t>
  </si>
  <si>
    <t>#7B922</t>
  </si>
  <si>
    <t>#96A8F</t>
  </si>
  <si>
    <t>#9A835</t>
  </si>
  <si>
    <t>#4E4DA</t>
  </si>
  <si>
    <t>#3C006</t>
  </si>
  <si>
    <t>#3176A</t>
  </si>
  <si>
    <t>#9165F</t>
  </si>
  <si>
    <t>#D1F63</t>
  </si>
  <si>
    <t>#83764</t>
  </si>
  <si>
    <t>#862AE</t>
  </si>
  <si>
    <t>#183B6</t>
  </si>
  <si>
    <t>#1EEF4</t>
  </si>
  <si>
    <t>#75A5E</t>
  </si>
  <si>
    <t>#CB787</t>
  </si>
  <si>
    <t>#0C6D5</t>
  </si>
  <si>
    <t>#5D74B</t>
  </si>
  <si>
    <t>#E5A4F</t>
  </si>
  <si>
    <t>#8B5FE</t>
  </si>
  <si>
    <t>#239B5</t>
  </si>
  <si>
    <t>#FB59B</t>
  </si>
  <si>
    <t>#70E8F</t>
  </si>
  <si>
    <t>#B9A2B</t>
  </si>
  <si>
    <t>#52FB5</t>
  </si>
  <si>
    <t>#D5818</t>
  </si>
  <si>
    <t>#A65B6</t>
  </si>
  <si>
    <t>#4F74C</t>
  </si>
  <si>
    <t>#D102B</t>
  </si>
  <si>
    <t>#0320D</t>
  </si>
  <si>
    <t>#E4FFD</t>
  </si>
  <si>
    <t>#93C7B</t>
  </si>
  <si>
    <t>#7F572</t>
  </si>
  <si>
    <t>#E19F9</t>
  </si>
  <si>
    <t>#A1071</t>
  </si>
  <si>
    <t>#4FBCC</t>
  </si>
  <si>
    <t>#2FEA8</t>
  </si>
  <si>
    <t>#F051A</t>
  </si>
  <si>
    <t>#63802</t>
  </si>
  <si>
    <t>#FE5C6</t>
  </si>
  <si>
    <t>#798F9</t>
  </si>
  <si>
    <t>#DD66C</t>
  </si>
  <si>
    <t>#5E91C</t>
  </si>
  <si>
    <t>#65929</t>
  </si>
  <si>
    <t>#E8F8B</t>
  </si>
  <si>
    <t>#5D265</t>
  </si>
  <si>
    <t>#92E26</t>
  </si>
  <si>
    <t>#D0654</t>
  </si>
  <si>
    <t>#02338</t>
  </si>
  <si>
    <t>#23511</t>
  </si>
  <si>
    <t>#8715B</t>
  </si>
  <si>
    <t>#2A249</t>
  </si>
  <si>
    <t>#5B28D</t>
  </si>
  <si>
    <t>#CD21C</t>
  </si>
  <si>
    <t>#F3E80</t>
  </si>
  <si>
    <t>#D1340</t>
  </si>
  <si>
    <t>#E501C</t>
  </si>
  <si>
    <t>#F3FF6</t>
  </si>
  <si>
    <t>#0EBDA</t>
  </si>
  <si>
    <t>#2F865</t>
  </si>
  <si>
    <t>#0D176</t>
  </si>
  <si>
    <t>#A2596</t>
  </si>
  <si>
    <t>#F2517</t>
  </si>
  <si>
    <t>#3C1C6</t>
  </si>
  <si>
    <t>#C18C2</t>
  </si>
  <si>
    <t>#A3377</t>
  </si>
  <si>
    <t>#12BC7</t>
  </si>
  <si>
    <t>#D7389</t>
  </si>
  <si>
    <t>#FF6B3</t>
  </si>
  <si>
    <t>#FE9BE</t>
  </si>
  <si>
    <t>#9A77E</t>
  </si>
  <si>
    <t>#16AC7</t>
  </si>
  <si>
    <t>#664B0</t>
  </si>
  <si>
    <t>#79B19</t>
  </si>
  <si>
    <t>#E3679</t>
  </si>
  <si>
    <t>#16FA8</t>
  </si>
  <si>
    <t>#C335D</t>
  </si>
  <si>
    <t>#01223</t>
  </si>
  <si>
    <t>#1CBE5</t>
  </si>
  <si>
    <t>#84D7C</t>
  </si>
  <si>
    <t>#82F27</t>
  </si>
  <si>
    <t>#057D2</t>
  </si>
  <si>
    <t>#44AA9</t>
  </si>
  <si>
    <t>#344C1</t>
  </si>
  <si>
    <t>#B5E0B</t>
  </si>
  <si>
    <t>#8A445</t>
  </si>
  <si>
    <t>#4B635</t>
  </si>
  <si>
    <t>#38453</t>
  </si>
  <si>
    <t>#B1F2D</t>
  </si>
  <si>
    <t>#BA091</t>
  </si>
  <si>
    <t>#4C435</t>
  </si>
  <si>
    <t>#E5C5C</t>
  </si>
  <si>
    <t>#5E3D3</t>
  </si>
  <si>
    <t>#B078C</t>
  </si>
  <si>
    <t>#222D4</t>
  </si>
  <si>
    <t>#3AFD3</t>
  </si>
  <si>
    <t>#D8A26</t>
  </si>
  <si>
    <t>#8FC5C</t>
  </si>
  <si>
    <t>#0D5A7</t>
  </si>
  <si>
    <t>#A8BC3</t>
  </si>
  <si>
    <t>#D8561</t>
  </si>
  <si>
    <t>#DFEF8</t>
  </si>
  <si>
    <t>#E1EFD</t>
  </si>
  <si>
    <t>#932B2</t>
  </si>
  <si>
    <t>#6B25E</t>
  </si>
  <si>
    <t>#4F588</t>
  </si>
  <si>
    <t>#A1FD0</t>
  </si>
  <si>
    <t>#61389</t>
  </si>
  <si>
    <t>#8A58F</t>
  </si>
  <si>
    <t>#AA368</t>
  </si>
  <si>
    <t>#BDF98</t>
  </si>
  <si>
    <t>#BCA7B</t>
  </si>
  <si>
    <t>#2E88C</t>
  </si>
  <si>
    <t>#CC155</t>
  </si>
  <si>
    <t>#9DC06</t>
  </si>
  <si>
    <t>#2112F</t>
  </si>
  <si>
    <t>#B0513</t>
  </si>
  <si>
    <t>#1B20B</t>
  </si>
  <si>
    <t>#BB4FF</t>
  </si>
  <si>
    <t>#C48C3</t>
  </si>
  <si>
    <t>#6EE07</t>
  </si>
  <si>
    <t>#82FF0</t>
  </si>
  <si>
    <t>#73D0B</t>
  </si>
  <si>
    <t>#E05F9</t>
  </si>
  <si>
    <t>#E1F3C</t>
  </si>
  <si>
    <t>#D3C09</t>
  </si>
  <si>
    <t>#283A2</t>
  </si>
  <si>
    <t>#DBC44</t>
  </si>
  <si>
    <t>#425E9</t>
  </si>
  <si>
    <t>#65917</t>
  </si>
  <si>
    <t>#69E15</t>
  </si>
  <si>
    <t>#84525</t>
  </si>
  <si>
    <t>#8CBFC</t>
  </si>
  <si>
    <t>#7B6F3</t>
  </si>
  <si>
    <t>#D0B15</t>
  </si>
  <si>
    <t>#35C58</t>
  </si>
  <si>
    <t>#75062</t>
  </si>
  <si>
    <t>#514FC</t>
  </si>
  <si>
    <t>#6B8EB</t>
  </si>
  <si>
    <t>#91719</t>
  </si>
  <si>
    <t>#B5246</t>
  </si>
  <si>
    <t>#1B05E</t>
  </si>
  <si>
    <t>#F3F02</t>
  </si>
  <si>
    <t>#64F35</t>
  </si>
  <si>
    <t>#5D33B</t>
  </si>
  <si>
    <t>#21B0D</t>
  </si>
  <si>
    <t>#D83BF</t>
  </si>
  <si>
    <t>#8C4BA</t>
  </si>
  <si>
    <t>#02D45</t>
  </si>
  <si>
    <t>#12444</t>
  </si>
  <si>
    <t>#EA3A4</t>
  </si>
  <si>
    <t>#5CAE8</t>
  </si>
  <si>
    <t>#52507</t>
  </si>
  <si>
    <t>#F3D20</t>
  </si>
  <si>
    <t>#A389E</t>
  </si>
  <si>
    <t>#8BC0D</t>
  </si>
  <si>
    <t>#73FCB</t>
  </si>
  <si>
    <t>#829C0</t>
  </si>
  <si>
    <t>#EAB8C</t>
  </si>
  <si>
    <t>#667FD</t>
  </si>
  <si>
    <t>#704B0</t>
  </si>
  <si>
    <t>#96D61</t>
  </si>
  <si>
    <t>#850B9</t>
  </si>
  <si>
    <t>#23C95</t>
  </si>
  <si>
    <t>#EA3A8</t>
  </si>
  <si>
    <t>#96592</t>
  </si>
  <si>
    <t>#C657D</t>
  </si>
  <si>
    <t>#FEC20</t>
  </si>
  <si>
    <t>#934E7</t>
  </si>
  <si>
    <t>#BAE0D</t>
  </si>
  <si>
    <t>#5D80D</t>
  </si>
  <si>
    <t>#1E63D</t>
  </si>
  <si>
    <t>#9B2E9</t>
  </si>
  <si>
    <t>#D0FEE</t>
  </si>
  <si>
    <t>#CA8FB</t>
  </si>
  <si>
    <t>#CFCD5</t>
  </si>
  <si>
    <t>#1ECB3</t>
  </si>
  <si>
    <t>#AE68C</t>
  </si>
  <si>
    <t>#6209E</t>
  </si>
  <si>
    <t>#B47F7</t>
  </si>
  <si>
    <t>#D3A80</t>
  </si>
  <si>
    <t>#73A35</t>
  </si>
  <si>
    <t>#85DD8</t>
  </si>
  <si>
    <t>#99AB2</t>
  </si>
  <si>
    <t>#F4616</t>
  </si>
  <si>
    <t>#EB954</t>
  </si>
  <si>
    <t>#3534B</t>
  </si>
  <si>
    <t>#99C8F</t>
  </si>
  <si>
    <t>#62C99</t>
  </si>
  <si>
    <t>#E6BF7</t>
  </si>
  <si>
    <t>#7C710</t>
  </si>
  <si>
    <t>#59E50</t>
  </si>
  <si>
    <t>#D6C20</t>
  </si>
  <si>
    <t>#D41FC</t>
  </si>
  <si>
    <t>#42ED0</t>
  </si>
  <si>
    <t>#5395B</t>
  </si>
  <si>
    <t>#DED77</t>
  </si>
  <si>
    <t>#B2546</t>
  </si>
  <si>
    <t>#88C6D</t>
  </si>
  <si>
    <t>#371CB</t>
  </si>
  <si>
    <t>#3423B</t>
  </si>
  <si>
    <t>#0D38F</t>
  </si>
  <si>
    <t>#61DAF</t>
  </si>
  <si>
    <t>#F6DF1</t>
  </si>
  <si>
    <t>#C369C</t>
  </si>
  <si>
    <t>#9A886</t>
  </si>
  <si>
    <t>#C51D2</t>
  </si>
  <si>
    <t>#6C1E4</t>
  </si>
  <si>
    <t>#386F5</t>
  </si>
  <si>
    <t>#6F9A9</t>
  </si>
  <si>
    <t>#AC0E4</t>
  </si>
  <si>
    <t>#BBF08</t>
  </si>
  <si>
    <t>#E3491</t>
  </si>
  <si>
    <t>#10975</t>
  </si>
  <si>
    <t>#FC141</t>
  </si>
  <si>
    <t>#26A82</t>
  </si>
  <si>
    <t>#DFA86</t>
  </si>
  <si>
    <t>#B2716</t>
  </si>
  <si>
    <t>#A4AF3</t>
  </si>
  <si>
    <t>#E2058</t>
  </si>
  <si>
    <t>#11F61</t>
  </si>
  <si>
    <t>#1EEEB</t>
  </si>
  <si>
    <t>#FC904</t>
  </si>
  <si>
    <t>#CD21B</t>
  </si>
  <si>
    <t>#0E259</t>
  </si>
  <si>
    <t>#AD181</t>
  </si>
  <si>
    <t>#80F35</t>
  </si>
  <si>
    <t>#76C7B</t>
  </si>
  <si>
    <t>#86AD6</t>
  </si>
  <si>
    <t>#3BCBA</t>
  </si>
  <si>
    <t>#D9FD5</t>
  </si>
  <si>
    <t>#BCBAC</t>
  </si>
  <si>
    <t>#38E46</t>
  </si>
  <si>
    <t>#34C7A</t>
  </si>
  <si>
    <t>#4FEBD</t>
  </si>
  <si>
    <t>#80976</t>
  </si>
  <si>
    <t>#AE369</t>
  </si>
  <si>
    <t>#9BA85</t>
  </si>
  <si>
    <t>#4E5E8</t>
  </si>
  <si>
    <t>#FFE44</t>
  </si>
  <si>
    <t>#FC940</t>
  </si>
  <si>
    <t>#62ACC</t>
  </si>
  <si>
    <t>#3E31E</t>
  </si>
  <si>
    <t>#1EDD9</t>
  </si>
  <si>
    <t>#B4F9A</t>
  </si>
  <si>
    <t>#34672</t>
  </si>
  <si>
    <t>#8A8D7</t>
  </si>
  <si>
    <t>#F2A1A</t>
  </si>
  <si>
    <t>#02529</t>
  </si>
  <si>
    <t>#9D7CA</t>
  </si>
  <si>
    <t>#81171</t>
  </si>
  <si>
    <t>#E3675</t>
  </si>
  <si>
    <t>#EDE38</t>
  </si>
  <si>
    <t>#8D603</t>
  </si>
  <si>
    <t>#2A643</t>
  </si>
  <si>
    <t>#5CD97</t>
  </si>
  <si>
    <t>#EB354</t>
  </si>
  <si>
    <t>#32310</t>
  </si>
  <si>
    <t>#DFDEB</t>
  </si>
  <si>
    <t>#82401</t>
  </si>
  <si>
    <t>#1DE67</t>
  </si>
  <si>
    <t>#D96A7</t>
  </si>
  <si>
    <t>#CCF9E</t>
  </si>
  <si>
    <t>#B2389</t>
  </si>
  <si>
    <t>#4133F</t>
  </si>
  <si>
    <t>#35BD2</t>
  </si>
  <si>
    <t>#5FFB1</t>
  </si>
  <si>
    <t>#9AF1C</t>
  </si>
  <si>
    <t>#F7D35</t>
  </si>
  <si>
    <t>#7886D</t>
  </si>
  <si>
    <t>#54052</t>
  </si>
  <si>
    <t>#E9501</t>
  </si>
  <si>
    <t>#97A07</t>
  </si>
  <si>
    <t>#6F4A4</t>
  </si>
  <si>
    <t>#4B692</t>
  </si>
  <si>
    <t>#C4688</t>
  </si>
  <si>
    <t>#415FF</t>
  </si>
  <si>
    <t>#0640D</t>
  </si>
  <si>
    <t>#F0EF4</t>
  </si>
  <si>
    <t>#3B574</t>
  </si>
  <si>
    <t>#C4AA5</t>
  </si>
  <si>
    <t>#FB38F</t>
  </si>
  <si>
    <t>#F5DAC</t>
  </si>
  <si>
    <t>#44850</t>
  </si>
  <si>
    <t>#14E29</t>
  </si>
  <si>
    <t>#E1E1D</t>
  </si>
  <si>
    <t>#8E047</t>
  </si>
  <si>
    <t>#6A25D</t>
  </si>
  <si>
    <t>#59C8D</t>
  </si>
  <si>
    <t>#A4EC6</t>
  </si>
  <si>
    <t>#1EF75</t>
  </si>
  <si>
    <t>#588B1</t>
  </si>
  <si>
    <t>#72F72</t>
  </si>
  <si>
    <t>#F0712</t>
  </si>
  <si>
    <t>#925A2</t>
  </si>
  <si>
    <t>#27EC2</t>
  </si>
  <si>
    <t>#19AC8</t>
  </si>
  <si>
    <t>#C87D9</t>
  </si>
  <si>
    <t>#4DC21</t>
  </si>
  <si>
    <t>#9F673</t>
  </si>
  <si>
    <t>#B4A95</t>
  </si>
  <si>
    <t>#839A5</t>
  </si>
  <si>
    <t>#C39B5</t>
  </si>
  <si>
    <t>#37E1C</t>
  </si>
  <si>
    <t>#5F550</t>
  </si>
  <si>
    <t>#12D4B</t>
  </si>
  <si>
    <t>#4A284</t>
  </si>
  <si>
    <t>#AEF6D</t>
  </si>
  <si>
    <t>#65C88</t>
  </si>
  <si>
    <t>#D0DAE</t>
  </si>
  <si>
    <t>#BA2ED</t>
  </si>
  <si>
    <t>#8064F</t>
  </si>
  <si>
    <t>#69F75</t>
  </si>
  <si>
    <t>#54374</t>
  </si>
  <si>
    <t>#E3077</t>
  </si>
  <si>
    <t>#3336A</t>
  </si>
  <si>
    <t>#2CA1C</t>
  </si>
  <si>
    <t>#06715</t>
  </si>
  <si>
    <t>#87EBE</t>
  </si>
  <si>
    <t>#F68D4</t>
  </si>
  <si>
    <t>#4DB74</t>
  </si>
  <si>
    <t>#C69E2</t>
  </si>
  <si>
    <t>#2557A</t>
  </si>
  <si>
    <t>#C62A3</t>
  </si>
  <si>
    <t>#80832</t>
  </si>
  <si>
    <t>#F2018</t>
  </si>
  <si>
    <t>#B4BA0</t>
  </si>
  <si>
    <t>#AF034</t>
  </si>
  <si>
    <t>#C4820</t>
  </si>
  <si>
    <t>#AF79B</t>
  </si>
  <si>
    <t>#0C360</t>
  </si>
  <si>
    <t>#5AA2D</t>
  </si>
  <si>
    <t>#113E1</t>
  </si>
  <si>
    <t>#525E6</t>
  </si>
  <si>
    <t>#5302F</t>
  </si>
  <si>
    <t>#AF2BC</t>
  </si>
  <si>
    <t>#44662</t>
  </si>
  <si>
    <t>#42A40</t>
  </si>
  <si>
    <t>#D56D0</t>
  </si>
  <si>
    <t>#A3462</t>
  </si>
  <si>
    <t>#9DB77</t>
  </si>
  <si>
    <t>#0F0A6</t>
  </si>
  <si>
    <t>#174F2</t>
  </si>
  <si>
    <t>#59C47</t>
  </si>
  <si>
    <t>#72B64</t>
  </si>
  <si>
    <t>#FBC6A</t>
  </si>
  <si>
    <t>#36D07</t>
  </si>
  <si>
    <t>#0A10E</t>
  </si>
  <si>
    <t>#9AB08</t>
  </si>
  <si>
    <t>#BCD79</t>
  </si>
  <si>
    <t>#58C24</t>
  </si>
  <si>
    <t>#72A22</t>
  </si>
  <si>
    <t>#4213B</t>
  </si>
  <si>
    <t>#DE005</t>
  </si>
  <si>
    <t>#86A28</t>
  </si>
  <si>
    <t>#133DB</t>
  </si>
  <si>
    <t>#3AE77</t>
  </si>
  <si>
    <t>#276C6</t>
  </si>
  <si>
    <t>#05625</t>
  </si>
  <si>
    <t>#7989A</t>
  </si>
  <si>
    <t>#0DF5B</t>
  </si>
  <si>
    <t>#F314D</t>
  </si>
  <si>
    <t>#13073</t>
  </si>
  <si>
    <t>#ADA98</t>
  </si>
  <si>
    <t>#D1B91</t>
  </si>
  <si>
    <t>#8D764</t>
  </si>
  <si>
    <t>#1ECC3</t>
  </si>
  <si>
    <t>#C2944</t>
  </si>
  <si>
    <t>#7C29E</t>
  </si>
  <si>
    <t>#CE9C2</t>
  </si>
  <si>
    <t>#A319E</t>
  </si>
  <si>
    <t>#9E8BD</t>
  </si>
  <si>
    <t>#C838F</t>
  </si>
  <si>
    <t>#63E6D</t>
  </si>
  <si>
    <t>#0B55D</t>
  </si>
  <si>
    <t>#5F008</t>
  </si>
  <si>
    <t>#2FE82</t>
  </si>
  <si>
    <t>#01D3B</t>
  </si>
  <si>
    <t>#8C004</t>
  </si>
  <si>
    <t>#6B53A</t>
  </si>
  <si>
    <t>#64521</t>
  </si>
  <si>
    <t>#A6700</t>
  </si>
  <si>
    <t>#4890E</t>
  </si>
  <si>
    <t>#A556E</t>
  </si>
  <si>
    <t>#74D35</t>
  </si>
  <si>
    <t>#E74EF</t>
  </si>
  <si>
    <t>#C2D2B</t>
  </si>
  <si>
    <t>#FD4D2</t>
  </si>
  <si>
    <t>#6F18E</t>
  </si>
  <si>
    <t>#B5CBD</t>
  </si>
  <si>
    <t>#054A6</t>
  </si>
  <si>
    <t>#C36B2</t>
  </si>
  <si>
    <t>#C3528</t>
  </si>
  <si>
    <t>#E6F03</t>
  </si>
  <si>
    <t>#42997</t>
  </si>
  <si>
    <t>#9E70B</t>
  </si>
  <si>
    <t>#6F655</t>
  </si>
  <si>
    <t>#0B3EF</t>
  </si>
  <si>
    <t>#5E72C</t>
  </si>
  <si>
    <t>#265A6</t>
  </si>
  <si>
    <t>#11446</t>
  </si>
  <si>
    <t>#0C78B</t>
  </si>
  <si>
    <t>#CE247</t>
  </si>
  <si>
    <t>#C2C11</t>
  </si>
  <si>
    <t>#1DFF6</t>
  </si>
  <si>
    <t>#7B50D</t>
  </si>
  <si>
    <t>#0EA31</t>
  </si>
  <si>
    <t>#8DE38</t>
  </si>
  <si>
    <t>#ED3CF</t>
  </si>
  <si>
    <t>#3D778</t>
  </si>
  <si>
    <t>#6560C</t>
  </si>
  <si>
    <t>#7DEAE</t>
  </si>
  <si>
    <t>#019E8</t>
  </si>
  <si>
    <t>#0E3BC</t>
  </si>
  <si>
    <t>#E7261</t>
  </si>
  <si>
    <t>#12E26</t>
  </si>
  <si>
    <t>#0953B</t>
  </si>
  <si>
    <t>#BDF43</t>
  </si>
  <si>
    <t>#A9EF0</t>
  </si>
  <si>
    <t>#DA967</t>
  </si>
  <si>
    <t>#6AB6C</t>
  </si>
  <si>
    <t>#3B4AF</t>
  </si>
  <si>
    <t>#5FC1D</t>
  </si>
  <si>
    <t>#36056</t>
  </si>
  <si>
    <t>#77135</t>
  </si>
  <si>
    <t>#BB202</t>
  </si>
  <si>
    <t>#67371</t>
  </si>
  <si>
    <t>#CCB1D</t>
  </si>
  <si>
    <t>#E0CD2</t>
  </si>
  <si>
    <t>#245CF</t>
  </si>
  <si>
    <t>#819E1</t>
  </si>
  <si>
    <t>#2611E</t>
  </si>
  <si>
    <t>#BADB5</t>
  </si>
  <si>
    <t>#B44A4</t>
  </si>
  <si>
    <t>#264CA</t>
  </si>
  <si>
    <t>#C5084</t>
  </si>
  <si>
    <t>#0C890</t>
  </si>
  <si>
    <t>#E6DA5</t>
  </si>
  <si>
    <t>#85589</t>
  </si>
  <si>
    <t>#EC6A4</t>
  </si>
  <si>
    <t>#6C2AD</t>
  </si>
  <si>
    <t>#C4300</t>
  </si>
  <si>
    <t>#C55FF</t>
  </si>
  <si>
    <t>#9A4E0</t>
  </si>
  <si>
    <t>#C007E</t>
  </si>
  <si>
    <t>#25164</t>
  </si>
  <si>
    <t>#FAB0A</t>
  </si>
  <si>
    <t>#AF361</t>
  </si>
  <si>
    <t>#9C285</t>
  </si>
  <si>
    <t>#D5CBC</t>
  </si>
  <si>
    <t>#5124E</t>
  </si>
  <si>
    <t>#A6A53</t>
  </si>
  <si>
    <t>#A40A5</t>
  </si>
  <si>
    <t>#F5A74</t>
  </si>
  <si>
    <t>#32FE4</t>
  </si>
  <si>
    <t>#B6D81</t>
  </si>
  <si>
    <t>#6AD3E</t>
  </si>
  <si>
    <t>#99DF9</t>
  </si>
  <si>
    <t>#99134</t>
  </si>
  <si>
    <t>#0494A</t>
  </si>
  <si>
    <t>#086C4</t>
  </si>
  <si>
    <t>#E564E</t>
  </si>
  <si>
    <t>#0EC61</t>
  </si>
  <si>
    <t>#80991</t>
  </si>
  <si>
    <t>#10D1F</t>
  </si>
  <si>
    <t>#DEDF1</t>
  </si>
  <si>
    <t>#13F16</t>
  </si>
  <si>
    <t>#3C620</t>
  </si>
  <si>
    <t>#B3427</t>
  </si>
  <si>
    <t>#65C0A</t>
  </si>
  <si>
    <t>#127F5</t>
  </si>
  <si>
    <t>#6A90F</t>
  </si>
  <si>
    <t>#125B7</t>
  </si>
  <si>
    <t>#5593A</t>
  </si>
  <si>
    <t>#9F7FB</t>
  </si>
  <si>
    <t>#A4E8C</t>
  </si>
  <si>
    <t>#16E59</t>
  </si>
  <si>
    <t>#B2451</t>
  </si>
  <si>
    <t>#7B67F</t>
  </si>
  <si>
    <t>#F7245</t>
  </si>
  <si>
    <t>#3CB8E</t>
  </si>
  <si>
    <t>#F55CC</t>
  </si>
  <si>
    <t>#7839B</t>
  </si>
  <si>
    <t>#BBB09</t>
  </si>
  <si>
    <t>#205BE</t>
  </si>
  <si>
    <t>#5BFAE</t>
  </si>
  <si>
    <t>#21E61</t>
  </si>
  <si>
    <t>#40EB8</t>
  </si>
  <si>
    <t>#6AB8D</t>
  </si>
  <si>
    <t>#0A367</t>
  </si>
  <si>
    <t>#A60E7</t>
  </si>
  <si>
    <t>#95915</t>
  </si>
  <si>
    <t>#2B930</t>
  </si>
  <si>
    <t>#6F9BF</t>
  </si>
  <si>
    <t>#CCDE0</t>
  </si>
  <si>
    <t>#E917A</t>
  </si>
  <si>
    <t>#B70AB</t>
  </si>
  <si>
    <t>#B3FDF</t>
  </si>
  <si>
    <t>#21E2B</t>
  </si>
  <si>
    <t>#C9C38</t>
  </si>
  <si>
    <t>#A0140</t>
  </si>
  <si>
    <t>#9EE8F</t>
  </si>
  <si>
    <t>#00F03</t>
  </si>
  <si>
    <t>#72BC9</t>
  </si>
  <si>
    <t>#DCB85</t>
  </si>
  <si>
    <t>#D16A2</t>
  </si>
  <si>
    <t>#60717</t>
  </si>
  <si>
    <t>#8939F</t>
  </si>
  <si>
    <t>#CF8EE</t>
  </si>
  <si>
    <t>#5093F</t>
  </si>
  <si>
    <t>#8CB60</t>
  </si>
  <si>
    <t>#EBE17</t>
  </si>
  <si>
    <t>#0255C</t>
  </si>
  <si>
    <t>#2C194</t>
  </si>
  <si>
    <t>#14161</t>
  </si>
  <si>
    <t>#DDDFD</t>
  </si>
  <si>
    <t>#C17CB</t>
  </si>
  <si>
    <t>#DE650</t>
  </si>
  <si>
    <t>#9AB94</t>
  </si>
  <si>
    <t>#6E126</t>
  </si>
  <si>
    <t>#91744</t>
  </si>
  <si>
    <t>#05689</t>
  </si>
  <si>
    <t>#D866C</t>
  </si>
  <si>
    <t>#B911A</t>
  </si>
  <si>
    <t>#0EA3A</t>
  </si>
  <si>
    <t>#47ADD</t>
  </si>
  <si>
    <t>#96B08</t>
  </si>
  <si>
    <t>#09D2E</t>
  </si>
  <si>
    <t>#FE216</t>
  </si>
  <si>
    <t>#49157</t>
  </si>
  <si>
    <t>#AE160</t>
  </si>
  <si>
    <t>#2F27E</t>
  </si>
  <si>
    <t>#9A0C5</t>
  </si>
  <si>
    <t>#19CDF</t>
  </si>
  <si>
    <t>#B9D5F</t>
  </si>
  <si>
    <t>#0D4F8</t>
  </si>
  <si>
    <t>#036A0</t>
  </si>
  <si>
    <t>#195A7</t>
  </si>
  <si>
    <t>#20B11</t>
  </si>
  <si>
    <t>#183B8</t>
  </si>
  <si>
    <t>#00BF8</t>
  </si>
  <si>
    <t>#BB007</t>
  </si>
  <si>
    <t>#EDD57</t>
  </si>
  <si>
    <t>#DDBD3</t>
  </si>
  <si>
    <t>#48426</t>
  </si>
  <si>
    <t>#776ED</t>
  </si>
  <si>
    <t>#8615F</t>
  </si>
  <si>
    <t>#99092</t>
  </si>
  <si>
    <t>#F5DB4</t>
  </si>
  <si>
    <t>#480EF</t>
  </si>
  <si>
    <t>#9F701</t>
  </si>
  <si>
    <t>#19545</t>
  </si>
  <si>
    <t>#DB56A</t>
  </si>
  <si>
    <t>#90905</t>
  </si>
  <si>
    <t>#B5E96</t>
  </si>
  <si>
    <t>#88FDA</t>
  </si>
  <si>
    <t>#64FAE</t>
  </si>
  <si>
    <t>#91A11</t>
  </si>
  <si>
    <t>#78168</t>
  </si>
  <si>
    <t>#A79D0</t>
  </si>
  <si>
    <t>#774BC</t>
  </si>
  <si>
    <t>#0FBEA</t>
  </si>
  <si>
    <t>#CCC14</t>
  </si>
  <si>
    <t>#AAEDF</t>
  </si>
  <si>
    <t>#B6C0F</t>
  </si>
  <si>
    <t>#F00A8</t>
  </si>
  <si>
    <t>#C6638</t>
  </si>
  <si>
    <t>#AFC8D</t>
  </si>
  <si>
    <t>#547A2</t>
  </si>
  <si>
    <t>#D74CE</t>
  </si>
  <si>
    <t>#59503</t>
  </si>
  <si>
    <t>#39A28</t>
  </si>
  <si>
    <t>#3E161</t>
  </si>
  <si>
    <t>#8C43C</t>
  </si>
  <si>
    <t>#2628E</t>
  </si>
  <si>
    <t>#EB135</t>
  </si>
  <si>
    <t>#FC8FA</t>
  </si>
  <si>
    <t>#02BF3</t>
  </si>
  <si>
    <t>#54233</t>
  </si>
  <si>
    <t>#A53E0</t>
  </si>
  <si>
    <t>#57FB9</t>
  </si>
  <si>
    <t>#FAD11</t>
  </si>
  <si>
    <t>#66D3C</t>
  </si>
  <si>
    <t>#24955</t>
  </si>
  <si>
    <t>#A3323</t>
  </si>
  <si>
    <t>#4CF05</t>
  </si>
  <si>
    <t>#546D1</t>
  </si>
  <si>
    <t>#51AC1</t>
  </si>
  <si>
    <t>#250AD</t>
  </si>
  <si>
    <t>#66411</t>
  </si>
  <si>
    <t>#4379A</t>
  </si>
  <si>
    <t>#4C07A</t>
  </si>
  <si>
    <t>#A140D</t>
  </si>
  <si>
    <t>#210F4</t>
  </si>
  <si>
    <t>#5F7CF</t>
  </si>
  <si>
    <t>#B84A7</t>
  </si>
  <si>
    <t>#28A09</t>
  </si>
  <si>
    <t>#542D7</t>
  </si>
  <si>
    <t>#6DB8D</t>
  </si>
  <si>
    <t>#44BBA</t>
  </si>
  <si>
    <t>#94EB6</t>
  </si>
  <si>
    <t>#C829B</t>
  </si>
  <si>
    <t>#C32B6</t>
  </si>
  <si>
    <t>#97BC3</t>
  </si>
  <si>
    <t>#5E94E</t>
  </si>
  <si>
    <t>#FC823</t>
  </si>
  <si>
    <t>#90613</t>
  </si>
  <si>
    <t>#63D64</t>
  </si>
  <si>
    <t>#94C7C</t>
  </si>
  <si>
    <t>#7A1B1</t>
  </si>
  <si>
    <t>#20ED8</t>
  </si>
  <si>
    <t>#CC5CA</t>
  </si>
  <si>
    <t>#7A0DA</t>
  </si>
  <si>
    <t>#536A0</t>
  </si>
  <si>
    <t>#B2F19</t>
  </si>
  <si>
    <t>#CB03C</t>
  </si>
  <si>
    <t>#E656F</t>
  </si>
  <si>
    <t>#7C8B5</t>
  </si>
  <si>
    <t>#B40D1</t>
  </si>
  <si>
    <t>#70476</t>
  </si>
  <si>
    <t>#1E8A2</t>
  </si>
  <si>
    <t>#5C094</t>
  </si>
  <si>
    <t>#961E9</t>
  </si>
  <si>
    <t>#340D3</t>
  </si>
  <si>
    <t>#1AF44</t>
  </si>
  <si>
    <t>#CA6E2</t>
  </si>
  <si>
    <t>#18AD9</t>
  </si>
  <si>
    <t>#0C9DB</t>
  </si>
  <si>
    <t>#5443F</t>
  </si>
  <si>
    <t>#8E417</t>
  </si>
  <si>
    <t>#FBB5C</t>
  </si>
  <si>
    <t>#F3CAF</t>
  </si>
  <si>
    <t>#97288</t>
  </si>
  <si>
    <t>#7B485</t>
  </si>
  <si>
    <t>#F9BBB</t>
  </si>
  <si>
    <t>#F095B</t>
  </si>
  <si>
    <t>#BC18C</t>
  </si>
  <si>
    <t>#BDD1B</t>
  </si>
  <si>
    <t>#1223E</t>
  </si>
  <si>
    <t>#E054B</t>
  </si>
  <si>
    <t>#59605</t>
  </si>
  <si>
    <t>#44B34</t>
  </si>
  <si>
    <t>#6F201</t>
  </si>
  <si>
    <t>#9824F</t>
  </si>
  <si>
    <t>#D02C7</t>
  </si>
  <si>
    <t>#7DDA6</t>
  </si>
  <si>
    <t>#41B69</t>
  </si>
  <si>
    <t>#CB78E</t>
  </si>
  <si>
    <t>#19FD9</t>
  </si>
  <si>
    <t>#16356</t>
  </si>
  <si>
    <t>#3ED7E</t>
  </si>
  <si>
    <t>#65B0F</t>
  </si>
  <si>
    <t>#8991E</t>
  </si>
  <si>
    <t>#B5B47</t>
  </si>
  <si>
    <t>#DA4AA</t>
  </si>
  <si>
    <t>#77056</t>
  </si>
  <si>
    <t>#5DCE9</t>
  </si>
  <si>
    <t>#7BBF9</t>
  </si>
  <si>
    <t>#935F1</t>
  </si>
  <si>
    <t>#6E451</t>
  </si>
  <si>
    <t>#2190F</t>
  </si>
  <si>
    <t>#E38A9</t>
  </si>
  <si>
    <t>#1F376</t>
  </si>
  <si>
    <t>#3367D</t>
  </si>
  <si>
    <t>#271F6</t>
  </si>
  <si>
    <t>#D3022</t>
  </si>
  <si>
    <t>#62100</t>
  </si>
  <si>
    <t>#D0BB3</t>
  </si>
  <si>
    <t>#40FC5</t>
  </si>
  <si>
    <t>#3844F</t>
  </si>
  <si>
    <t>#C690C</t>
  </si>
  <si>
    <t>#9E1EF</t>
  </si>
  <si>
    <t>#77B1A</t>
  </si>
  <si>
    <t>#D4024</t>
  </si>
  <si>
    <t>#1998D</t>
  </si>
  <si>
    <t>#CE05B</t>
  </si>
  <si>
    <t>#57BEE</t>
  </si>
  <si>
    <t>#DBF78</t>
  </si>
  <si>
    <t>#EF5AD</t>
  </si>
  <si>
    <t>#7BFEC</t>
  </si>
  <si>
    <t>#4E8EF</t>
  </si>
  <si>
    <t>#31C70</t>
  </si>
  <si>
    <t>#A9883</t>
  </si>
  <si>
    <t>#354A9</t>
  </si>
  <si>
    <t>#448A5</t>
  </si>
  <si>
    <t>#9DEC0</t>
  </si>
  <si>
    <t>#2E52D</t>
  </si>
  <si>
    <t>#559B0</t>
  </si>
  <si>
    <t>#2AA89</t>
  </si>
  <si>
    <t>#A14D0</t>
  </si>
  <si>
    <t>#2D3BE</t>
  </si>
  <si>
    <t>#E0EC5</t>
  </si>
  <si>
    <t>#03130</t>
  </si>
  <si>
    <t>#DD33A</t>
  </si>
  <si>
    <t>#CB906</t>
  </si>
  <si>
    <t>#40ADF</t>
  </si>
  <si>
    <t>#D9A32</t>
  </si>
  <si>
    <t>#9C12B</t>
  </si>
  <si>
    <t>#487B5</t>
  </si>
  <si>
    <t>#E21C7</t>
  </si>
  <si>
    <t>#45C86</t>
  </si>
  <si>
    <t>#5D7B5</t>
  </si>
  <si>
    <t>#7922C</t>
  </si>
  <si>
    <t>#C31AD</t>
  </si>
  <si>
    <t>#53B6B</t>
  </si>
  <si>
    <t>#AEB20</t>
  </si>
  <si>
    <t>#D03ED</t>
  </si>
  <si>
    <t>#CD87E</t>
  </si>
  <si>
    <t>#F81D4</t>
  </si>
  <si>
    <t>#08215</t>
  </si>
  <si>
    <t>#7A123</t>
  </si>
  <si>
    <t>#27882</t>
  </si>
  <si>
    <t>#00BCC</t>
  </si>
  <si>
    <t>#4D252</t>
  </si>
  <si>
    <t>#E8315</t>
  </si>
  <si>
    <t>#BE446</t>
  </si>
  <si>
    <t>#AE75E</t>
  </si>
  <si>
    <t>#4EA18</t>
  </si>
  <si>
    <t>#995A3</t>
  </si>
  <si>
    <t>#ACEE1</t>
  </si>
  <si>
    <t>#8EAB2</t>
  </si>
  <si>
    <t>#3CB7C</t>
  </si>
  <si>
    <t>#CBD3B</t>
  </si>
  <si>
    <t>#B2109</t>
  </si>
  <si>
    <t>#C061A</t>
  </si>
  <si>
    <t>#C01DC</t>
  </si>
  <si>
    <t>#F0E2F</t>
  </si>
  <si>
    <t>#5F16C</t>
  </si>
  <si>
    <t>#4A3CC</t>
  </si>
  <si>
    <t>#0A4B9</t>
  </si>
  <si>
    <t>#C05DA</t>
  </si>
  <si>
    <t>#8E52D</t>
  </si>
  <si>
    <t>#E907D</t>
  </si>
  <si>
    <t>#D6B57</t>
  </si>
  <si>
    <t>#2286D</t>
  </si>
  <si>
    <t>#9B35A</t>
  </si>
  <si>
    <t>#D9DD7</t>
  </si>
  <si>
    <t>#4482B</t>
  </si>
  <si>
    <t>#91307</t>
  </si>
  <si>
    <t>#2EA48</t>
  </si>
  <si>
    <t>#616A3</t>
  </si>
  <si>
    <t>#736B1</t>
  </si>
  <si>
    <t>#8112A</t>
  </si>
  <si>
    <t>#1F12B</t>
  </si>
  <si>
    <t>#A06D3</t>
  </si>
  <si>
    <t>#61E56</t>
  </si>
  <si>
    <t>#22544</t>
  </si>
  <si>
    <t>#04108</t>
  </si>
  <si>
    <t>#A6BBB</t>
  </si>
  <si>
    <t>#572A3</t>
  </si>
  <si>
    <t>#5363D</t>
  </si>
  <si>
    <t>#41383</t>
  </si>
  <si>
    <t>#4FFE3</t>
  </si>
  <si>
    <t>#FFC0E</t>
  </si>
  <si>
    <t>#BC1BC</t>
  </si>
  <si>
    <t>#2DA5B</t>
  </si>
  <si>
    <t>#146E1</t>
  </si>
  <si>
    <t>#A838E</t>
  </si>
  <si>
    <t>#BA8E4</t>
  </si>
  <si>
    <t>#8D7BF</t>
  </si>
  <si>
    <t>#E6889</t>
  </si>
  <si>
    <t>#E1031</t>
  </si>
  <si>
    <t>#6A638</t>
  </si>
  <si>
    <t>#5CC3A</t>
  </si>
  <si>
    <t>#5E728</t>
  </si>
  <si>
    <t>#8331E</t>
  </si>
  <si>
    <t>#4A2D3</t>
  </si>
  <si>
    <t>#F5283</t>
  </si>
  <si>
    <t>#775E3</t>
  </si>
  <si>
    <t>#CF47E</t>
  </si>
  <si>
    <t>#B1255</t>
  </si>
  <si>
    <t>#1B7D7</t>
  </si>
  <si>
    <t>#1D68E</t>
  </si>
  <si>
    <t>#19716</t>
  </si>
  <si>
    <t>#B263A</t>
  </si>
  <si>
    <t>#A3D8D</t>
  </si>
  <si>
    <t>#E55A1</t>
  </si>
  <si>
    <t>#C439D</t>
  </si>
  <si>
    <t>#29E0B</t>
  </si>
  <si>
    <t>#F2F48</t>
  </si>
  <si>
    <t>#86CFA</t>
  </si>
  <si>
    <t>#E1B23</t>
  </si>
  <si>
    <t>#0C56C</t>
  </si>
  <si>
    <t>#6DCBB</t>
  </si>
  <si>
    <t>#ACCD2</t>
  </si>
  <si>
    <t>#12BE2</t>
  </si>
  <si>
    <t>#C5AF5</t>
  </si>
  <si>
    <t>#96A89</t>
  </si>
  <si>
    <t>#64051</t>
  </si>
  <si>
    <t>#92304</t>
  </si>
  <si>
    <t>#2B932</t>
  </si>
  <si>
    <t>#9E9B7</t>
  </si>
  <si>
    <t>#C1382</t>
  </si>
  <si>
    <t>#6A8A6</t>
  </si>
  <si>
    <t>#3BAD2</t>
  </si>
  <si>
    <t>#F13BF</t>
  </si>
  <si>
    <t>#0251C</t>
  </si>
  <si>
    <t>#D4F92</t>
  </si>
  <si>
    <t>#1B84B</t>
  </si>
  <si>
    <t>#27F63</t>
  </si>
  <si>
    <t>#6F7D7</t>
  </si>
  <si>
    <t>#666B1</t>
  </si>
  <si>
    <t>#351FF</t>
  </si>
  <si>
    <t>#C8CA3</t>
  </si>
  <si>
    <t>#3686F</t>
  </si>
  <si>
    <t>#43C60</t>
  </si>
  <si>
    <t>#4ECFA</t>
  </si>
  <si>
    <t>#E2B81</t>
  </si>
  <si>
    <t>#EBC51</t>
  </si>
  <si>
    <t>#AFDD6</t>
  </si>
  <si>
    <t>#A7F77</t>
  </si>
  <si>
    <t>#2AA87</t>
  </si>
  <si>
    <t>#E8280</t>
  </si>
  <si>
    <t>#6EEAA</t>
  </si>
  <si>
    <t>#7BDCD</t>
  </si>
  <si>
    <t>#F136F</t>
  </si>
  <si>
    <t>#10CF4</t>
  </si>
  <si>
    <t>#93863</t>
  </si>
  <si>
    <t>#64974</t>
  </si>
  <si>
    <t>#343D4</t>
  </si>
  <si>
    <t>#B7D70</t>
  </si>
  <si>
    <t>#171F5</t>
  </si>
  <si>
    <t>#CCC01</t>
  </si>
  <si>
    <t>#87549</t>
  </si>
  <si>
    <t>#ADB7F</t>
  </si>
  <si>
    <t>#C9669</t>
  </si>
  <si>
    <t>#47F3E</t>
  </si>
  <si>
    <t>#92BD9</t>
  </si>
  <si>
    <t>#9853C</t>
  </si>
  <si>
    <t>#FDBEF</t>
  </si>
  <si>
    <t>#F90FD</t>
  </si>
  <si>
    <t>#3682C</t>
  </si>
  <si>
    <t>#8BE4E</t>
  </si>
  <si>
    <t>#A0A15</t>
  </si>
  <si>
    <t>#C2D2C</t>
  </si>
  <si>
    <t>#175AA</t>
  </si>
  <si>
    <t>#51807</t>
  </si>
  <si>
    <t>#98BCD</t>
  </si>
  <si>
    <t>#22662</t>
  </si>
  <si>
    <t>#4EEE7</t>
  </si>
  <si>
    <t>#50B64</t>
  </si>
  <si>
    <t>#C86D7</t>
  </si>
  <si>
    <t>#069F7</t>
  </si>
  <si>
    <t>#0915F</t>
  </si>
  <si>
    <t>#F1E3A</t>
  </si>
  <si>
    <t>#E2F9D</t>
  </si>
  <si>
    <t>#B7430</t>
  </si>
  <si>
    <t>#1F4CD</t>
  </si>
  <si>
    <t>#85182</t>
  </si>
  <si>
    <t>#8A439</t>
  </si>
  <si>
    <t>#F53FD</t>
  </si>
  <si>
    <t>#9E650</t>
  </si>
  <si>
    <t>#AE3CC</t>
  </si>
  <si>
    <t>#C3929</t>
  </si>
  <si>
    <t>#97F26</t>
  </si>
  <si>
    <t>#B73CE</t>
  </si>
  <si>
    <t>#C1607</t>
  </si>
  <si>
    <t>#39241</t>
  </si>
  <si>
    <t>#D5ABB</t>
  </si>
  <si>
    <t>#94EE4</t>
  </si>
  <si>
    <t>#FB350</t>
  </si>
  <si>
    <t>#D8D75</t>
  </si>
  <si>
    <t>#078FD</t>
  </si>
  <si>
    <t>#82992</t>
  </si>
  <si>
    <t>#7D703</t>
  </si>
  <si>
    <t>#EBD90</t>
  </si>
  <si>
    <t>#2B23B</t>
  </si>
  <si>
    <t>#60B2A</t>
  </si>
  <si>
    <t>#ABA0E</t>
  </si>
  <si>
    <t>#41397</t>
  </si>
  <si>
    <t>#E7961</t>
  </si>
  <si>
    <t>#A1781</t>
  </si>
  <si>
    <t>#31E05</t>
  </si>
  <si>
    <t>#ACF11</t>
  </si>
  <si>
    <t>#92E85</t>
  </si>
  <si>
    <t>#78065</t>
  </si>
  <si>
    <t>#8B078</t>
  </si>
  <si>
    <t>#00A66</t>
  </si>
  <si>
    <t>#AE7C0</t>
  </si>
  <si>
    <t>#5BD17</t>
  </si>
  <si>
    <t>#CF881</t>
  </si>
  <si>
    <t>#E7ACC</t>
  </si>
  <si>
    <t>#8AC9F</t>
  </si>
  <si>
    <t>#74ED3</t>
  </si>
  <si>
    <t>#EC72F</t>
  </si>
  <si>
    <t>#26184</t>
  </si>
  <si>
    <t>#21E49</t>
  </si>
  <si>
    <t>#65C65</t>
  </si>
  <si>
    <t>#21ED4</t>
  </si>
  <si>
    <t>#C7AB5</t>
  </si>
  <si>
    <t>#1F6CE</t>
  </si>
  <si>
    <t>#4C6CE</t>
  </si>
  <si>
    <t>#CF0F8</t>
  </si>
  <si>
    <t>#9AC3B</t>
  </si>
  <si>
    <t>#E8C87</t>
  </si>
  <si>
    <t>#644C8</t>
  </si>
  <si>
    <t>#550E2</t>
  </si>
  <si>
    <t>#C3F4A</t>
  </si>
  <si>
    <t>#AE42B</t>
  </si>
  <si>
    <t>#C9A1D</t>
  </si>
  <si>
    <t>#1FDD9</t>
  </si>
  <si>
    <t>#9ECAF</t>
  </si>
  <si>
    <t>#3ADBB</t>
  </si>
  <si>
    <t>#98F2E</t>
  </si>
  <si>
    <t>#AC886</t>
  </si>
  <si>
    <t>#859AB</t>
  </si>
  <si>
    <t>#EC05B</t>
  </si>
  <si>
    <t>#231BB</t>
  </si>
  <si>
    <t>#50957</t>
  </si>
  <si>
    <t>#A34F7</t>
  </si>
  <si>
    <t>#26FC5</t>
  </si>
  <si>
    <t>#B2F0E</t>
  </si>
  <si>
    <t>#728EB</t>
  </si>
  <si>
    <t>#38339</t>
  </si>
  <si>
    <t>#AF9DB</t>
  </si>
  <si>
    <t>#16AE9</t>
  </si>
  <si>
    <t>#9C30E</t>
  </si>
  <si>
    <t>#DB8D9</t>
  </si>
  <si>
    <t>#12DD5</t>
  </si>
  <si>
    <t>#BC89B</t>
  </si>
  <si>
    <t>#4683B</t>
  </si>
  <si>
    <t>#D20C3</t>
  </si>
  <si>
    <t>#C086D</t>
  </si>
  <si>
    <t>#DED22</t>
  </si>
  <si>
    <t>#D0733</t>
  </si>
  <si>
    <t>#7579D</t>
  </si>
  <si>
    <t>#0DBE6</t>
  </si>
  <si>
    <t>#F130F</t>
  </si>
  <si>
    <t>#1C335</t>
  </si>
  <si>
    <t>#AB39E</t>
  </si>
  <si>
    <t>#E53DD</t>
  </si>
  <si>
    <t>#F591F</t>
  </si>
  <si>
    <t>#F2F54</t>
  </si>
  <si>
    <t>#81BB5</t>
  </si>
  <si>
    <t>#79E6F</t>
  </si>
  <si>
    <t>#DE7D0</t>
  </si>
  <si>
    <t>#1AD1F</t>
  </si>
  <si>
    <t>#ED6AF</t>
  </si>
  <si>
    <t>#8FE4C</t>
  </si>
  <si>
    <t>#444E4</t>
  </si>
  <si>
    <t>#4D424</t>
  </si>
  <si>
    <t>#BB8AF</t>
  </si>
  <si>
    <t>#92EF8</t>
  </si>
  <si>
    <t>#CACD1</t>
  </si>
  <si>
    <t>#F60E0</t>
  </si>
  <si>
    <t>#7B575</t>
  </si>
  <si>
    <t>#4E026</t>
  </si>
  <si>
    <t>#3BAAF</t>
  </si>
  <si>
    <t>#FE193</t>
  </si>
  <si>
    <t>#3DE6A</t>
  </si>
  <si>
    <t>#ACBA4</t>
  </si>
  <si>
    <t>#30013</t>
  </si>
  <si>
    <t>#55544</t>
  </si>
  <si>
    <t>#24814</t>
  </si>
  <si>
    <t>#0A44B</t>
  </si>
  <si>
    <t>#E8CE9</t>
  </si>
  <si>
    <t>#8AAA0</t>
  </si>
  <si>
    <t>#8F4BA</t>
  </si>
  <si>
    <t>#755A9</t>
  </si>
  <si>
    <t>#E37A5</t>
  </si>
  <si>
    <t>#B85AF</t>
  </si>
  <si>
    <t>#1F1A2</t>
  </si>
  <si>
    <t>#16A71</t>
  </si>
  <si>
    <t>#C8CDB</t>
  </si>
  <si>
    <t>#169D0</t>
  </si>
  <si>
    <t>#2BAAE</t>
  </si>
  <si>
    <t>#9855A</t>
  </si>
  <si>
    <t>#48526</t>
  </si>
  <si>
    <t>#B4916</t>
  </si>
  <si>
    <t>#B665A</t>
  </si>
  <si>
    <t>#690D3</t>
  </si>
  <si>
    <t>#EEC34</t>
  </si>
  <si>
    <t>#0B67C</t>
  </si>
  <si>
    <t>#4D1FA</t>
  </si>
  <si>
    <t>#8EBEA</t>
  </si>
  <si>
    <t>#405C4</t>
  </si>
  <si>
    <t>#8B0D3</t>
  </si>
  <si>
    <t>#BA2D7</t>
  </si>
  <si>
    <t>#A51DA</t>
  </si>
  <si>
    <t>#43D06</t>
  </si>
  <si>
    <t>#CA713</t>
  </si>
  <si>
    <t>#D367F</t>
  </si>
  <si>
    <t>#B0DAC</t>
  </si>
  <si>
    <t>#8A292</t>
  </si>
  <si>
    <t>#D7325</t>
  </si>
  <si>
    <t>#60A9A</t>
  </si>
  <si>
    <t>#1643F</t>
  </si>
  <si>
    <t>#052E3</t>
  </si>
  <si>
    <t>#7C0E8</t>
  </si>
  <si>
    <t>#985A9</t>
  </si>
  <si>
    <t>#7DA1B</t>
  </si>
  <si>
    <t>#86EE7</t>
  </si>
  <si>
    <t>#FE65A</t>
  </si>
  <si>
    <t>#72B9A</t>
  </si>
  <si>
    <t>#2CD7D</t>
  </si>
  <si>
    <t>#819C4</t>
  </si>
  <si>
    <t>#12E6E</t>
  </si>
  <si>
    <t>#1B026</t>
  </si>
  <si>
    <t>#7C3B1</t>
  </si>
  <si>
    <t>#F6BBB</t>
  </si>
  <si>
    <t>#A9A38</t>
  </si>
  <si>
    <t>#2401C</t>
  </si>
  <si>
    <t>#F85A7</t>
  </si>
  <si>
    <t>#8D902</t>
  </si>
  <si>
    <t>#DE9AE</t>
  </si>
  <si>
    <t>#40C1C</t>
  </si>
  <si>
    <t>#BC3D1</t>
  </si>
  <si>
    <t>#A61D2</t>
  </si>
  <si>
    <t>#9DC33</t>
  </si>
  <si>
    <t>#DBDB3</t>
  </si>
  <si>
    <t>#94A6D</t>
  </si>
  <si>
    <t>#3D7D7</t>
  </si>
  <si>
    <t>#4EBB7</t>
  </si>
  <si>
    <t>#1EB31</t>
  </si>
  <si>
    <t>#3B7B5</t>
  </si>
  <si>
    <t>#8659C</t>
  </si>
  <si>
    <t>#39FFD</t>
  </si>
  <si>
    <t>#977B1</t>
  </si>
  <si>
    <t>#F5A09</t>
  </si>
  <si>
    <t>#893C6</t>
  </si>
  <si>
    <t>#0C90C</t>
  </si>
  <si>
    <t>#CEDC3</t>
  </si>
  <si>
    <t>#32CEA</t>
  </si>
  <si>
    <t>#B4B18</t>
  </si>
  <si>
    <t>#D37A4</t>
  </si>
  <si>
    <t>#A7CB6</t>
  </si>
  <si>
    <t>#F6E18</t>
  </si>
  <si>
    <t>#4DC70</t>
  </si>
  <si>
    <t>#7EB39</t>
  </si>
  <si>
    <t>#F9DF0</t>
  </si>
  <si>
    <t>#5A14A</t>
  </si>
  <si>
    <t>#D3BAC</t>
  </si>
  <si>
    <t>#60F4A</t>
  </si>
  <si>
    <t>#02BE1</t>
  </si>
  <si>
    <t>#244BF</t>
  </si>
  <si>
    <t>#7C94A</t>
  </si>
  <si>
    <t>#D0619</t>
  </si>
  <si>
    <t>#E59C2</t>
  </si>
  <si>
    <t>#7D2D4</t>
  </si>
  <si>
    <t>#FA37F</t>
  </si>
  <si>
    <t>#E98BB</t>
  </si>
  <si>
    <t>#0A013</t>
  </si>
  <si>
    <t>#3FC8D</t>
  </si>
  <si>
    <t>#A4F7B</t>
  </si>
  <si>
    <t>#142F9</t>
  </si>
  <si>
    <t>#88A95</t>
  </si>
  <si>
    <t>#ADCE2</t>
  </si>
  <si>
    <t>#02616</t>
  </si>
  <si>
    <t>#8B711</t>
  </si>
  <si>
    <t>#B0C54</t>
  </si>
  <si>
    <t>#C0D01</t>
  </si>
  <si>
    <t>#C822E</t>
  </si>
  <si>
    <t>#C8B2A</t>
  </si>
  <si>
    <t>#9A8A7</t>
  </si>
  <si>
    <t>#9C12C</t>
  </si>
  <si>
    <t>#5F238</t>
  </si>
  <si>
    <t>#71C60</t>
  </si>
  <si>
    <t>#80186</t>
  </si>
  <si>
    <t>#E35D3</t>
  </si>
  <si>
    <t>#D9725</t>
  </si>
  <si>
    <t>#514A4</t>
  </si>
  <si>
    <t>#74E81</t>
  </si>
  <si>
    <t>#EE736</t>
  </si>
  <si>
    <t>#6A919</t>
  </si>
  <si>
    <t>#10DF7</t>
  </si>
  <si>
    <t>#1CC9A</t>
  </si>
  <si>
    <t>#41194</t>
  </si>
  <si>
    <t>#1D2EE</t>
  </si>
  <si>
    <t>#7E716</t>
  </si>
  <si>
    <t>#0CC8E</t>
  </si>
  <si>
    <t>#D4296</t>
  </si>
  <si>
    <t>#F6220</t>
  </si>
  <si>
    <t>#5EDDC</t>
  </si>
  <si>
    <t>#8A9EC</t>
  </si>
  <si>
    <t>#5353D</t>
  </si>
  <si>
    <t>#BF9D4</t>
  </si>
  <si>
    <t>#6644F</t>
  </si>
  <si>
    <t>#3B2A7</t>
  </si>
  <si>
    <t>#400AF</t>
  </si>
  <si>
    <t>#11176</t>
  </si>
  <si>
    <t>#D886B</t>
  </si>
  <si>
    <t>#803E1</t>
  </si>
  <si>
    <t>#48776</t>
  </si>
  <si>
    <t>#495D8</t>
  </si>
  <si>
    <t>#D640B</t>
  </si>
  <si>
    <t>#A5FCF</t>
  </si>
  <si>
    <t>#5D756</t>
  </si>
  <si>
    <t>#E9442</t>
  </si>
  <si>
    <t>#AB403</t>
  </si>
  <si>
    <t>#C59C4</t>
  </si>
  <si>
    <t>#55035</t>
  </si>
  <si>
    <t>#20535</t>
  </si>
  <si>
    <t>#DCC34</t>
  </si>
  <si>
    <t>#CB00A</t>
  </si>
  <si>
    <t>#ABB32</t>
  </si>
  <si>
    <t>#1DF9C</t>
  </si>
  <si>
    <t>#665FC</t>
  </si>
  <si>
    <t>#8A44A</t>
  </si>
  <si>
    <t>#B6C89</t>
  </si>
  <si>
    <t>#9E261</t>
  </si>
  <si>
    <t>#B1140</t>
  </si>
  <si>
    <t>#906F9</t>
  </si>
  <si>
    <t>#8A5B8</t>
  </si>
  <si>
    <t>#FAC7E</t>
  </si>
  <si>
    <t>#DF19F</t>
  </si>
  <si>
    <t>#45FFD</t>
  </si>
  <si>
    <t>#96F99</t>
  </si>
  <si>
    <t>#B31D0</t>
  </si>
  <si>
    <t>#9703B</t>
  </si>
  <si>
    <t>#FE700</t>
  </si>
  <si>
    <t>#385A7</t>
  </si>
  <si>
    <t>#7408D</t>
  </si>
  <si>
    <t>#ACA14</t>
  </si>
  <si>
    <t>#00DAD</t>
  </si>
  <si>
    <t>#6095C</t>
  </si>
  <si>
    <t>#59359</t>
  </si>
  <si>
    <t>#AFDBC</t>
  </si>
  <si>
    <t>#8ADD6</t>
  </si>
  <si>
    <t>#BDFD5</t>
  </si>
  <si>
    <t>#66E8E</t>
  </si>
  <si>
    <t>#2A7A5</t>
  </si>
  <si>
    <t>#1D700</t>
  </si>
  <si>
    <t>#6565A</t>
  </si>
  <si>
    <t>#4F840</t>
  </si>
  <si>
    <t>#EF612</t>
  </si>
  <si>
    <t>#4C023</t>
  </si>
  <si>
    <t>#87E4B</t>
  </si>
  <si>
    <t>#BE4DF</t>
  </si>
  <si>
    <t>#4ACF2</t>
  </si>
  <si>
    <t>#0C0FD</t>
  </si>
  <si>
    <t>#91701</t>
  </si>
  <si>
    <t>#D2181</t>
  </si>
  <si>
    <t>#3D8DE</t>
  </si>
  <si>
    <t>#A0E3A</t>
  </si>
  <si>
    <t>#8F7D3</t>
  </si>
  <si>
    <t>#62D73</t>
  </si>
  <si>
    <t>#72A36</t>
  </si>
  <si>
    <t>#BC446</t>
  </si>
  <si>
    <t>#84BB9</t>
  </si>
  <si>
    <t>#4AECF</t>
  </si>
  <si>
    <t>#D0134</t>
  </si>
  <si>
    <t>#6D82C</t>
  </si>
  <si>
    <t>#F1F7E</t>
  </si>
  <si>
    <t>#90B85</t>
  </si>
  <si>
    <t>#D67C6</t>
  </si>
  <si>
    <t>Vente totale juin 2024</t>
  </si>
  <si>
    <t>Vente fin du mois 07/24</t>
  </si>
  <si>
    <t>Vente fin du mois 8/24</t>
  </si>
  <si>
    <t>Vente total fin mois 9/24</t>
  </si>
  <si>
    <t>Vente fin mois 10/24</t>
  </si>
  <si>
    <t>Vente total Novembre 2024</t>
  </si>
  <si>
    <t>Vente total des resto Nov.2024</t>
  </si>
  <si>
    <t>Tax total des resto Nov.2024</t>
  </si>
  <si>
    <t>Vente Total Decembre 2024</t>
  </si>
  <si>
    <t>Vente total des resto mars 2024</t>
  </si>
  <si>
    <t>Tax total des resto mars 2024</t>
  </si>
  <si>
    <t>Vente total des resto Dec. 2024</t>
  </si>
  <si>
    <t>Tax total des resto Dec. 2024</t>
  </si>
  <si>
    <t>Vente total des resto Octobre 2024</t>
  </si>
  <si>
    <t>Tax total des resto octobre 2024</t>
  </si>
  <si>
    <t>Tax total des resto Septembre 2024</t>
  </si>
  <si>
    <t>Vente total des resto septembre 2024</t>
  </si>
  <si>
    <t>Vente total des resto avril 2024</t>
  </si>
  <si>
    <t>Tax total des resto avril 2024</t>
  </si>
  <si>
    <t>Vente total des resto mai 2024</t>
  </si>
  <si>
    <t>Tax total des resto mai 2024</t>
  </si>
  <si>
    <t>Vente total des resto juin 2024</t>
  </si>
  <si>
    <t>Tax total des resto juin 2024</t>
  </si>
  <si>
    <t>Vente total des resto juillet 2024</t>
  </si>
  <si>
    <t>Tax total des resto juillet 2024</t>
  </si>
  <si>
    <t>Vente total des resto aout 2024</t>
  </si>
  <si>
    <t>Tax total des resto aout 2024</t>
  </si>
  <si>
    <t>Mois</t>
  </si>
  <si>
    <t>Vente</t>
  </si>
  <si>
    <t>Mars</t>
  </si>
  <si>
    <t>Avril</t>
  </si>
  <si>
    <t>Juin</t>
  </si>
  <si>
    <t>Juillet</t>
  </si>
  <si>
    <t>Aout</t>
  </si>
  <si>
    <t>Septembre</t>
  </si>
  <si>
    <t>Octobre</t>
  </si>
  <si>
    <t>Novembre</t>
  </si>
  <si>
    <t>Decembre</t>
  </si>
  <si>
    <t>Mai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</si>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</sst>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20" fontId="0" fillId="0" borderId="0" xfId="0" applyNumberFormat="1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14" fontId="0" fillId="0" borderId="1" xfId="0" applyNumberFormat="1" applyBorder="1"/>
    <xf numFmtId="20" fontId="0" fillId="0" borderId="1" xfId="0" applyNumberFormat="1" applyBorder="1"/>
    <xf numFmtId="44" fontId="0" fillId="0" borderId="2" xfId="1" applyFont="1" applyBorder="1"/>
    <xf numFmtId="44" fontId="0" fillId="0" borderId="0" xfId="0" applyNumberFormat="1"/>
    <xf numFmtId="44" fontId="0" fillId="0" borderId="4" xfId="0" applyNumberFormat="1" applyBorder="1"/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14" fontId="0" fillId="0" borderId="9" xfId="0" applyNumberFormat="1" applyBorder="1"/>
    <xf numFmtId="20" fontId="0" fillId="0" borderId="9" xfId="0" applyNumberFormat="1" applyBorder="1"/>
    <xf numFmtId="44" fontId="0" fillId="0" borderId="9" xfId="1" applyFont="1" applyBorder="1"/>
    <xf numFmtId="0" fontId="0" fillId="0" borderId="9" xfId="0" applyFont="1" applyBorder="1"/>
    <xf numFmtId="14" fontId="0" fillId="0" borderId="9" xfId="0" applyNumberFormat="1" applyFont="1" applyBorder="1"/>
    <xf numFmtId="20" fontId="0" fillId="0" borderId="9" xfId="0" applyNumberFormat="1" applyFont="1" applyBorder="1"/>
    <xf numFmtId="14" fontId="0" fillId="0" borderId="3" xfId="0" applyNumberFormat="1" applyBorder="1"/>
    <xf numFmtId="20" fontId="0" fillId="0" borderId="3" xfId="0" applyNumberFormat="1" applyBorder="1"/>
    <xf numFmtId="44" fontId="0" fillId="0" borderId="3" xfId="1" applyFont="1" applyBorder="1"/>
    <xf numFmtId="0" fontId="0" fillId="0" borderId="0" xfId="0" applyFill="1" applyBorder="1"/>
    <xf numFmtId="0" fontId="0" fillId="0" borderId="0" xfId="0" applyFont="1" applyFill="1" applyBorder="1"/>
    <xf numFmtId="44" fontId="0" fillId="0" borderId="7" xfId="1" applyFont="1" applyBorder="1"/>
    <xf numFmtId="0" fontId="0" fillId="0" borderId="10" xfId="0" applyBorder="1"/>
    <xf numFmtId="44" fontId="0" fillId="0" borderId="11" xfId="0" applyNumberFormat="1" applyBorder="1"/>
    <xf numFmtId="0" fontId="0" fillId="0" borderId="12" xfId="0" applyBorder="1"/>
    <xf numFmtId="44" fontId="0" fillId="0" borderId="13" xfId="0" applyNumberFormat="1" applyBorder="1"/>
    <xf numFmtId="0" fontId="0" fillId="0" borderId="14" xfId="0" applyBorder="1"/>
    <xf numFmtId="44" fontId="0" fillId="0" borderId="15" xfId="0" applyNumberFormat="1" applyBorder="1"/>
    <xf numFmtId="0" fontId="0" fillId="0" borderId="12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17"/>
  <sheetViews>
    <sheetView tabSelected="1" topLeftCell="A4" workbookViewId="0">
      <selection activeCell="C18" sqref="C18"/>
    </sheetView>
  </sheetViews>
  <sheetFormatPr defaultRowHeight="14.5" x14ac:dyDescent="0.35"/>
  <cols>
    <col min="2" max="2" width="12.08984375" customWidth="1"/>
    <col min="3" max="3" width="13.453125" customWidth="1"/>
  </cols>
  <sheetData>
    <row r="5" spans="2:3" ht="15" thickBot="1" x14ac:dyDescent="0.4"/>
    <row r="6" spans="2:3" ht="15" thickBot="1" x14ac:dyDescent="0.4">
      <c r="B6" s="11" t="s">
        <v>2254</v>
      </c>
      <c r="C6" s="13" t="s">
        <v>2255</v>
      </c>
    </row>
    <row r="7" spans="2:3" x14ac:dyDescent="0.35">
      <c r="B7" s="29" t="s">
        <v>2256</v>
      </c>
      <c r="C7" s="30">
        <v>3687.71</v>
      </c>
    </row>
    <row r="8" spans="2:3" x14ac:dyDescent="0.35">
      <c r="B8" s="31" t="s">
        <v>2257</v>
      </c>
      <c r="C8" s="32">
        <v>6807.0500000000011</v>
      </c>
    </row>
    <row r="9" spans="2:3" x14ac:dyDescent="0.35">
      <c r="B9" s="31" t="s">
        <v>2265</v>
      </c>
      <c r="C9" s="32">
        <v>8922.4699999999993</v>
      </c>
    </row>
    <row r="10" spans="2:3" x14ac:dyDescent="0.35">
      <c r="B10" s="31" t="s">
        <v>2258</v>
      </c>
      <c r="C10" s="32">
        <v>6736.5</v>
      </c>
    </row>
    <row r="11" spans="2:3" x14ac:dyDescent="0.35">
      <c r="B11" s="31" t="s">
        <v>2259</v>
      </c>
      <c r="C11" s="32">
        <v>5754.4899999999989</v>
      </c>
    </row>
    <row r="12" spans="2:3" x14ac:dyDescent="0.35">
      <c r="B12" s="31" t="s">
        <v>2260</v>
      </c>
      <c r="C12" s="32">
        <v>5721.9999999999991</v>
      </c>
    </row>
    <row r="13" spans="2:3" x14ac:dyDescent="0.35">
      <c r="B13" s="31" t="s">
        <v>2261</v>
      </c>
      <c r="C13" s="32">
        <v>5711.4800000000014</v>
      </c>
    </row>
    <row r="14" spans="2:3" x14ac:dyDescent="0.35">
      <c r="B14" s="31" t="s">
        <v>2262</v>
      </c>
      <c r="C14" s="32">
        <v>5287.21</v>
      </c>
    </row>
    <row r="15" spans="2:3" x14ac:dyDescent="0.35">
      <c r="B15" s="31" t="s">
        <v>2263</v>
      </c>
      <c r="C15" s="32">
        <v>4576.8</v>
      </c>
    </row>
    <row r="16" spans="2:3" ht="15" thickBot="1" x14ac:dyDescent="0.4">
      <c r="B16" s="33" t="s">
        <v>2264</v>
      </c>
      <c r="C16" s="34">
        <v>2404.14</v>
      </c>
    </row>
    <row r="17" spans="2:3" x14ac:dyDescent="0.35">
      <c r="B17" s="35" t="s">
        <v>2266</v>
      </c>
      <c r="C17" s="9">
        <f>SUM(C7:C16)</f>
        <v>55609.850000000006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186"/>
  <sheetViews>
    <sheetView topLeftCell="A164" workbookViewId="0">
      <selection activeCell="G185" sqref="G185"/>
    </sheetView>
  </sheetViews>
  <sheetFormatPr defaultRowHeight="14.5" x14ac:dyDescent="0.35"/>
  <cols>
    <col min="1" max="1" width="31.26953125" customWidth="1"/>
    <col min="3" max="3" width="19.1796875" customWidth="1"/>
    <col min="6" max="6" width="10.453125" customWidth="1"/>
    <col min="7" max="7" width="17" customWidth="1"/>
    <col min="8" max="8" width="15.81640625" customWidth="1"/>
  </cols>
  <sheetData>
    <row r="6" spans="1:8" ht="15.75" thickBot="1" x14ac:dyDescent="0.3"/>
    <row r="7" spans="1:8" ht="15.75" thickBot="1" x14ac:dyDescent="0.3">
      <c r="A7" s="11" t="s">
        <v>162</v>
      </c>
      <c r="B7" s="12" t="s">
        <v>163</v>
      </c>
      <c r="C7" s="12" t="s">
        <v>165</v>
      </c>
      <c r="D7" s="12" t="s">
        <v>166</v>
      </c>
      <c r="E7" s="12" t="s">
        <v>164</v>
      </c>
      <c r="F7" s="12" t="s">
        <v>167</v>
      </c>
      <c r="G7" s="12" t="s">
        <v>168</v>
      </c>
      <c r="H7" s="13" t="s">
        <v>171</v>
      </c>
    </row>
    <row r="8" spans="1:8" x14ac:dyDescent="0.35">
      <c r="A8" t="s">
        <v>0</v>
      </c>
      <c r="B8" t="s">
        <v>1</v>
      </c>
      <c r="C8" s="1">
        <v>45352</v>
      </c>
      <c r="D8" s="2">
        <v>0.71736111111111101</v>
      </c>
      <c r="E8" t="s">
        <v>2</v>
      </c>
      <c r="F8" t="s">
        <v>3</v>
      </c>
      <c r="G8" s="3">
        <v>75.84</v>
      </c>
      <c r="H8" s="3">
        <v>11.35</v>
      </c>
    </row>
    <row r="9" spans="1:8" x14ac:dyDescent="0.35">
      <c r="A9" t="s">
        <v>0</v>
      </c>
      <c r="B9" t="s">
        <v>4</v>
      </c>
      <c r="C9" s="1">
        <v>45352</v>
      </c>
      <c r="D9" s="2">
        <v>0.74236111111111114</v>
      </c>
      <c r="E9" t="s">
        <v>2</v>
      </c>
      <c r="F9" t="s">
        <v>3</v>
      </c>
      <c r="G9" s="3">
        <v>19.98</v>
      </c>
      <c r="H9" s="3">
        <v>3</v>
      </c>
    </row>
    <row r="10" spans="1:8" x14ac:dyDescent="0.35">
      <c r="A10" t="s">
        <v>0</v>
      </c>
      <c r="B10" t="s">
        <v>5</v>
      </c>
      <c r="C10" s="1">
        <v>45353</v>
      </c>
      <c r="D10" s="2">
        <v>0.77569444444444446</v>
      </c>
      <c r="E10" t="s">
        <v>2</v>
      </c>
      <c r="F10" t="s">
        <v>3</v>
      </c>
      <c r="G10" s="3">
        <v>52.46</v>
      </c>
      <c r="H10" s="3">
        <v>7.85</v>
      </c>
    </row>
    <row r="11" spans="1:8" x14ac:dyDescent="0.35">
      <c r="A11" t="s">
        <v>0</v>
      </c>
      <c r="B11" t="s">
        <v>6</v>
      </c>
      <c r="C11" s="1">
        <v>45353</v>
      </c>
      <c r="D11" s="2">
        <v>0.78333333333333333</v>
      </c>
      <c r="E11" t="s">
        <v>2</v>
      </c>
      <c r="F11" t="s">
        <v>3</v>
      </c>
      <c r="G11" s="3">
        <v>50.52</v>
      </c>
      <c r="H11" s="3">
        <v>7.57</v>
      </c>
    </row>
    <row r="12" spans="1:8" x14ac:dyDescent="0.35">
      <c r="A12" t="s">
        <v>0</v>
      </c>
      <c r="B12" t="s">
        <v>7</v>
      </c>
      <c r="C12" s="1">
        <v>45354</v>
      </c>
      <c r="D12" s="2">
        <v>0.72569444444444453</v>
      </c>
      <c r="E12" t="s">
        <v>2</v>
      </c>
      <c r="F12" t="s">
        <v>3</v>
      </c>
      <c r="G12" s="3">
        <v>31.18</v>
      </c>
      <c r="H12" s="3">
        <v>4.66</v>
      </c>
    </row>
    <row r="13" spans="1:8" x14ac:dyDescent="0.35">
      <c r="A13" t="s">
        <v>0</v>
      </c>
      <c r="B13" t="s">
        <v>8</v>
      </c>
      <c r="C13" s="1">
        <v>45357</v>
      </c>
      <c r="D13" s="2">
        <v>0.69791666666666663</v>
      </c>
      <c r="E13" t="s">
        <v>2</v>
      </c>
      <c r="F13" t="s">
        <v>3</v>
      </c>
      <c r="G13" s="3">
        <v>22.98</v>
      </c>
      <c r="H13" s="3">
        <v>3.44</v>
      </c>
    </row>
    <row r="14" spans="1:8" x14ac:dyDescent="0.35">
      <c r="A14" t="s">
        <v>0</v>
      </c>
      <c r="B14" t="s">
        <v>9</v>
      </c>
      <c r="C14" s="1">
        <v>45357</v>
      </c>
      <c r="D14" s="2">
        <v>0.93055555555555547</v>
      </c>
      <c r="E14" t="s">
        <v>2</v>
      </c>
      <c r="F14" t="s">
        <v>3</v>
      </c>
      <c r="G14" s="3">
        <v>32.97</v>
      </c>
      <c r="H14" s="3">
        <v>4.93</v>
      </c>
    </row>
    <row r="15" spans="1:8" x14ac:dyDescent="0.35">
      <c r="A15" t="s">
        <v>0</v>
      </c>
      <c r="B15" t="s">
        <v>10</v>
      </c>
      <c r="C15" s="1">
        <v>45358</v>
      </c>
      <c r="D15" s="2">
        <v>0.40138888888888885</v>
      </c>
      <c r="E15" t="s">
        <v>2</v>
      </c>
      <c r="F15" t="s">
        <v>3</v>
      </c>
      <c r="G15" s="3">
        <v>81.86</v>
      </c>
      <c r="H15" s="3">
        <v>12.26</v>
      </c>
    </row>
    <row r="16" spans="1:8" x14ac:dyDescent="0.35">
      <c r="A16" t="s">
        <v>0</v>
      </c>
      <c r="B16" t="s">
        <v>11</v>
      </c>
      <c r="C16" s="1">
        <v>45358</v>
      </c>
      <c r="D16" s="2">
        <v>0.90416666666666667</v>
      </c>
      <c r="E16" t="s">
        <v>2</v>
      </c>
      <c r="F16" t="s">
        <v>3</v>
      </c>
      <c r="G16" s="3">
        <v>19.98</v>
      </c>
      <c r="H16" s="3">
        <v>3</v>
      </c>
    </row>
    <row r="17" spans="1:8" x14ac:dyDescent="0.35">
      <c r="A17" t="s">
        <v>0</v>
      </c>
      <c r="B17" t="s">
        <v>12</v>
      </c>
      <c r="C17" s="1">
        <v>45369</v>
      </c>
      <c r="D17" s="2">
        <v>0.21319444444444444</v>
      </c>
      <c r="E17" t="s">
        <v>2</v>
      </c>
      <c r="F17" t="s">
        <v>3</v>
      </c>
      <c r="G17" s="3">
        <v>19.489999999999998</v>
      </c>
      <c r="H17" s="3">
        <v>2.92</v>
      </c>
    </row>
    <row r="18" spans="1:8" x14ac:dyDescent="0.35">
      <c r="A18" t="s">
        <v>0</v>
      </c>
      <c r="B18" t="s">
        <v>13</v>
      </c>
      <c r="C18" s="1">
        <v>45369</v>
      </c>
      <c r="D18" s="2">
        <v>0.97291666666666676</v>
      </c>
      <c r="E18" t="s">
        <v>2</v>
      </c>
      <c r="F18" t="s">
        <v>3</v>
      </c>
      <c r="G18" s="3">
        <v>19.170000000000002</v>
      </c>
      <c r="H18" s="3">
        <v>2.87</v>
      </c>
    </row>
    <row r="19" spans="1:8" x14ac:dyDescent="0.35">
      <c r="A19" t="s">
        <v>0</v>
      </c>
      <c r="B19" t="s">
        <v>14</v>
      </c>
      <c r="C19" s="1">
        <v>45370</v>
      </c>
      <c r="D19" s="2">
        <v>4.8611111111111112E-3</v>
      </c>
      <c r="E19" t="s">
        <v>2</v>
      </c>
      <c r="F19" t="s">
        <v>3</v>
      </c>
      <c r="G19" s="3">
        <v>12.99</v>
      </c>
      <c r="H19" s="3">
        <v>1.95</v>
      </c>
    </row>
    <row r="20" spans="1:8" x14ac:dyDescent="0.35">
      <c r="A20" t="s">
        <v>0</v>
      </c>
      <c r="B20" t="s">
        <v>15</v>
      </c>
      <c r="C20" s="1">
        <v>45371</v>
      </c>
      <c r="D20" s="2">
        <v>4.027777777777778E-2</v>
      </c>
      <c r="E20" t="s">
        <v>2</v>
      </c>
      <c r="F20" t="s">
        <v>3</v>
      </c>
      <c r="G20" s="3">
        <v>30.78</v>
      </c>
      <c r="H20" s="3">
        <v>4.6100000000000003</v>
      </c>
    </row>
    <row r="21" spans="1:8" x14ac:dyDescent="0.35">
      <c r="A21" t="s">
        <v>0</v>
      </c>
      <c r="B21" t="s">
        <v>16</v>
      </c>
      <c r="C21" s="1">
        <v>45371</v>
      </c>
      <c r="D21" s="2">
        <v>0.16388888888888889</v>
      </c>
      <c r="E21" t="s">
        <v>2</v>
      </c>
      <c r="F21" t="s">
        <v>3</v>
      </c>
      <c r="G21" s="3">
        <v>11.69</v>
      </c>
      <c r="H21" s="3">
        <v>1.75</v>
      </c>
    </row>
    <row r="22" spans="1:8" x14ac:dyDescent="0.35">
      <c r="A22" t="s">
        <v>0</v>
      </c>
      <c r="B22" t="s">
        <v>17</v>
      </c>
      <c r="C22" s="1">
        <v>45371</v>
      </c>
      <c r="D22" s="2">
        <v>0.21527777777777779</v>
      </c>
      <c r="E22" t="s">
        <v>2</v>
      </c>
      <c r="F22" t="s">
        <v>3</v>
      </c>
      <c r="G22" s="3">
        <v>21.68</v>
      </c>
      <c r="H22" s="3">
        <v>3.25</v>
      </c>
    </row>
    <row r="23" spans="1:8" x14ac:dyDescent="0.35">
      <c r="A23" t="s">
        <v>0</v>
      </c>
      <c r="B23" t="s">
        <v>18</v>
      </c>
      <c r="C23" s="1">
        <v>45373</v>
      </c>
      <c r="D23" s="2">
        <v>7.3611111111111113E-2</v>
      </c>
      <c r="E23" t="s">
        <v>2</v>
      </c>
      <c r="F23" t="s">
        <v>3</v>
      </c>
      <c r="G23" s="3">
        <v>23.38</v>
      </c>
      <c r="H23" s="3">
        <v>3.5</v>
      </c>
    </row>
    <row r="24" spans="1:8" x14ac:dyDescent="0.35">
      <c r="A24" t="s">
        <v>0</v>
      </c>
      <c r="B24" t="s">
        <v>19</v>
      </c>
      <c r="C24" s="1">
        <v>45373</v>
      </c>
      <c r="D24" s="2">
        <v>0.12013888888888889</v>
      </c>
      <c r="E24" t="s">
        <v>2</v>
      </c>
      <c r="F24" t="s">
        <v>3</v>
      </c>
      <c r="G24" s="3">
        <v>22.08</v>
      </c>
      <c r="H24" s="3">
        <v>3.31</v>
      </c>
    </row>
    <row r="25" spans="1:8" x14ac:dyDescent="0.35">
      <c r="A25" t="s">
        <v>0</v>
      </c>
      <c r="B25" t="s">
        <v>20</v>
      </c>
      <c r="C25" s="1">
        <v>45374</v>
      </c>
      <c r="D25" s="2">
        <v>0.1388888888888889</v>
      </c>
      <c r="E25" t="s">
        <v>2</v>
      </c>
      <c r="F25" t="s">
        <v>3</v>
      </c>
      <c r="G25" s="3">
        <v>16.57</v>
      </c>
      <c r="H25" s="3">
        <v>2.48</v>
      </c>
    </row>
    <row r="26" spans="1:8" x14ac:dyDescent="0.35">
      <c r="A26" t="s">
        <v>0</v>
      </c>
      <c r="B26" t="s">
        <v>21</v>
      </c>
      <c r="C26" s="1">
        <v>45374</v>
      </c>
      <c r="D26" s="2">
        <v>0.2902777777777778</v>
      </c>
      <c r="E26" t="s">
        <v>2</v>
      </c>
      <c r="F26" t="s">
        <v>3</v>
      </c>
      <c r="G26" s="3">
        <v>22.99</v>
      </c>
      <c r="H26" s="3">
        <v>3.44</v>
      </c>
    </row>
    <row r="27" spans="1:8" x14ac:dyDescent="0.35">
      <c r="A27" t="s">
        <v>0</v>
      </c>
      <c r="B27" t="s">
        <v>22</v>
      </c>
      <c r="C27" s="1">
        <v>45375</v>
      </c>
      <c r="D27" s="2">
        <v>0.89027777777777783</v>
      </c>
      <c r="E27" t="s">
        <v>2</v>
      </c>
      <c r="F27" t="s">
        <v>3</v>
      </c>
      <c r="G27" s="3">
        <v>17.989999999999998</v>
      </c>
      <c r="H27" s="3">
        <v>2.69</v>
      </c>
    </row>
    <row r="28" spans="1:8" x14ac:dyDescent="0.35">
      <c r="A28" t="s">
        <v>0</v>
      </c>
      <c r="B28" t="s">
        <v>23</v>
      </c>
      <c r="C28" s="1">
        <v>45376</v>
      </c>
      <c r="D28" s="2">
        <v>0.14791666666666667</v>
      </c>
      <c r="E28" t="s">
        <v>2</v>
      </c>
      <c r="F28" t="s">
        <v>3</v>
      </c>
      <c r="G28" s="3">
        <v>14.3</v>
      </c>
      <c r="H28" s="3">
        <v>2.14</v>
      </c>
    </row>
    <row r="29" spans="1:8" x14ac:dyDescent="0.35">
      <c r="A29" t="s">
        <v>0</v>
      </c>
      <c r="B29" t="s">
        <v>24</v>
      </c>
      <c r="C29" s="1">
        <v>45379</v>
      </c>
      <c r="D29" s="2">
        <v>0.18680555555555556</v>
      </c>
      <c r="E29" t="s">
        <v>2</v>
      </c>
      <c r="F29" t="s">
        <v>3</v>
      </c>
      <c r="G29" s="3">
        <v>32.17</v>
      </c>
      <c r="H29" s="3">
        <v>4.82</v>
      </c>
    </row>
    <row r="30" spans="1:8" x14ac:dyDescent="0.35">
      <c r="A30" t="s">
        <v>0</v>
      </c>
      <c r="B30" t="s">
        <v>25</v>
      </c>
      <c r="C30" s="1">
        <v>45379</v>
      </c>
      <c r="D30" s="2">
        <v>0.30138888888888887</v>
      </c>
      <c r="E30" t="s">
        <v>2</v>
      </c>
      <c r="F30" t="s">
        <v>3</v>
      </c>
      <c r="G30" s="3">
        <v>42.9</v>
      </c>
      <c r="H30" s="3">
        <v>6.42</v>
      </c>
    </row>
    <row r="31" spans="1:8" x14ac:dyDescent="0.35">
      <c r="A31" t="s">
        <v>0</v>
      </c>
      <c r="B31" t="s">
        <v>26</v>
      </c>
      <c r="C31" s="1">
        <v>45379</v>
      </c>
      <c r="D31" s="2">
        <v>0.94444444444444453</v>
      </c>
      <c r="E31" t="s">
        <v>2</v>
      </c>
      <c r="F31" t="s">
        <v>3</v>
      </c>
      <c r="G31" s="3">
        <v>15.6</v>
      </c>
      <c r="H31" s="3">
        <v>2.34</v>
      </c>
    </row>
    <row r="32" spans="1:8" x14ac:dyDescent="0.35">
      <c r="A32" t="s">
        <v>0</v>
      </c>
      <c r="B32" t="s">
        <v>27</v>
      </c>
      <c r="C32" s="1">
        <v>45380</v>
      </c>
      <c r="D32" s="2">
        <v>0.89374999999999993</v>
      </c>
      <c r="E32" t="s">
        <v>2</v>
      </c>
      <c r="F32" t="s">
        <v>3</v>
      </c>
      <c r="G32" s="3">
        <v>27.29</v>
      </c>
      <c r="H32" s="3">
        <v>4.09</v>
      </c>
    </row>
    <row r="33" spans="1:8" x14ac:dyDescent="0.35">
      <c r="A33" t="s">
        <v>0</v>
      </c>
      <c r="B33" t="s">
        <v>28</v>
      </c>
      <c r="C33" s="1">
        <v>45380</v>
      </c>
      <c r="D33" s="2">
        <v>0.94027777777777777</v>
      </c>
      <c r="E33" t="s">
        <v>2</v>
      </c>
      <c r="F33" t="s">
        <v>3</v>
      </c>
      <c r="G33" s="3">
        <v>48.58</v>
      </c>
      <c r="H33" s="3">
        <v>7.27</v>
      </c>
    </row>
    <row r="34" spans="1:8" x14ac:dyDescent="0.35">
      <c r="A34" t="s">
        <v>0</v>
      </c>
      <c r="B34" t="s">
        <v>29</v>
      </c>
      <c r="C34" s="1">
        <v>45381</v>
      </c>
      <c r="D34" s="2">
        <v>0.94513888888888886</v>
      </c>
      <c r="E34" t="s">
        <v>2</v>
      </c>
      <c r="F34" t="s">
        <v>3</v>
      </c>
      <c r="G34" s="3">
        <v>18.2</v>
      </c>
      <c r="H34" s="3">
        <v>2.73</v>
      </c>
    </row>
    <row r="35" spans="1:8" x14ac:dyDescent="0.35">
      <c r="A35" t="s">
        <v>0</v>
      </c>
      <c r="B35" t="s">
        <v>30</v>
      </c>
      <c r="C35" s="1">
        <v>45382</v>
      </c>
      <c r="D35" s="2">
        <v>0</v>
      </c>
      <c r="E35" t="s">
        <v>2</v>
      </c>
      <c r="F35" t="s">
        <v>3</v>
      </c>
      <c r="G35" s="3">
        <v>27.59</v>
      </c>
      <c r="H35" s="3">
        <v>4.13</v>
      </c>
    </row>
    <row r="36" spans="1:8" x14ac:dyDescent="0.35">
      <c r="A36" t="s">
        <v>0</v>
      </c>
      <c r="B36" t="s">
        <v>31</v>
      </c>
      <c r="C36" s="1">
        <v>45382</v>
      </c>
      <c r="D36" s="2">
        <v>0.20416666666666669</v>
      </c>
      <c r="E36" t="s">
        <v>2</v>
      </c>
      <c r="F36" t="s">
        <v>3</v>
      </c>
      <c r="G36" s="3">
        <v>24.7</v>
      </c>
      <c r="H36" s="3">
        <v>3.7</v>
      </c>
    </row>
    <row r="37" spans="1:8" ht="15" thickBot="1" x14ac:dyDescent="0.4">
      <c r="A37" s="4" t="s">
        <v>0</v>
      </c>
      <c r="B37" s="4" t="s">
        <v>32</v>
      </c>
      <c r="C37" s="6">
        <v>45382</v>
      </c>
      <c r="D37" s="7">
        <v>0.40486111111111112</v>
      </c>
      <c r="E37" s="4" t="s">
        <v>2</v>
      </c>
      <c r="F37" s="4" t="s">
        <v>3</v>
      </c>
      <c r="G37" s="5">
        <v>32.090000000000003</v>
      </c>
      <c r="H37" s="5">
        <v>4.8099999999999996</v>
      </c>
    </row>
    <row r="38" spans="1:8" ht="15.75" thickBot="1" x14ac:dyDescent="0.3">
      <c r="A38" t="s">
        <v>170</v>
      </c>
      <c r="G38" s="8">
        <f>SUM(G8:G37)</f>
        <v>890.00000000000023</v>
      </c>
      <c r="H38" s="10">
        <f>SUM(H8:H37)</f>
        <v>133.28</v>
      </c>
    </row>
    <row r="39" spans="1:8" ht="15.75" thickTop="1" x14ac:dyDescent="0.25"/>
    <row r="42" spans="1:8" ht="15.75" thickBot="1" x14ac:dyDescent="0.3"/>
    <row r="43" spans="1:8" ht="15.75" thickBot="1" x14ac:dyDescent="0.3">
      <c r="A43" s="11" t="s">
        <v>162</v>
      </c>
      <c r="B43" s="12" t="s">
        <v>163</v>
      </c>
      <c r="C43" s="12" t="s">
        <v>165</v>
      </c>
      <c r="D43" s="12" t="s">
        <v>166</v>
      </c>
      <c r="E43" s="12" t="s">
        <v>164</v>
      </c>
      <c r="F43" s="12" t="s">
        <v>167</v>
      </c>
      <c r="G43" s="12" t="s">
        <v>168</v>
      </c>
      <c r="H43" s="13" t="s">
        <v>171</v>
      </c>
    </row>
    <row r="44" spans="1:8" x14ac:dyDescent="0.35">
      <c r="A44" t="s">
        <v>33</v>
      </c>
      <c r="B44" t="s">
        <v>34</v>
      </c>
      <c r="C44" s="1">
        <v>45352</v>
      </c>
      <c r="D44" s="2">
        <v>2.1527777777777781E-2</v>
      </c>
      <c r="E44" t="s">
        <v>2</v>
      </c>
      <c r="F44" t="s">
        <v>3</v>
      </c>
      <c r="G44" s="3">
        <v>10.45</v>
      </c>
      <c r="H44" s="3">
        <v>1.56</v>
      </c>
    </row>
    <row r="45" spans="1:8" x14ac:dyDescent="0.35">
      <c r="A45" t="s">
        <v>33</v>
      </c>
      <c r="B45" t="s">
        <v>35</v>
      </c>
      <c r="C45" s="1">
        <v>45360</v>
      </c>
      <c r="D45" s="2">
        <v>0.86319444444444438</v>
      </c>
      <c r="E45" t="s">
        <v>2</v>
      </c>
      <c r="F45" t="s">
        <v>3</v>
      </c>
      <c r="G45" s="3">
        <v>10.45</v>
      </c>
      <c r="H45" s="3">
        <v>1.56</v>
      </c>
    </row>
    <row r="46" spans="1:8" x14ac:dyDescent="0.35">
      <c r="A46" t="s">
        <v>33</v>
      </c>
      <c r="B46" t="s">
        <v>36</v>
      </c>
      <c r="C46" s="1">
        <v>45366</v>
      </c>
      <c r="D46" s="2">
        <v>0.94444444444444453</v>
      </c>
      <c r="E46" t="s">
        <v>2</v>
      </c>
      <c r="F46" t="s">
        <v>3</v>
      </c>
      <c r="G46" s="3">
        <v>19.96</v>
      </c>
      <c r="H46" s="3">
        <v>2.99</v>
      </c>
    </row>
    <row r="47" spans="1:8" x14ac:dyDescent="0.35">
      <c r="A47" t="s">
        <v>33</v>
      </c>
      <c r="B47" t="s">
        <v>37</v>
      </c>
      <c r="C47" s="1">
        <v>45373</v>
      </c>
      <c r="D47" s="2">
        <v>7.7083333333333337E-2</v>
      </c>
      <c r="E47" t="s">
        <v>2</v>
      </c>
      <c r="F47" t="s">
        <v>3</v>
      </c>
      <c r="G47" s="3">
        <v>23.7</v>
      </c>
      <c r="H47" s="3">
        <v>3.55</v>
      </c>
    </row>
    <row r="48" spans="1:8" x14ac:dyDescent="0.35">
      <c r="A48" t="s">
        <v>33</v>
      </c>
      <c r="B48" t="s">
        <v>38</v>
      </c>
      <c r="C48" s="1">
        <v>45374</v>
      </c>
      <c r="D48" s="2">
        <v>0.94513888888888886</v>
      </c>
      <c r="E48" t="s">
        <v>2</v>
      </c>
      <c r="F48" t="s">
        <v>3</v>
      </c>
      <c r="G48" s="3">
        <v>15.55</v>
      </c>
      <c r="H48" s="3">
        <v>2.33</v>
      </c>
    </row>
    <row r="49" spans="1:8" ht="15" thickBot="1" x14ac:dyDescent="0.4">
      <c r="A49" s="4" t="s">
        <v>33</v>
      </c>
      <c r="B49" s="4" t="s">
        <v>39</v>
      </c>
      <c r="C49" s="6">
        <v>45379</v>
      </c>
      <c r="D49" s="7">
        <v>0.91805555555555562</v>
      </c>
      <c r="E49" s="4" t="s">
        <v>2</v>
      </c>
      <c r="F49" s="4" t="s">
        <v>3</v>
      </c>
      <c r="G49" s="5">
        <v>26</v>
      </c>
      <c r="H49" s="5">
        <v>3.89</v>
      </c>
    </row>
    <row r="50" spans="1:8" ht="15.75" thickBot="1" x14ac:dyDescent="0.3">
      <c r="A50" t="s">
        <v>170</v>
      </c>
      <c r="G50" s="10">
        <f>SUM(G44:G49)</f>
        <v>106.11</v>
      </c>
      <c r="H50" s="10">
        <f>SUM(H44:H49)</f>
        <v>15.88</v>
      </c>
    </row>
    <row r="51" spans="1:8" ht="15.75" thickTop="1" x14ac:dyDescent="0.25"/>
    <row r="53" spans="1:8" ht="15.75" thickBot="1" x14ac:dyDescent="0.3"/>
    <row r="54" spans="1:8" ht="15.75" thickBot="1" x14ac:dyDescent="0.3">
      <c r="A54" s="11" t="s">
        <v>162</v>
      </c>
      <c r="B54" s="12" t="s">
        <v>163</v>
      </c>
      <c r="C54" s="12" t="s">
        <v>165</v>
      </c>
      <c r="D54" s="12" t="s">
        <v>166</v>
      </c>
      <c r="E54" s="12" t="s">
        <v>164</v>
      </c>
      <c r="F54" s="12" t="s">
        <v>167</v>
      </c>
      <c r="G54" s="12" t="s">
        <v>168</v>
      </c>
      <c r="H54" s="13" t="s">
        <v>171</v>
      </c>
    </row>
    <row r="55" spans="1:8" x14ac:dyDescent="0.35">
      <c r="A55" t="s">
        <v>40</v>
      </c>
      <c r="B55" t="s">
        <v>41</v>
      </c>
      <c r="C55" s="1">
        <v>45352</v>
      </c>
      <c r="D55" s="2">
        <v>0.3659722222222222</v>
      </c>
      <c r="E55" t="s">
        <v>2</v>
      </c>
      <c r="F55" t="s">
        <v>3</v>
      </c>
      <c r="G55" s="3">
        <v>18.899999999999999</v>
      </c>
      <c r="H55" s="3">
        <v>2.84</v>
      </c>
    </row>
    <row r="56" spans="1:8" x14ac:dyDescent="0.35">
      <c r="A56" t="s">
        <v>40</v>
      </c>
      <c r="B56" t="s">
        <v>42</v>
      </c>
      <c r="C56" s="1">
        <v>45352</v>
      </c>
      <c r="D56" s="2">
        <v>0.71250000000000002</v>
      </c>
      <c r="E56" t="s">
        <v>2</v>
      </c>
      <c r="F56" t="s">
        <v>3</v>
      </c>
      <c r="G56" s="3">
        <v>18.899999999999999</v>
      </c>
      <c r="H56" s="3">
        <v>2.84</v>
      </c>
    </row>
    <row r="57" spans="1:8" x14ac:dyDescent="0.35">
      <c r="A57" t="s">
        <v>40</v>
      </c>
      <c r="B57" t="s">
        <v>43</v>
      </c>
      <c r="C57" s="1">
        <v>45352</v>
      </c>
      <c r="D57" s="2">
        <v>0.97013888888888899</v>
      </c>
      <c r="E57" t="s">
        <v>2</v>
      </c>
      <c r="F57" t="s">
        <v>3</v>
      </c>
      <c r="G57" s="3">
        <v>18.899999999999999</v>
      </c>
      <c r="H57" s="3">
        <v>2.84</v>
      </c>
    </row>
    <row r="58" spans="1:8" x14ac:dyDescent="0.35">
      <c r="A58" t="s">
        <v>40</v>
      </c>
      <c r="B58" t="s">
        <v>44</v>
      </c>
      <c r="C58" s="1">
        <v>45352</v>
      </c>
      <c r="D58" s="2">
        <v>0.96180555555555547</v>
      </c>
      <c r="E58" t="s">
        <v>2</v>
      </c>
      <c r="F58" t="s">
        <v>3</v>
      </c>
      <c r="G58" s="3">
        <v>18.899999999999999</v>
      </c>
      <c r="H58" s="3">
        <v>2.84</v>
      </c>
    </row>
    <row r="59" spans="1:8" x14ac:dyDescent="0.35">
      <c r="A59" t="s">
        <v>40</v>
      </c>
      <c r="B59" t="s">
        <v>45</v>
      </c>
      <c r="C59" s="1">
        <v>45353</v>
      </c>
      <c r="D59" s="2">
        <v>0.875</v>
      </c>
      <c r="E59" t="s">
        <v>2</v>
      </c>
      <c r="F59" t="s">
        <v>3</v>
      </c>
      <c r="G59" s="3">
        <v>25</v>
      </c>
      <c r="H59" s="3">
        <v>3.75</v>
      </c>
    </row>
    <row r="60" spans="1:8" x14ac:dyDescent="0.35">
      <c r="A60" t="s">
        <v>40</v>
      </c>
      <c r="B60" t="s">
        <v>46</v>
      </c>
      <c r="C60" s="1">
        <v>45353</v>
      </c>
      <c r="D60" s="2">
        <v>0.93472222222222223</v>
      </c>
      <c r="E60" t="s">
        <v>2</v>
      </c>
      <c r="F60" t="s">
        <v>3</v>
      </c>
      <c r="G60" s="3">
        <v>18.899999999999999</v>
      </c>
      <c r="H60" s="3">
        <v>2.84</v>
      </c>
    </row>
    <row r="61" spans="1:8" x14ac:dyDescent="0.35">
      <c r="A61" t="s">
        <v>40</v>
      </c>
      <c r="B61" t="s">
        <v>47</v>
      </c>
      <c r="C61" s="1">
        <v>45354</v>
      </c>
      <c r="D61" s="2">
        <v>0.53402777777777777</v>
      </c>
      <c r="E61" t="s">
        <v>2</v>
      </c>
      <c r="F61" t="s">
        <v>3</v>
      </c>
      <c r="G61" s="3">
        <v>9.4499999999999993</v>
      </c>
      <c r="H61" s="3">
        <v>1.42</v>
      </c>
    </row>
    <row r="62" spans="1:8" x14ac:dyDescent="0.35">
      <c r="A62" t="s">
        <v>40</v>
      </c>
      <c r="B62" t="s">
        <v>48</v>
      </c>
      <c r="C62" s="1">
        <v>45354</v>
      </c>
      <c r="D62" s="2">
        <v>0.66041666666666665</v>
      </c>
      <c r="E62" t="s">
        <v>2</v>
      </c>
      <c r="F62" t="s">
        <v>3</v>
      </c>
      <c r="G62" s="3">
        <v>37.799999999999997</v>
      </c>
      <c r="H62" s="3">
        <v>5.66</v>
      </c>
    </row>
    <row r="63" spans="1:8" x14ac:dyDescent="0.35">
      <c r="A63" t="s">
        <v>40</v>
      </c>
      <c r="B63" t="s">
        <v>49</v>
      </c>
      <c r="C63" s="1">
        <v>45354</v>
      </c>
      <c r="D63" s="2">
        <v>0.7993055555555556</v>
      </c>
      <c r="E63" t="s">
        <v>2</v>
      </c>
      <c r="F63" t="s">
        <v>3</v>
      </c>
      <c r="G63" s="3">
        <v>21.12</v>
      </c>
      <c r="H63" s="3">
        <v>3.16</v>
      </c>
    </row>
    <row r="64" spans="1:8" x14ac:dyDescent="0.35">
      <c r="A64" t="s">
        <v>40</v>
      </c>
      <c r="B64" t="s">
        <v>50</v>
      </c>
      <c r="C64" s="1">
        <v>45355</v>
      </c>
      <c r="D64" s="2">
        <v>0.5395833333333333</v>
      </c>
      <c r="E64" t="s">
        <v>2</v>
      </c>
      <c r="F64" t="s">
        <v>3</v>
      </c>
      <c r="G64" s="3">
        <v>26.12</v>
      </c>
      <c r="H64" s="3">
        <v>3.91</v>
      </c>
    </row>
    <row r="65" spans="1:8" x14ac:dyDescent="0.35">
      <c r="A65" t="s">
        <v>40</v>
      </c>
      <c r="B65" t="s">
        <v>51</v>
      </c>
      <c r="C65" s="1">
        <v>45355</v>
      </c>
      <c r="D65" s="2">
        <v>0.75486111111111109</v>
      </c>
      <c r="E65" t="s">
        <v>2</v>
      </c>
      <c r="F65" t="s">
        <v>3</v>
      </c>
      <c r="G65" s="3">
        <v>19.87</v>
      </c>
      <c r="H65" s="3">
        <v>2.98</v>
      </c>
    </row>
    <row r="66" spans="1:8" x14ac:dyDescent="0.35">
      <c r="A66" t="s">
        <v>40</v>
      </c>
      <c r="B66" t="s">
        <v>52</v>
      </c>
      <c r="C66" s="1">
        <v>45355</v>
      </c>
      <c r="D66" s="2">
        <v>0.84513888888888899</v>
      </c>
      <c r="E66" t="s">
        <v>2</v>
      </c>
      <c r="F66" t="s">
        <v>3</v>
      </c>
      <c r="G66" s="3">
        <v>18.899999999999999</v>
      </c>
      <c r="H66" s="3">
        <v>2.83</v>
      </c>
    </row>
    <row r="67" spans="1:8" x14ac:dyDescent="0.35">
      <c r="A67" t="s">
        <v>40</v>
      </c>
      <c r="B67" t="s">
        <v>53</v>
      </c>
      <c r="C67" s="1">
        <v>45355</v>
      </c>
      <c r="D67" s="2">
        <v>0.91805555555555562</v>
      </c>
      <c r="E67" t="s">
        <v>2</v>
      </c>
      <c r="F67" t="s">
        <v>3</v>
      </c>
      <c r="G67" s="3">
        <v>18.899999999999999</v>
      </c>
      <c r="H67" s="3">
        <v>2.83</v>
      </c>
    </row>
    <row r="68" spans="1:8" x14ac:dyDescent="0.35">
      <c r="A68" t="s">
        <v>40</v>
      </c>
      <c r="B68" t="s">
        <v>54</v>
      </c>
      <c r="C68" s="1">
        <v>45356</v>
      </c>
      <c r="D68" s="2">
        <v>0.50486111111111109</v>
      </c>
      <c r="E68" t="s">
        <v>2</v>
      </c>
      <c r="F68" t="s">
        <v>3</v>
      </c>
      <c r="G68" s="3">
        <v>18.899999999999999</v>
      </c>
      <c r="H68" s="3">
        <v>2.83</v>
      </c>
    </row>
    <row r="69" spans="1:8" x14ac:dyDescent="0.35">
      <c r="A69" t="s">
        <v>40</v>
      </c>
      <c r="B69" t="s">
        <v>55</v>
      </c>
      <c r="C69" s="1">
        <v>45357</v>
      </c>
      <c r="D69" s="2">
        <v>0.95486111111111116</v>
      </c>
      <c r="E69" t="s">
        <v>2</v>
      </c>
      <c r="F69" t="s">
        <v>3</v>
      </c>
      <c r="G69" s="3">
        <v>19.7</v>
      </c>
      <c r="H69" s="3">
        <v>2.95</v>
      </c>
    </row>
    <row r="70" spans="1:8" x14ac:dyDescent="0.35">
      <c r="A70" t="s">
        <v>40</v>
      </c>
      <c r="B70" t="s">
        <v>56</v>
      </c>
      <c r="C70" s="1">
        <v>45359</v>
      </c>
      <c r="D70" s="2">
        <v>0.59930555555555554</v>
      </c>
      <c r="E70" t="s">
        <v>2</v>
      </c>
      <c r="F70" t="s">
        <v>3</v>
      </c>
      <c r="G70" s="3">
        <v>12.55</v>
      </c>
      <c r="H70" s="3">
        <v>1.88</v>
      </c>
    </row>
    <row r="71" spans="1:8" x14ac:dyDescent="0.35">
      <c r="A71" t="s">
        <v>40</v>
      </c>
      <c r="B71" t="s">
        <v>57</v>
      </c>
      <c r="C71" s="1">
        <v>45359</v>
      </c>
      <c r="D71" s="2">
        <v>0.86041666666666661</v>
      </c>
      <c r="E71" t="s">
        <v>2</v>
      </c>
      <c r="F71" t="s">
        <v>3</v>
      </c>
      <c r="G71" s="3">
        <v>15</v>
      </c>
      <c r="H71" s="3">
        <v>2.25</v>
      </c>
    </row>
    <row r="72" spans="1:8" x14ac:dyDescent="0.35">
      <c r="A72" t="s">
        <v>40</v>
      </c>
      <c r="B72" t="s">
        <v>59</v>
      </c>
      <c r="C72" s="1">
        <v>45360</v>
      </c>
      <c r="D72" s="2">
        <v>0.79791666666666661</v>
      </c>
      <c r="E72" t="s">
        <v>2</v>
      </c>
      <c r="F72" t="s">
        <v>3</v>
      </c>
      <c r="G72" s="3">
        <v>35.799999999999997</v>
      </c>
      <c r="H72" s="3">
        <v>5.36</v>
      </c>
    </row>
    <row r="73" spans="1:8" x14ac:dyDescent="0.35">
      <c r="A73" t="s">
        <v>40</v>
      </c>
      <c r="B73" t="s">
        <v>61</v>
      </c>
      <c r="C73" s="1">
        <v>45361</v>
      </c>
      <c r="D73" s="2">
        <v>0.77430555555555547</v>
      </c>
      <c r="E73" t="s">
        <v>2</v>
      </c>
      <c r="F73" t="s">
        <v>3</v>
      </c>
      <c r="G73" s="3">
        <v>28.35</v>
      </c>
      <c r="H73" s="3">
        <v>4.25</v>
      </c>
    </row>
    <row r="74" spans="1:8" x14ac:dyDescent="0.35">
      <c r="A74" t="s">
        <v>40</v>
      </c>
      <c r="B74" t="s">
        <v>62</v>
      </c>
      <c r="C74" s="1">
        <v>45362</v>
      </c>
      <c r="D74" s="2">
        <v>1.5972222222222224E-2</v>
      </c>
      <c r="E74" t="s">
        <v>2</v>
      </c>
      <c r="F74" t="s">
        <v>3</v>
      </c>
      <c r="G74" s="3">
        <v>21.6</v>
      </c>
      <c r="H74" s="3">
        <v>3.23</v>
      </c>
    </row>
    <row r="75" spans="1:8" x14ac:dyDescent="0.35">
      <c r="A75" t="s">
        <v>40</v>
      </c>
      <c r="B75" t="s">
        <v>63</v>
      </c>
      <c r="C75" s="1">
        <v>45362</v>
      </c>
      <c r="D75" s="2">
        <v>1.8055555555555557E-2</v>
      </c>
      <c r="E75" t="s">
        <v>2</v>
      </c>
      <c r="F75" t="s">
        <v>3</v>
      </c>
      <c r="G75" s="3">
        <v>7.15</v>
      </c>
      <c r="H75" s="3">
        <v>1.07</v>
      </c>
    </row>
    <row r="76" spans="1:8" x14ac:dyDescent="0.35">
      <c r="A76" t="s">
        <v>40</v>
      </c>
      <c r="B76" t="s">
        <v>64</v>
      </c>
      <c r="C76" s="1">
        <v>45362</v>
      </c>
      <c r="D76" s="2">
        <v>0.49652777777777773</v>
      </c>
      <c r="E76" t="s">
        <v>2</v>
      </c>
      <c r="F76" t="s">
        <v>3</v>
      </c>
      <c r="G76" s="3">
        <v>15</v>
      </c>
      <c r="H76" s="3">
        <v>2.25</v>
      </c>
    </row>
    <row r="77" spans="1:8" x14ac:dyDescent="0.35">
      <c r="A77" t="s">
        <v>40</v>
      </c>
      <c r="B77" t="s">
        <v>65</v>
      </c>
      <c r="C77" s="1">
        <v>45362</v>
      </c>
      <c r="D77" s="2">
        <v>0.66319444444444442</v>
      </c>
      <c r="E77" t="s">
        <v>2</v>
      </c>
      <c r="F77" t="s">
        <v>3</v>
      </c>
      <c r="G77" s="3">
        <v>20.46</v>
      </c>
      <c r="H77" s="3">
        <v>3.06</v>
      </c>
    </row>
    <row r="78" spans="1:8" x14ac:dyDescent="0.35">
      <c r="A78" t="s">
        <v>40</v>
      </c>
      <c r="B78" t="s">
        <v>66</v>
      </c>
      <c r="C78" s="1">
        <v>45362</v>
      </c>
      <c r="D78" s="2">
        <v>0.81527777777777777</v>
      </c>
      <c r="E78" t="s">
        <v>2</v>
      </c>
      <c r="F78" t="s">
        <v>3</v>
      </c>
      <c r="G78" s="3">
        <v>26.05</v>
      </c>
      <c r="H78" s="3">
        <v>3.9</v>
      </c>
    </row>
    <row r="79" spans="1:8" x14ac:dyDescent="0.35">
      <c r="A79" t="s">
        <v>40</v>
      </c>
      <c r="B79" t="s">
        <v>67</v>
      </c>
      <c r="C79" s="1">
        <v>45363</v>
      </c>
      <c r="D79" s="2">
        <v>0.10625</v>
      </c>
      <c r="E79" t="s">
        <v>2</v>
      </c>
      <c r="F79" t="s">
        <v>3</v>
      </c>
      <c r="G79" s="3">
        <v>27.65</v>
      </c>
      <c r="H79" s="3">
        <v>4.1399999999999997</v>
      </c>
    </row>
    <row r="80" spans="1:8" x14ac:dyDescent="0.35">
      <c r="A80" t="s">
        <v>40</v>
      </c>
      <c r="B80" t="s">
        <v>68</v>
      </c>
      <c r="C80" s="1">
        <v>45363</v>
      </c>
      <c r="D80" s="2">
        <v>0.78749999999999998</v>
      </c>
      <c r="E80" t="s">
        <v>2</v>
      </c>
      <c r="F80" t="s">
        <v>3</v>
      </c>
      <c r="G80" s="3">
        <v>38.049999999999997</v>
      </c>
      <c r="H80" s="3">
        <v>5.7</v>
      </c>
    </row>
    <row r="81" spans="1:8" x14ac:dyDescent="0.35">
      <c r="A81" t="s">
        <v>40</v>
      </c>
      <c r="B81" t="s">
        <v>69</v>
      </c>
      <c r="C81" s="1">
        <v>45364</v>
      </c>
      <c r="D81" s="2">
        <v>0.79791666666666661</v>
      </c>
      <c r="E81" t="s">
        <v>2</v>
      </c>
      <c r="F81" t="s">
        <v>3</v>
      </c>
      <c r="G81" s="3">
        <v>40.869999999999997</v>
      </c>
      <c r="H81" s="3">
        <v>6.12</v>
      </c>
    </row>
    <row r="82" spans="1:8" x14ac:dyDescent="0.35">
      <c r="A82" t="s">
        <v>40</v>
      </c>
      <c r="B82" t="s">
        <v>70</v>
      </c>
      <c r="C82" s="1">
        <v>45364</v>
      </c>
      <c r="D82" s="2">
        <v>0.80972222222222223</v>
      </c>
      <c r="E82" t="s">
        <v>2</v>
      </c>
      <c r="F82" t="s">
        <v>3</v>
      </c>
      <c r="G82" s="3">
        <v>16.600000000000001</v>
      </c>
      <c r="H82" s="3">
        <v>2.4900000000000002</v>
      </c>
    </row>
    <row r="83" spans="1:8" x14ac:dyDescent="0.35">
      <c r="A83" t="s">
        <v>40</v>
      </c>
      <c r="B83" t="s">
        <v>71</v>
      </c>
      <c r="C83" s="1">
        <v>45364</v>
      </c>
      <c r="D83" s="2">
        <v>0.87222222222222223</v>
      </c>
      <c r="E83" t="s">
        <v>2</v>
      </c>
      <c r="F83" t="s">
        <v>3</v>
      </c>
      <c r="G83" s="3">
        <v>9.82</v>
      </c>
      <c r="H83" s="3">
        <v>1.47</v>
      </c>
    </row>
    <row r="84" spans="1:8" x14ac:dyDescent="0.35">
      <c r="A84" t="s">
        <v>40</v>
      </c>
      <c r="B84" t="s">
        <v>72</v>
      </c>
      <c r="C84" s="1">
        <v>45365</v>
      </c>
      <c r="D84" s="2">
        <v>0.62569444444444444</v>
      </c>
      <c r="E84" t="s">
        <v>2</v>
      </c>
      <c r="F84" t="s">
        <v>3</v>
      </c>
      <c r="G84" s="3">
        <v>7.15</v>
      </c>
      <c r="H84" s="3">
        <v>1.07</v>
      </c>
    </row>
    <row r="85" spans="1:8" x14ac:dyDescent="0.35">
      <c r="A85" t="s">
        <v>40</v>
      </c>
      <c r="B85" t="s">
        <v>73</v>
      </c>
      <c r="C85" s="1">
        <v>45365</v>
      </c>
      <c r="D85" s="2">
        <v>0.73611111111111116</v>
      </c>
      <c r="E85" t="s">
        <v>2</v>
      </c>
      <c r="F85" t="s">
        <v>3</v>
      </c>
      <c r="G85" s="3">
        <v>14.45</v>
      </c>
      <c r="H85" s="3">
        <v>2.16</v>
      </c>
    </row>
    <row r="86" spans="1:8" x14ac:dyDescent="0.35">
      <c r="A86" t="s">
        <v>40</v>
      </c>
      <c r="B86" t="s">
        <v>74</v>
      </c>
      <c r="C86" s="1">
        <v>45365</v>
      </c>
      <c r="D86" s="2">
        <v>0.7631944444444444</v>
      </c>
      <c r="E86" t="s">
        <v>2</v>
      </c>
      <c r="F86" t="s">
        <v>3</v>
      </c>
      <c r="G86" s="3">
        <v>23.75</v>
      </c>
      <c r="H86" s="3">
        <v>3.56</v>
      </c>
    </row>
    <row r="87" spans="1:8" x14ac:dyDescent="0.35">
      <c r="A87" t="s">
        <v>40</v>
      </c>
      <c r="B87" t="s">
        <v>75</v>
      </c>
      <c r="C87" s="1">
        <v>45365</v>
      </c>
      <c r="D87" s="2">
        <v>0.80833333333333324</v>
      </c>
      <c r="E87" t="s">
        <v>2</v>
      </c>
      <c r="F87" t="s">
        <v>3</v>
      </c>
      <c r="G87" s="3">
        <v>16.27</v>
      </c>
      <c r="H87" s="3">
        <v>2.44</v>
      </c>
    </row>
    <row r="88" spans="1:8" x14ac:dyDescent="0.35">
      <c r="A88" t="s">
        <v>40</v>
      </c>
      <c r="B88" t="s">
        <v>76</v>
      </c>
      <c r="C88" s="1">
        <v>45365</v>
      </c>
      <c r="D88" s="2">
        <v>0.84513888888888899</v>
      </c>
      <c r="E88" t="s">
        <v>2</v>
      </c>
      <c r="F88" t="s">
        <v>3</v>
      </c>
      <c r="G88" s="3">
        <v>9.4499999999999993</v>
      </c>
      <c r="H88" s="3">
        <v>1.42</v>
      </c>
    </row>
    <row r="89" spans="1:8" x14ac:dyDescent="0.35">
      <c r="A89" t="s">
        <v>40</v>
      </c>
      <c r="B89" t="s">
        <v>77</v>
      </c>
      <c r="C89" s="1">
        <v>45365</v>
      </c>
      <c r="D89" s="2">
        <v>0.8666666666666667</v>
      </c>
      <c r="E89" t="s">
        <v>2</v>
      </c>
      <c r="F89" t="s">
        <v>3</v>
      </c>
      <c r="G89" s="3">
        <v>23.75</v>
      </c>
      <c r="H89" s="3">
        <v>3.56</v>
      </c>
    </row>
    <row r="90" spans="1:8" x14ac:dyDescent="0.35">
      <c r="A90" t="s">
        <v>40</v>
      </c>
      <c r="B90" t="s">
        <v>78</v>
      </c>
      <c r="C90" s="1">
        <v>45365</v>
      </c>
      <c r="D90" s="2">
        <v>0.90625</v>
      </c>
      <c r="E90" t="s">
        <v>2</v>
      </c>
      <c r="F90" t="s">
        <v>3</v>
      </c>
      <c r="G90" s="3">
        <v>50.1</v>
      </c>
      <c r="H90" s="3">
        <v>7.5</v>
      </c>
    </row>
    <row r="91" spans="1:8" x14ac:dyDescent="0.35">
      <c r="A91" t="s">
        <v>40</v>
      </c>
      <c r="B91" t="s">
        <v>79</v>
      </c>
      <c r="C91" s="1">
        <v>45366</v>
      </c>
      <c r="D91" s="2">
        <v>0.10347222222222223</v>
      </c>
      <c r="E91" t="s">
        <v>2</v>
      </c>
      <c r="F91" t="s">
        <v>3</v>
      </c>
      <c r="G91" s="3">
        <v>9.4499999999999993</v>
      </c>
      <c r="H91" s="3">
        <v>1.42</v>
      </c>
    </row>
    <row r="92" spans="1:8" x14ac:dyDescent="0.35">
      <c r="A92" t="s">
        <v>40</v>
      </c>
      <c r="B92" t="s">
        <v>80</v>
      </c>
      <c r="C92" s="1">
        <v>45366</v>
      </c>
      <c r="D92" s="2">
        <v>0.94861111111111107</v>
      </c>
      <c r="E92" t="s">
        <v>2</v>
      </c>
      <c r="F92" t="s">
        <v>3</v>
      </c>
      <c r="G92" s="3">
        <v>35.6</v>
      </c>
      <c r="H92" s="3">
        <v>5.33</v>
      </c>
    </row>
    <row r="93" spans="1:8" x14ac:dyDescent="0.35">
      <c r="A93" t="s">
        <v>40</v>
      </c>
      <c r="B93" t="s">
        <v>81</v>
      </c>
      <c r="C93" s="1">
        <v>45367</v>
      </c>
      <c r="D93" s="2">
        <v>1.1805555555555555E-2</v>
      </c>
      <c r="E93" t="s">
        <v>2</v>
      </c>
      <c r="F93" t="s">
        <v>3</v>
      </c>
      <c r="G93" s="3">
        <v>14.3</v>
      </c>
      <c r="H93" s="3">
        <v>2.14</v>
      </c>
    </row>
    <row r="94" spans="1:8" x14ac:dyDescent="0.35">
      <c r="A94" t="s">
        <v>40</v>
      </c>
      <c r="B94" t="s">
        <v>82</v>
      </c>
      <c r="C94" s="1">
        <v>45367</v>
      </c>
      <c r="D94" s="2">
        <v>0.18888888888888888</v>
      </c>
      <c r="E94" t="s">
        <v>2</v>
      </c>
      <c r="F94" t="s">
        <v>3</v>
      </c>
      <c r="G94" s="3">
        <v>10.9</v>
      </c>
      <c r="H94" s="3">
        <v>1.63</v>
      </c>
    </row>
    <row r="95" spans="1:8" x14ac:dyDescent="0.35">
      <c r="A95" t="s">
        <v>40</v>
      </c>
      <c r="B95" t="s">
        <v>83</v>
      </c>
      <c r="C95" s="1">
        <v>45367</v>
      </c>
      <c r="D95" s="2">
        <v>0.4069444444444445</v>
      </c>
      <c r="E95" t="s">
        <v>2</v>
      </c>
      <c r="F95" t="s">
        <v>3</v>
      </c>
      <c r="G95" s="3">
        <v>43.2</v>
      </c>
      <c r="H95" s="3">
        <v>6.47</v>
      </c>
    </row>
    <row r="96" spans="1:8" x14ac:dyDescent="0.35">
      <c r="A96" t="s">
        <v>40</v>
      </c>
      <c r="B96" t="s">
        <v>84</v>
      </c>
      <c r="C96" s="1">
        <v>45367</v>
      </c>
      <c r="D96" s="2">
        <v>0.83750000000000002</v>
      </c>
      <c r="E96" t="s">
        <v>2</v>
      </c>
      <c r="F96" t="s">
        <v>3</v>
      </c>
      <c r="G96" s="3">
        <v>18.899999999999999</v>
      </c>
      <c r="H96" s="3">
        <v>2.83</v>
      </c>
    </row>
    <row r="97" spans="1:8" x14ac:dyDescent="0.35">
      <c r="A97" t="s">
        <v>40</v>
      </c>
      <c r="B97" t="s">
        <v>85</v>
      </c>
      <c r="C97" s="1">
        <v>45367</v>
      </c>
      <c r="D97" s="2">
        <v>0.92291666666666661</v>
      </c>
      <c r="E97" t="s">
        <v>2</v>
      </c>
      <c r="F97" t="s">
        <v>3</v>
      </c>
      <c r="G97" s="3">
        <v>26.05</v>
      </c>
      <c r="H97" s="3">
        <v>3.9</v>
      </c>
    </row>
    <row r="98" spans="1:8" x14ac:dyDescent="0.35">
      <c r="A98" t="s">
        <v>40</v>
      </c>
      <c r="B98" t="s">
        <v>86</v>
      </c>
      <c r="C98" s="1">
        <v>45367</v>
      </c>
      <c r="D98" s="2">
        <v>0.93125000000000002</v>
      </c>
      <c r="E98" t="s">
        <v>2</v>
      </c>
      <c r="F98" t="s">
        <v>3</v>
      </c>
      <c r="G98" s="3">
        <v>9.4499999999999993</v>
      </c>
      <c r="H98" s="3">
        <v>1.42</v>
      </c>
    </row>
    <row r="99" spans="1:8" x14ac:dyDescent="0.35">
      <c r="A99" t="s">
        <v>40</v>
      </c>
      <c r="B99" t="s">
        <v>87</v>
      </c>
      <c r="C99" s="1">
        <v>45367</v>
      </c>
      <c r="D99" s="2">
        <v>0.95000000000000007</v>
      </c>
      <c r="E99" t="s">
        <v>2</v>
      </c>
      <c r="F99" t="s">
        <v>3</v>
      </c>
      <c r="G99" s="3">
        <v>18.899999999999999</v>
      </c>
      <c r="H99" s="3">
        <v>2.83</v>
      </c>
    </row>
    <row r="100" spans="1:8" x14ac:dyDescent="0.35">
      <c r="A100" t="s">
        <v>40</v>
      </c>
      <c r="B100" t="s">
        <v>88</v>
      </c>
      <c r="C100" s="1">
        <v>45367</v>
      </c>
      <c r="D100" s="2">
        <v>0.96597222222222223</v>
      </c>
      <c r="E100" t="s">
        <v>2</v>
      </c>
      <c r="F100" t="s">
        <v>3</v>
      </c>
      <c r="G100" s="3">
        <v>25.35</v>
      </c>
      <c r="H100" s="3">
        <v>3.8</v>
      </c>
    </row>
    <row r="101" spans="1:8" x14ac:dyDescent="0.35">
      <c r="A101" t="s">
        <v>40</v>
      </c>
      <c r="B101" t="s">
        <v>89</v>
      </c>
      <c r="C101" s="1">
        <v>45368</v>
      </c>
      <c r="D101" s="2">
        <v>0.20277777777777781</v>
      </c>
      <c r="E101" t="s">
        <v>2</v>
      </c>
      <c r="F101" t="s">
        <v>3</v>
      </c>
      <c r="G101" s="3">
        <v>7.15</v>
      </c>
      <c r="H101" s="3">
        <v>1.07</v>
      </c>
    </row>
    <row r="102" spans="1:8" x14ac:dyDescent="0.35">
      <c r="A102" t="s">
        <v>40</v>
      </c>
      <c r="B102" t="s">
        <v>90</v>
      </c>
      <c r="C102" s="1">
        <v>45368</v>
      </c>
      <c r="D102" s="2">
        <v>0.65347222222222223</v>
      </c>
      <c r="E102" t="s">
        <v>2</v>
      </c>
      <c r="F102" t="s">
        <v>3</v>
      </c>
      <c r="G102" s="3">
        <v>33.9</v>
      </c>
      <c r="H102" s="3">
        <v>5.08</v>
      </c>
    </row>
    <row r="103" spans="1:8" x14ac:dyDescent="0.35">
      <c r="A103" t="s">
        <v>40</v>
      </c>
      <c r="B103" t="s">
        <v>91</v>
      </c>
      <c r="C103" s="1">
        <v>45368</v>
      </c>
      <c r="D103" s="2">
        <v>0.82916666666666661</v>
      </c>
      <c r="E103" t="s">
        <v>2</v>
      </c>
      <c r="F103" t="s">
        <v>3</v>
      </c>
      <c r="G103" s="3">
        <v>23.95</v>
      </c>
      <c r="H103" s="3">
        <v>3.59</v>
      </c>
    </row>
    <row r="104" spans="1:8" x14ac:dyDescent="0.35">
      <c r="A104" t="s">
        <v>40</v>
      </c>
      <c r="B104" t="s">
        <v>92</v>
      </c>
      <c r="C104" s="1">
        <v>45369</v>
      </c>
      <c r="D104" s="2">
        <v>8.3333333333333332E-3</v>
      </c>
      <c r="E104" t="s">
        <v>2</v>
      </c>
      <c r="F104" t="s">
        <v>3</v>
      </c>
      <c r="G104" s="3">
        <v>9.4499999999999993</v>
      </c>
      <c r="H104" s="3">
        <v>1.42</v>
      </c>
    </row>
    <row r="105" spans="1:8" x14ac:dyDescent="0.35">
      <c r="A105" t="s">
        <v>40</v>
      </c>
      <c r="B105" t="s">
        <v>93</v>
      </c>
      <c r="C105" s="1">
        <v>45369</v>
      </c>
      <c r="D105" s="2">
        <v>0.92083333333333339</v>
      </c>
      <c r="E105" t="s">
        <v>2</v>
      </c>
      <c r="F105" t="s">
        <v>3</v>
      </c>
      <c r="G105" s="3">
        <v>16.600000000000001</v>
      </c>
      <c r="H105" s="3">
        <v>2.4900000000000002</v>
      </c>
    </row>
    <row r="106" spans="1:8" x14ac:dyDescent="0.35">
      <c r="A106" t="s">
        <v>40</v>
      </c>
      <c r="B106" t="s">
        <v>94</v>
      </c>
      <c r="C106" s="1">
        <v>45369</v>
      </c>
      <c r="D106" s="2">
        <v>0.92222222222222217</v>
      </c>
      <c r="E106" t="s">
        <v>2</v>
      </c>
      <c r="F106" t="s">
        <v>3</v>
      </c>
      <c r="G106" s="3">
        <v>20.79</v>
      </c>
      <c r="H106" s="3">
        <v>3.11</v>
      </c>
    </row>
    <row r="107" spans="1:8" x14ac:dyDescent="0.35">
      <c r="A107" t="s">
        <v>40</v>
      </c>
      <c r="B107" t="s">
        <v>95</v>
      </c>
      <c r="C107" s="1">
        <v>45370</v>
      </c>
      <c r="D107" s="2">
        <v>0.30833333333333335</v>
      </c>
      <c r="E107" t="s">
        <v>2</v>
      </c>
      <c r="F107" t="s">
        <v>3</v>
      </c>
      <c r="G107" s="3">
        <v>103.6</v>
      </c>
      <c r="H107" s="3">
        <v>15.51</v>
      </c>
    </row>
    <row r="108" spans="1:8" x14ac:dyDescent="0.35">
      <c r="A108" t="s">
        <v>40</v>
      </c>
      <c r="B108" t="s">
        <v>96</v>
      </c>
      <c r="C108" s="1">
        <v>45370</v>
      </c>
      <c r="D108" s="2">
        <v>0.7597222222222223</v>
      </c>
      <c r="E108" t="s">
        <v>2</v>
      </c>
      <c r="F108" t="s">
        <v>3</v>
      </c>
      <c r="G108" s="3">
        <v>26.12</v>
      </c>
      <c r="H108" s="3">
        <v>3.91</v>
      </c>
    </row>
    <row r="109" spans="1:8" x14ac:dyDescent="0.35">
      <c r="A109" t="s">
        <v>40</v>
      </c>
      <c r="B109" t="s">
        <v>97</v>
      </c>
      <c r="C109" s="1">
        <v>45370</v>
      </c>
      <c r="D109" s="2">
        <v>0.97569444444444453</v>
      </c>
      <c r="E109" t="s">
        <v>2</v>
      </c>
      <c r="F109" t="s">
        <v>3</v>
      </c>
      <c r="G109" s="3">
        <v>25.72</v>
      </c>
      <c r="H109" s="3">
        <v>3.85</v>
      </c>
    </row>
    <row r="110" spans="1:8" x14ac:dyDescent="0.35">
      <c r="A110" t="s">
        <v>40</v>
      </c>
      <c r="B110" t="s">
        <v>98</v>
      </c>
      <c r="C110" s="1">
        <v>45370</v>
      </c>
      <c r="D110" s="2">
        <v>0.96597222222222223</v>
      </c>
      <c r="E110" t="s">
        <v>2</v>
      </c>
      <c r="F110" t="s">
        <v>3</v>
      </c>
      <c r="G110" s="3">
        <v>7.15</v>
      </c>
      <c r="H110" s="3">
        <v>1.07</v>
      </c>
    </row>
    <row r="111" spans="1:8" x14ac:dyDescent="0.35">
      <c r="A111" t="s">
        <v>40</v>
      </c>
      <c r="B111" t="s">
        <v>99</v>
      </c>
      <c r="C111" s="1">
        <v>45371</v>
      </c>
      <c r="D111" s="2">
        <v>0.14444444444444446</v>
      </c>
      <c r="E111" t="s">
        <v>2</v>
      </c>
      <c r="F111" t="s">
        <v>3</v>
      </c>
      <c r="G111" s="3">
        <v>21.85</v>
      </c>
      <c r="H111" s="3">
        <v>3.27</v>
      </c>
    </row>
    <row r="112" spans="1:8" x14ac:dyDescent="0.35">
      <c r="A112" t="s">
        <v>40</v>
      </c>
      <c r="B112" t="s">
        <v>100</v>
      </c>
      <c r="C112" s="1">
        <v>45371</v>
      </c>
      <c r="D112" s="2">
        <v>0.81666666666666676</v>
      </c>
      <c r="E112" t="s">
        <v>2</v>
      </c>
      <c r="F112" t="s">
        <v>3</v>
      </c>
      <c r="G112" s="3">
        <v>18.899999999999999</v>
      </c>
      <c r="H112" s="3">
        <v>2.83</v>
      </c>
    </row>
    <row r="113" spans="1:8" x14ac:dyDescent="0.35">
      <c r="A113" t="s">
        <v>40</v>
      </c>
      <c r="B113" t="s">
        <v>101</v>
      </c>
      <c r="C113" s="1">
        <v>45372</v>
      </c>
      <c r="D113" s="2">
        <v>2.4305555555555556E-2</v>
      </c>
      <c r="E113" t="s">
        <v>2</v>
      </c>
      <c r="F113" t="s">
        <v>3</v>
      </c>
      <c r="G113" s="3">
        <v>13.64</v>
      </c>
      <c r="H113" s="3">
        <v>2.04</v>
      </c>
    </row>
    <row r="114" spans="1:8" x14ac:dyDescent="0.35">
      <c r="A114" t="s">
        <v>40</v>
      </c>
      <c r="B114" t="s">
        <v>102</v>
      </c>
      <c r="C114" s="1">
        <v>45372</v>
      </c>
      <c r="D114" s="2">
        <v>0.38819444444444445</v>
      </c>
      <c r="E114" t="s">
        <v>2</v>
      </c>
      <c r="F114" t="s">
        <v>3</v>
      </c>
      <c r="G114" s="3">
        <v>22.6</v>
      </c>
      <c r="H114" s="3">
        <v>3.38</v>
      </c>
    </row>
    <row r="115" spans="1:8" x14ac:dyDescent="0.35">
      <c r="A115" t="s">
        <v>40</v>
      </c>
      <c r="B115" t="s">
        <v>103</v>
      </c>
      <c r="C115" s="1">
        <v>45372</v>
      </c>
      <c r="D115" s="2">
        <v>0.85416666666666663</v>
      </c>
      <c r="E115" t="s">
        <v>2</v>
      </c>
      <c r="F115" t="s">
        <v>3</v>
      </c>
      <c r="G115" s="3">
        <v>49.47</v>
      </c>
      <c r="H115" s="3">
        <v>7.41</v>
      </c>
    </row>
    <row r="116" spans="1:8" x14ac:dyDescent="0.35">
      <c r="A116" t="s">
        <v>40</v>
      </c>
      <c r="B116" t="s">
        <v>104</v>
      </c>
      <c r="C116" s="1">
        <v>45372</v>
      </c>
      <c r="D116" s="2">
        <v>0.9243055555555556</v>
      </c>
      <c r="E116" t="s">
        <v>2</v>
      </c>
      <c r="F116" t="s">
        <v>3</v>
      </c>
      <c r="G116" s="3">
        <v>18.899999999999999</v>
      </c>
      <c r="H116" s="3">
        <v>2.83</v>
      </c>
    </row>
    <row r="117" spans="1:8" x14ac:dyDescent="0.35">
      <c r="A117" t="s">
        <v>40</v>
      </c>
      <c r="B117" t="s">
        <v>105</v>
      </c>
      <c r="C117" s="1">
        <v>45373</v>
      </c>
      <c r="D117" s="2">
        <v>3.125E-2</v>
      </c>
      <c r="E117" t="s">
        <v>2</v>
      </c>
      <c r="F117" t="s">
        <v>3</v>
      </c>
      <c r="G117" s="3">
        <v>72.650000000000006</v>
      </c>
      <c r="H117" s="3">
        <v>10.88</v>
      </c>
    </row>
    <row r="118" spans="1:8" x14ac:dyDescent="0.35">
      <c r="A118" t="s">
        <v>40</v>
      </c>
      <c r="B118" t="s">
        <v>106</v>
      </c>
      <c r="C118" s="1">
        <v>45374</v>
      </c>
      <c r="D118" s="2">
        <v>0.17291666666666669</v>
      </c>
      <c r="E118" t="s">
        <v>2</v>
      </c>
      <c r="F118" t="s">
        <v>3</v>
      </c>
      <c r="G118" s="3">
        <v>31.5</v>
      </c>
      <c r="H118" s="3">
        <v>4.72</v>
      </c>
    </row>
    <row r="119" spans="1:8" x14ac:dyDescent="0.35">
      <c r="A119" t="s">
        <v>40</v>
      </c>
      <c r="B119" t="s">
        <v>107</v>
      </c>
      <c r="C119" s="1">
        <v>45374</v>
      </c>
      <c r="D119" s="2">
        <v>0.22569444444444445</v>
      </c>
      <c r="E119" t="s">
        <v>2</v>
      </c>
      <c r="F119" t="s">
        <v>3</v>
      </c>
      <c r="G119" s="3">
        <v>7.15</v>
      </c>
      <c r="H119" s="3">
        <v>1.07</v>
      </c>
    </row>
    <row r="120" spans="1:8" x14ac:dyDescent="0.35">
      <c r="A120" t="s">
        <v>40</v>
      </c>
      <c r="B120" t="s">
        <v>108</v>
      </c>
      <c r="C120" s="1">
        <v>45374</v>
      </c>
      <c r="D120" s="2">
        <v>0.62569444444444444</v>
      </c>
      <c r="E120" t="s">
        <v>2</v>
      </c>
      <c r="F120" t="s">
        <v>3</v>
      </c>
      <c r="G120" s="3">
        <v>16.600000000000001</v>
      </c>
      <c r="H120" s="3">
        <v>2.4900000000000002</v>
      </c>
    </row>
    <row r="121" spans="1:8" x14ac:dyDescent="0.35">
      <c r="A121" t="s">
        <v>40</v>
      </c>
      <c r="B121" t="s">
        <v>109</v>
      </c>
      <c r="C121" s="1">
        <v>45374</v>
      </c>
      <c r="D121" s="2">
        <v>0.79375000000000007</v>
      </c>
      <c r="E121" t="s">
        <v>2</v>
      </c>
      <c r="F121" t="s">
        <v>3</v>
      </c>
      <c r="G121" s="3">
        <v>31.1</v>
      </c>
      <c r="H121" s="3">
        <v>4.66</v>
      </c>
    </row>
    <row r="122" spans="1:8" x14ac:dyDescent="0.35">
      <c r="A122" t="s">
        <v>40</v>
      </c>
      <c r="B122" t="s">
        <v>110</v>
      </c>
      <c r="C122" s="1">
        <v>45374</v>
      </c>
      <c r="D122" s="2">
        <v>0.8534722222222223</v>
      </c>
      <c r="E122" t="s">
        <v>2</v>
      </c>
      <c r="F122" t="s">
        <v>3</v>
      </c>
      <c r="G122" s="3">
        <v>29.5</v>
      </c>
      <c r="H122" s="3">
        <v>4.42</v>
      </c>
    </row>
    <row r="123" spans="1:8" x14ac:dyDescent="0.35">
      <c r="A123" t="s">
        <v>40</v>
      </c>
      <c r="B123" t="s">
        <v>111</v>
      </c>
      <c r="C123" s="1">
        <v>45374</v>
      </c>
      <c r="D123" s="2">
        <v>0.91319444444444453</v>
      </c>
      <c r="E123" t="s">
        <v>2</v>
      </c>
      <c r="F123" t="s">
        <v>3</v>
      </c>
      <c r="G123" s="3">
        <v>17.850000000000001</v>
      </c>
      <c r="H123" s="3">
        <v>2.67</v>
      </c>
    </row>
    <row r="124" spans="1:8" x14ac:dyDescent="0.35">
      <c r="A124" t="s">
        <v>40</v>
      </c>
      <c r="B124" t="s">
        <v>112</v>
      </c>
      <c r="C124" s="1">
        <v>45374</v>
      </c>
      <c r="D124" s="2">
        <v>0.91388888888888886</v>
      </c>
      <c r="E124" t="s">
        <v>2</v>
      </c>
      <c r="F124" t="s">
        <v>3</v>
      </c>
      <c r="G124" s="3">
        <v>74</v>
      </c>
      <c r="H124" s="3">
        <v>11.08</v>
      </c>
    </row>
    <row r="125" spans="1:8" x14ac:dyDescent="0.35">
      <c r="A125" t="s">
        <v>40</v>
      </c>
      <c r="B125" t="s">
        <v>113</v>
      </c>
      <c r="C125" s="1">
        <v>45374</v>
      </c>
      <c r="D125" s="2">
        <v>0.93541666666666667</v>
      </c>
      <c r="E125" t="s">
        <v>2</v>
      </c>
      <c r="F125" t="s">
        <v>3</v>
      </c>
      <c r="G125" s="3">
        <v>16.600000000000001</v>
      </c>
      <c r="H125" s="3">
        <v>2.4900000000000002</v>
      </c>
    </row>
    <row r="126" spans="1:8" x14ac:dyDescent="0.35">
      <c r="A126" t="s">
        <v>40</v>
      </c>
      <c r="B126" t="s">
        <v>114</v>
      </c>
      <c r="C126" s="1">
        <v>45374</v>
      </c>
      <c r="D126" s="2">
        <v>0.94166666666666676</v>
      </c>
      <c r="E126" t="s">
        <v>2</v>
      </c>
      <c r="F126" t="s">
        <v>3</v>
      </c>
      <c r="G126" s="3">
        <v>31.1</v>
      </c>
      <c r="H126" s="3">
        <v>4.66</v>
      </c>
    </row>
    <row r="127" spans="1:8" x14ac:dyDescent="0.35">
      <c r="A127" t="s">
        <v>40</v>
      </c>
      <c r="B127" t="s">
        <v>115</v>
      </c>
      <c r="C127" s="1">
        <v>45375</v>
      </c>
      <c r="D127" s="2">
        <v>0.10486111111111111</v>
      </c>
      <c r="E127" t="s">
        <v>2</v>
      </c>
      <c r="F127" t="s">
        <v>3</v>
      </c>
      <c r="G127" s="3">
        <v>16.239999999999998</v>
      </c>
      <c r="H127" s="3">
        <v>2.4300000000000002</v>
      </c>
    </row>
    <row r="128" spans="1:8" x14ac:dyDescent="0.35">
      <c r="A128" t="s">
        <v>40</v>
      </c>
      <c r="B128" t="s">
        <v>116</v>
      </c>
      <c r="C128" s="1">
        <v>45375</v>
      </c>
      <c r="D128" s="2">
        <v>0.12291666666666667</v>
      </c>
      <c r="E128" t="s">
        <v>2</v>
      </c>
      <c r="F128" t="s">
        <v>3</v>
      </c>
      <c r="G128" s="3">
        <v>15.9</v>
      </c>
      <c r="H128" s="3">
        <v>2.38</v>
      </c>
    </row>
    <row r="129" spans="1:8" x14ac:dyDescent="0.35">
      <c r="A129" t="s">
        <v>40</v>
      </c>
      <c r="B129" t="s">
        <v>117</v>
      </c>
      <c r="C129" s="1">
        <v>45375</v>
      </c>
      <c r="D129" s="2">
        <v>0.20625000000000002</v>
      </c>
      <c r="E129" t="s">
        <v>2</v>
      </c>
      <c r="F129" t="s">
        <v>3</v>
      </c>
      <c r="G129" s="3">
        <v>23.75</v>
      </c>
      <c r="H129" s="3">
        <v>3.56</v>
      </c>
    </row>
    <row r="130" spans="1:8" x14ac:dyDescent="0.35">
      <c r="A130" t="s">
        <v>40</v>
      </c>
      <c r="B130" t="s">
        <v>118</v>
      </c>
      <c r="C130" s="1">
        <v>45375</v>
      </c>
      <c r="D130" s="2">
        <v>0.48333333333333334</v>
      </c>
      <c r="E130" t="s">
        <v>2</v>
      </c>
      <c r="F130" t="s">
        <v>3</v>
      </c>
      <c r="G130" s="3">
        <v>9.4499999999999993</v>
      </c>
      <c r="H130" s="3">
        <v>1.42</v>
      </c>
    </row>
    <row r="131" spans="1:8" x14ac:dyDescent="0.35">
      <c r="A131" t="s">
        <v>40</v>
      </c>
      <c r="B131" t="s">
        <v>119</v>
      </c>
      <c r="C131" s="1">
        <v>45375</v>
      </c>
      <c r="D131" s="2">
        <v>0.61111111111111105</v>
      </c>
      <c r="E131" t="s">
        <v>2</v>
      </c>
      <c r="F131" t="s">
        <v>3</v>
      </c>
      <c r="G131" s="3">
        <v>37.799999999999997</v>
      </c>
      <c r="H131" s="3">
        <v>5.66</v>
      </c>
    </row>
    <row r="132" spans="1:8" x14ac:dyDescent="0.35">
      <c r="A132" t="s">
        <v>40</v>
      </c>
      <c r="B132" t="s">
        <v>120</v>
      </c>
      <c r="C132" s="1">
        <v>45376</v>
      </c>
      <c r="D132" s="2">
        <v>3.6111111111111115E-2</v>
      </c>
      <c r="E132" t="s">
        <v>2</v>
      </c>
      <c r="F132" t="s">
        <v>3</v>
      </c>
      <c r="G132" s="3">
        <v>19.05</v>
      </c>
      <c r="H132" s="3">
        <v>2.85</v>
      </c>
    </row>
    <row r="133" spans="1:8" x14ac:dyDescent="0.35">
      <c r="A133" t="s">
        <v>40</v>
      </c>
      <c r="B133" t="s">
        <v>121</v>
      </c>
      <c r="C133" s="1">
        <v>45376</v>
      </c>
      <c r="D133" s="2">
        <v>0.19513888888888889</v>
      </c>
      <c r="E133" t="s">
        <v>2</v>
      </c>
      <c r="F133" t="s">
        <v>3</v>
      </c>
      <c r="G133" s="3">
        <v>14.65</v>
      </c>
      <c r="H133" s="3">
        <v>2.19</v>
      </c>
    </row>
    <row r="134" spans="1:8" x14ac:dyDescent="0.35">
      <c r="A134" t="s">
        <v>40</v>
      </c>
      <c r="B134" t="s">
        <v>122</v>
      </c>
      <c r="C134" s="1">
        <v>45376</v>
      </c>
      <c r="D134" s="2">
        <v>0.37638888888888888</v>
      </c>
      <c r="E134" t="s">
        <v>2</v>
      </c>
      <c r="F134" t="s">
        <v>3</v>
      </c>
      <c r="G134" s="3">
        <v>14.3</v>
      </c>
      <c r="H134" s="3">
        <v>2.14</v>
      </c>
    </row>
    <row r="135" spans="1:8" x14ac:dyDescent="0.35">
      <c r="A135" t="s">
        <v>40</v>
      </c>
      <c r="B135" t="s">
        <v>123</v>
      </c>
      <c r="C135" s="1">
        <v>45376</v>
      </c>
      <c r="D135" s="2">
        <v>0.75624999999999998</v>
      </c>
      <c r="E135" t="s">
        <v>2</v>
      </c>
      <c r="F135" t="s">
        <v>3</v>
      </c>
      <c r="G135" s="3">
        <v>74</v>
      </c>
      <c r="H135" s="3">
        <v>11.08</v>
      </c>
    </row>
    <row r="136" spans="1:8" x14ac:dyDescent="0.35">
      <c r="A136" t="s">
        <v>40</v>
      </c>
      <c r="B136" t="s">
        <v>124</v>
      </c>
      <c r="C136" s="1">
        <v>45376</v>
      </c>
      <c r="D136" s="2">
        <v>0.99305555555555547</v>
      </c>
      <c r="E136" t="s">
        <v>2</v>
      </c>
      <c r="F136" t="s">
        <v>3</v>
      </c>
      <c r="G136" s="3">
        <v>16.600000000000001</v>
      </c>
      <c r="H136" s="3">
        <v>2.4900000000000002</v>
      </c>
    </row>
    <row r="137" spans="1:8" x14ac:dyDescent="0.35">
      <c r="A137" t="s">
        <v>40</v>
      </c>
      <c r="B137" t="s">
        <v>125</v>
      </c>
      <c r="C137" s="1">
        <v>45377</v>
      </c>
      <c r="D137" s="2">
        <v>0.18402777777777779</v>
      </c>
      <c r="E137" t="s">
        <v>2</v>
      </c>
      <c r="F137" t="s">
        <v>3</v>
      </c>
      <c r="G137" s="3">
        <v>35.97</v>
      </c>
      <c r="H137" s="3">
        <v>5.39</v>
      </c>
    </row>
    <row r="138" spans="1:8" x14ac:dyDescent="0.35">
      <c r="A138" t="s">
        <v>40</v>
      </c>
      <c r="B138" t="s">
        <v>126</v>
      </c>
      <c r="C138" s="1">
        <v>45377</v>
      </c>
      <c r="D138" s="2">
        <v>0.33819444444444446</v>
      </c>
      <c r="E138" t="s">
        <v>2</v>
      </c>
      <c r="F138" t="s">
        <v>3</v>
      </c>
      <c r="G138" s="3">
        <v>9.42</v>
      </c>
      <c r="H138" s="3">
        <v>1.41</v>
      </c>
    </row>
    <row r="139" spans="1:8" x14ac:dyDescent="0.35">
      <c r="A139" t="s">
        <v>40</v>
      </c>
      <c r="B139" t="s">
        <v>127</v>
      </c>
      <c r="C139" s="1">
        <v>45377</v>
      </c>
      <c r="D139" s="2">
        <v>0.75555555555555554</v>
      </c>
      <c r="E139" t="s">
        <v>2</v>
      </c>
      <c r="F139" t="s">
        <v>3</v>
      </c>
      <c r="G139" s="3">
        <v>23.9</v>
      </c>
      <c r="H139" s="3">
        <v>3.58</v>
      </c>
    </row>
    <row r="140" spans="1:8" x14ac:dyDescent="0.35">
      <c r="A140" t="s">
        <v>40</v>
      </c>
      <c r="B140" t="s">
        <v>128</v>
      </c>
      <c r="C140" s="1">
        <v>45377</v>
      </c>
      <c r="D140" s="2">
        <v>0.96666666666666667</v>
      </c>
      <c r="E140" t="s">
        <v>2</v>
      </c>
      <c r="F140" t="s">
        <v>3</v>
      </c>
      <c r="G140" s="3">
        <v>25.15</v>
      </c>
      <c r="H140" s="3">
        <v>3.77</v>
      </c>
    </row>
    <row r="141" spans="1:8" x14ac:dyDescent="0.35">
      <c r="A141" t="s">
        <v>40</v>
      </c>
      <c r="B141" t="s">
        <v>129</v>
      </c>
      <c r="C141" s="1">
        <v>45378</v>
      </c>
      <c r="D141" s="2">
        <v>0.14166666666666666</v>
      </c>
      <c r="E141" t="s">
        <v>2</v>
      </c>
      <c r="F141" t="s">
        <v>3</v>
      </c>
      <c r="G141" s="3">
        <v>16.75</v>
      </c>
      <c r="H141" s="3">
        <v>2.5099999999999998</v>
      </c>
    </row>
    <row r="142" spans="1:8" x14ac:dyDescent="0.35">
      <c r="A142" t="s">
        <v>40</v>
      </c>
      <c r="B142" t="s">
        <v>130</v>
      </c>
      <c r="C142" s="1">
        <v>45378</v>
      </c>
      <c r="D142" s="2">
        <v>0.14583333333333334</v>
      </c>
      <c r="E142" t="s">
        <v>2</v>
      </c>
      <c r="F142" t="s">
        <v>3</v>
      </c>
      <c r="G142" s="3">
        <v>14.3</v>
      </c>
      <c r="H142" s="3">
        <v>2.14</v>
      </c>
    </row>
    <row r="143" spans="1:8" x14ac:dyDescent="0.35">
      <c r="A143" t="s">
        <v>40</v>
      </c>
      <c r="B143" t="s">
        <v>131</v>
      </c>
      <c r="C143" s="1">
        <v>45378</v>
      </c>
      <c r="D143" s="2">
        <v>0.20555555555555557</v>
      </c>
      <c r="E143" t="s">
        <v>2</v>
      </c>
      <c r="F143" t="s">
        <v>3</v>
      </c>
      <c r="G143" s="3">
        <v>27.3</v>
      </c>
      <c r="H143" s="3">
        <v>4.09</v>
      </c>
    </row>
    <row r="144" spans="1:8" x14ac:dyDescent="0.35">
      <c r="A144" t="s">
        <v>40</v>
      </c>
      <c r="B144" t="s">
        <v>132</v>
      </c>
      <c r="C144" s="1">
        <v>45379</v>
      </c>
      <c r="D144" s="2">
        <v>0.11319444444444444</v>
      </c>
      <c r="E144" t="s">
        <v>2</v>
      </c>
      <c r="F144" t="s">
        <v>3</v>
      </c>
      <c r="G144" s="3">
        <v>37.72</v>
      </c>
      <c r="H144" s="3">
        <v>5.65</v>
      </c>
    </row>
    <row r="145" spans="1:8" x14ac:dyDescent="0.35">
      <c r="A145" t="s">
        <v>40</v>
      </c>
      <c r="B145" t="s">
        <v>133</v>
      </c>
      <c r="C145" s="1">
        <v>45379</v>
      </c>
      <c r="D145" s="2">
        <v>0.17708333333333334</v>
      </c>
      <c r="E145" t="s">
        <v>2</v>
      </c>
      <c r="F145" t="s">
        <v>3</v>
      </c>
      <c r="G145" s="3">
        <v>22.75</v>
      </c>
      <c r="H145" s="3">
        <v>3.41</v>
      </c>
    </row>
    <row r="146" spans="1:8" x14ac:dyDescent="0.35">
      <c r="A146" t="s">
        <v>40</v>
      </c>
      <c r="B146" t="s">
        <v>134</v>
      </c>
      <c r="C146" s="1">
        <v>45379</v>
      </c>
      <c r="D146" s="2">
        <v>0.86041666666666661</v>
      </c>
      <c r="E146" t="s">
        <v>2</v>
      </c>
      <c r="F146" t="s">
        <v>3</v>
      </c>
      <c r="G146" s="3">
        <v>23.05</v>
      </c>
      <c r="H146" s="3">
        <v>3.45</v>
      </c>
    </row>
    <row r="147" spans="1:8" x14ac:dyDescent="0.35">
      <c r="A147" t="s">
        <v>40</v>
      </c>
      <c r="B147" t="s">
        <v>135</v>
      </c>
      <c r="C147" s="1">
        <v>45379</v>
      </c>
      <c r="D147" s="2">
        <v>0.91666666666666663</v>
      </c>
      <c r="E147" t="s">
        <v>2</v>
      </c>
      <c r="F147" t="s">
        <v>3</v>
      </c>
      <c r="G147" s="3">
        <v>16.27</v>
      </c>
      <c r="H147" s="3">
        <v>2.44</v>
      </c>
    </row>
    <row r="148" spans="1:8" x14ac:dyDescent="0.35">
      <c r="A148" t="s">
        <v>40</v>
      </c>
      <c r="B148" t="s">
        <v>136</v>
      </c>
      <c r="C148" s="1">
        <v>45379</v>
      </c>
      <c r="D148" s="2">
        <v>0.93402777777777779</v>
      </c>
      <c r="E148" t="s">
        <v>2</v>
      </c>
      <c r="F148" t="s">
        <v>3</v>
      </c>
      <c r="G148" s="3">
        <v>24.4</v>
      </c>
      <c r="H148" s="3">
        <v>3.65</v>
      </c>
    </row>
    <row r="149" spans="1:8" x14ac:dyDescent="0.35">
      <c r="A149" t="s">
        <v>40</v>
      </c>
      <c r="B149" t="s">
        <v>137</v>
      </c>
      <c r="C149" s="1">
        <v>45380</v>
      </c>
      <c r="D149" s="2">
        <v>0.17222222222222225</v>
      </c>
      <c r="E149" t="s">
        <v>2</v>
      </c>
      <c r="F149" t="s">
        <v>3</v>
      </c>
      <c r="G149" s="3">
        <v>18.899999999999999</v>
      </c>
      <c r="H149" s="3">
        <v>2.83</v>
      </c>
    </row>
    <row r="150" spans="1:8" x14ac:dyDescent="0.35">
      <c r="A150" t="s">
        <v>40</v>
      </c>
      <c r="B150" t="s">
        <v>138</v>
      </c>
      <c r="C150" s="1">
        <v>45380</v>
      </c>
      <c r="D150" s="2">
        <v>0.48680555555555555</v>
      </c>
      <c r="E150" t="s">
        <v>2</v>
      </c>
      <c r="F150" t="s">
        <v>3</v>
      </c>
      <c r="G150" s="3">
        <v>16.420000000000002</v>
      </c>
      <c r="H150" s="3">
        <v>2.46</v>
      </c>
    </row>
    <row r="151" spans="1:8" x14ac:dyDescent="0.35">
      <c r="A151" t="s">
        <v>40</v>
      </c>
      <c r="B151" t="s">
        <v>139</v>
      </c>
      <c r="C151" s="1">
        <v>45380</v>
      </c>
      <c r="D151" s="2">
        <v>0.88124999999999998</v>
      </c>
      <c r="E151" t="s">
        <v>2</v>
      </c>
      <c r="F151" t="s">
        <v>3</v>
      </c>
      <c r="G151" s="3">
        <v>5.2</v>
      </c>
      <c r="H151" s="3">
        <v>0.78</v>
      </c>
    </row>
    <row r="152" spans="1:8" x14ac:dyDescent="0.35">
      <c r="A152" t="s">
        <v>40</v>
      </c>
      <c r="B152" t="s">
        <v>140</v>
      </c>
      <c r="C152" s="1">
        <v>45381</v>
      </c>
      <c r="D152" s="2">
        <v>0.21875</v>
      </c>
      <c r="E152" t="s">
        <v>2</v>
      </c>
      <c r="F152" t="s">
        <v>3</v>
      </c>
      <c r="G152" s="3">
        <v>19.14</v>
      </c>
      <c r="H152" s="3">
        <v>2.87</v>
      </c>
    </row>
    <row r="153" spans="1:8" x14ac:dyDescent="0.35">
      <c r="A153" t="s">
        <v>40</v>
      </c>
      <c r="B153" t="s">
        <v>141</v>
      </c>
      <c r="C153" s="1">
        <v>45381</v>
      </c>
      <c r="D153" s="2">
        <v>0.78194444444444444</v>
      </c>
      <c r="E153" t="s">
        <v>2</v>
      </c>
      <c r="F153" t="s">
        <v>3</v>
      </c>
      <c r="G153" s="3">
        <v>16.600000000000001</v>
      </c>
      <c r="H153" s="3">
        <v>2.4900000000000002</v>
      </c>
    </row>
    <row r="154" spans="1:8" x14ac:dyDescent="0.35">
      <c r="A154" t="s">
        <v>40</v>
      </c>
      <c r="B154" t="s">
        <v>142</v>
      </c>
      <c r="C154" s="1">
        <v>45381</v>
      </c>
      <c r="D154" s="2">
        <v>0.90069444444444446</v>
      </c>
      <c r="E154" t="s">
        <v>2</v>
      </c>
      <c r="F154" t="s">
        <v>3</v>
      </c>
      <c r="G154" s="3">
        <v>33.450000000000003</v>
      </c>
      <c r="H154" s="3">
        <v>5.01</v>
      </c>
    </row>
    <row r="155" spans="1:8" x14ac:dyDescent="0.35">
      <c r="A155" t="s">
        <v>40</v>
      </c>
      <c r="B155" t="s">
        <v>143</v>
      </c>
      <c r="C155" s="1">
        <v>45381</v>
      </c>
      <c r="D155" s="2">
        <v>0.95277777777777783</v>
      </c>
      <c r="E155" t="s">
        <v>2</v>
      </c>
      <c r="F155" t="s">
        <v>3</v>
      </c>
      <c r="G155" s="3">
        <v>16.600000000000001</v>
      </c>
      <c r="H155" s="3">
        <v>2.4900000000000002</v>
      </c>
    </row>
    <row r="156" spans="1:8" x14ac:dyDescent="0.35">
      <c r="A156" t="s">
        <v>40</v>
      </c>
      <c r="B156" t="s">
        <v>144</v>
      </c>
      <c r="C156" s="1">
        <v>45381</v>
      </c>
      <c r="D156" s="2">
        <v>0.99444444444444446</v>
      </c>
      <c r="E156" t="s">
        <v>2</v>
      </c>
      <c r="F156" t="s">
        <v>3</v>
      </c>
      <c r="G156" s="3">
        <v>17.52</v>
      </c>
      <c r="H156" s="3">
        <v>2.62</v>
      </c>
    </row>
    <row r="157" spans="1:8" x14ac:dyDescent="0.35">
      <c r="A157" t="s">
        <v>40</v>
      </c>
      <c r="B157" t="s">
        <v>145</v>
      </c>
      <c r="C157" s="1">
        <v>45382</v>
      </c>
      <c r="D157" s="2">
        <v>0.15069444444444444</v>
      </c>
      <c r="E157" t="s">
        <v>2</v>
      </c>
      <c r="F157" t="s">
        <v>3</v>
      </c>
      <c r="G157" s="3">
        <v>18.899999999999999</v>
      </c>
      <c r="H157" s="3">
        <v>2.83</v>
      </c>
    </row>
    <row r="158" spans="1:8" x14ac:dyDescent="0.35">
      <c r="A158" t="s">
        <v>40</v>
      </c>
      <c r="B158" t="s">
        <v>146</v>
      </c>
      <c r="C158" s="1">
        <v>45382</v>
      </c>
      <c r="D158" s="2">
        <v>0.92291666666666661</v>
      </c>
      <c r="E158" t="s">
        <v>2</v>
      </c>
      <c r="F158" t="s">
        <v>3</v>
      </c>
      <c r="G158" s="3">
        <v>13</v>
      </c>
      <c r="H158" s="3">
        <v>1.95</v>
      </c>
    </row>
    <row r="159" spans="1:8" ht="15" thickBot="1" x14ac:dyDescent="0.4">
      <c r="A159" s="4" t="s">
        <v>40</v>
      </c>
      <c r="B159" s="4" t="s">
        <v>147</v>
      </c>
      <c r="C159" s="6">
        <v>45382</v>
      </c>
      <c r="D159" s="7">
        <v>0.97638888888888886</v>
      </c>
      <c r="E159" s="4" t="s">
        <v>2</v>
      </c>
      <c r="F159" s="4" t="s">
        <v>3</v>
      </c>
      <c r="G159" s="5">
        <v>8.4</v>
      </c>
      <c r="H159" s="5">
        <v>1.26</v>
      </c>
    </row>
    <row r="160" spans="1:8" ht="15.75" thickBot="1" x14ac:dyDescent="0.3">
      <c r="A160" s="15" t="s">
        <v>170</v>
      </c>
      <c r="C160" s="1"/>
      <c r="D160" s="2"/>
      <c r="G160" s="9">
        <f>SUM(G55:G159)</f>
        <v>2432.92</v>
      </c>
      <c r="H160" s="9">
        <f>SUM(H55:H159)</f>
        <v>364.44999999999987</v>
      </c>
    </row>
    <row r="161" spans="1:8" ht="15" x14ac:dyDescent="0.25">
      <c r="C161" s="1"/>
      <c r="D161" s="2"/>
    </row>
    <row r="163" spans="1:8" ht="15.75" thickBot="1" x14ac:dyDescent="0.3"/>
    <row r="164" spans="1:8" ht="15.75" thickBot="1" x14ac:dyDescent="0.3">
      <c r="A164" s="11" t="s">
        <v>162</v>
      </c>
      <c r="B164" s="12" t="s">
        <v>172</v>
      </c>
      <c r="C164" s="12" t="s">
        <v>165</v>
      </c>
      <c r="D164" s="12" t="s">
        <v>166</v>
      </c>
      <c r="E164" s="12" t="s">
        <v>164</v>
      </c>
      <c r="F164" s="12" t="s">
        <v>167</v>
      </c>
      <c r="G164" s="12" t="s">
        <v>168</v>
      </c>
      <c r="H164" s="13" t="s">
        <v>171</v>
      </c>
    </row>
    <row r="165" spans="1:8" x14ac:dyDescent="0.35">
      <c r="A165" t="s">
        <v>148</v>
      </c>
      <c r="B165" t="s">
        <v>149</v>
      </c>
      <c r="C165" s="1">
        <v>45365</v>
      </c>
      <c r="D165" s="2">
        <v>0.91319444444444453</v>
      </c>
      <c r="E165" t="s">
        <v>2</v>
      </c>
      <c r="F165" t="s">
        <v>3</v>
      </c>
      <c r="G165" s="3">
        <v>8.5</v>
      </c>
      <c r="H165" s="3">
        <v>1.27</v>
      </c>
    </row>
    <row r="166" spans="1:8" x14ac:dyDescent="0.35">
      <c r="A166" t="s">
        <v>148</v>
      </c>
      <c r="B166" t="s">
        <v>150</v>
      </c>
      <c r="C166" s="1">
        <v>45368</v>
      </c>
      <c r="D166" s="2">
        <v>0.5229166666666667</v>
      </c>
      <c r="E166" t="s">
        <v>2</v>
      </c>
      <c r="F166" t="s">
        <v>3</v>
      </c>
      <c r="G166" s="3">
        <v>22.38</v>
      </c>
      <c r="H166" s="3">
        <v>3.35</v>
      </c>
    </row>
    <row r="167" spans="1:8" x14ac:dyDescent="0.35">
      <c r="A167" t="s">
        <v>148</v>
      </c>
      <c r="B167" t="s">
        <v>151</v>
      </c>
      <c r="C167" s="1">
        <v>45370</v>
      </c>
      <c r="D167" s="2">
        <v>2.2222222222222223E-2</v>
      </c>
      <c r="E167" t="s">
        <v>2</v>
      </c>
      <c r="F167" t="s">
        <v>3</v>
      </c>
      <c r="G167" s="3">
        <v>26.57</v>
      </c>
      <c r="H167" s="3">
        <v>3.98</v>
      </c>
    </row>
    <row r="168" spans="1:8" x14ac:dyDescent="0.35">
      <c r="A168" t="s">
        <v>148</v>
      </c>
      <c r="B168" t="s">
        <v>152</v>
      </c>
      <c r="C168" s="1">
        <v>45372</v>
      </c>
      <c r="D168" s="2">
        <v>0.21388888888888891</v>
      </c>
      <c r="E168" t="s">
        <v>2</v>
      </c>
      <c r="F168" t="s">
        <v>3</v>
      </c>
      <c r="G168" s="3">
        <v>21.59</v>
      </c>
      <c r="H168" s="3">
        <v>3.23</v>
      </c>
    </row>
    <row r="169" spans="1:8" x14ac:dyDescent="0.35">
      <c r="A169" t="s">
        <v>148</v>
      </c>
      <c r="B169" t="s">
        <v>153</v>
      </c>
      <c r="C169" s="1">
        <v>45373</v>
      </c>
      <c r="D169" s="2">
        <v>0.16805555555555554</v>
      </c>
      <c r="E169" t="s">
        <v>2</v>
      </c>
      <c r="F169" t="s">
        <v>3</v>
      </c>
      <c r="G169" s="3">
        <v>21.27</v>
      </c>
      <c r="H169" s="3">
        <v>3.19</v>
      </c>
    </row>
    <row r="170" spans="1:8" x14ac:dyDescent="0.35">
      <c r="A170" t="s">
        <v>148</v>
      </c>
      <c r="B170" t="s">
        <v>154</v>
      </c>
      <c r="C170" s="1">
        <v>45373</v>
      </c>
      <c r="D170" s="2">
        <v>0.17291666666666669</v>
      </c>
      <c r="E170" t="s">
        <v>2</v>
      </c>
      <c r="F170" t="s">
        <v>3</v>
      </c>
      <c r="G170" s="3">
        <v>20.92</v>
      </c>
      <c r="H170" s="3">
        <v>3.14</v>
      </c>
    </row>
    <row r="171" spans="1:8" x14ac:dyDescent="0.35">
      <c r="A171" t="s">
        <v>148</v>
      </c>
      <c r="B171" t="s">
        <v>155</v>
      </c>
      <c r="C171" s="1">
        <v>45379</v>
      </c>
      <c r="D171" s="2">
        <v>0.20138888888888887</v>
      </c>
      <c r="E171" t="s">
        <v>2</v>
      </c>
      <c r="F171" t="s">
        <v>3</v>
      </c>
      <c r="G171" s="3">
        <v>19.79</v>
      </c>
      <c r="H171" s="3">
        <v>2.96</v>
      </c>
    </row>
    <row r="172" spans="1:8" x14ac:dyDescent="0.35">
      <c r="A172" t="s">
        <v>148</v>
      </c>
      <c r="B172" t="s">
        <v>156</v>
      </c>
      <c r="C172" s="1">
        <v>45380</v>
      </c>
      <c r="D172" s="2">
        <v>0.1076388888888889</v>
      </c>
      <c r="E172" t="s">
        <v>2</v>
      </c>
      <c r="F172" t="s">
        <v>3</v>
      </c>
      <c r="G172" s="3">
        <v>14.18</v>
      </c>
      <c r="H172" s="3">
        <v>2.12</v>
      </c>
    </row>
    <row r="173" spans="1:8" x14ac:dyDescent="0.35">
      <c r="A173" t="s">
        <v>148</v>
      </c>
      <c r="B173" t="s">
        <v>157</v>
      </c>
      <c r="C173" s="1">
        <v>45380</v>
      </c>
      <c r="D173" s="2">
        <v>0.10555555555555556</v>
      </c>
      <c r="E173" t="s">
        <v>2</v>
      </c>
      <c r="F173" t="s">
        <v>3</v>
      </c>
      <c r="G173" s="3">
        <v>14.98</v>
      </c>
      <c r="H173" s="3">
        <v>2.2400000000000002</v>
      </c>
    </row>
    <row r="174" spans="1:8" x14ac:dyDescent="0.35">
      <c r="A174" t="s">
        <v>148</v>
      </c>
      <c r="B174" t="s">
        <v>158</v>
      </c>
      <c r="C174" s="1">
        <v>45380</v>
      </c>
      <c r="D174" s="2">
        <v>0.16250000000000001</v>
      </c>
      <c r="E174" t="s">
        <v>2</v>
      </c>
      <c r="F174" t="s">
        <v>3</v>
      </c>
      <c r="G174" s="3">
        <v>20.18</v>
      </c>
      <c r="H174" s="3">
        <v>3.02</v>
      </c>
    </row>
    <row r="175" spans="1:8" x14ac:dyDescent="0.35">
      <c r="A175" t="s">
        <v>148</v>
      </c>
      <c r="B175" t="s">
        <v>159</v>
      </c>
      <c r="C175" s="1">
        <v>45380</v>
      </c>
      <c r="D175" s="2">
        <v>0.40416666666666662</v>
      </c>
      <c r="E175" t="s">
        <v>2</v>
      </c>
      <c r="F175" t="s">
        <v>3</v>
      </c>
      <c r="G175" s="3">
        <v>41.83</v>
      </c>
      <c r="H175" s="3">
        <v>6.27</v>
      </c>
    </row>
    <row r="176" spans="1:8" x14ac:dyDescent="0.35">
      <c r="A176" t="s">
        <v>148</v>
      </c>
      <c r="B176" t="s">
        <v>160</v>
      </c>
      <c r="C176" s="1">
        <v>45381</v>
      </c>
      <c r="D176" s="2">
        <v>0.39305555555555555</v>
      </c>
      <c r="E176" t="s">
        <v>2</v>
      </c>
      <c r="F176" t="s">
        <v>3</v>
      </c>
      <c r="G176" s="3">
        <v>9.59</v>
      </c>
      <c r="H176" s="3">
        <v>1.44</v>
      </c>
    </row>
    <row r="177" spans="1:8" ht="15" thickBot="1" x14ac:dyDescent="0.4">
      <c r="A177" s="4" t="s">
        <v>148</v>
      </c>
      <c r="B177" s="4" t="s">
        <v>161</v>
      </c>
      <c r="C177" s="6">
        <v>45382</v>
      </c>
      <c r="D177" s="7">
        <v>0.39513888888888887</v>
      </c>
      <c r="E177" s="4" t="s">
        <v>2</v>
      </c>
      <c r="F177" s="4" t="s">
        <v>3</v>
      </c>
      <c r="G177" s="5">
        <v>16.899999999999999</v>
      </c>
      <c r="H177" s="5">
        <v>2.5299999999999998</v>
      </c>
    </row>
    <row r="178" spans="1:8" ht="15.75" thickBot="1" x14ac:dyDescent="0.3">
      <c r="A178" s="15" t="s">
        <v>170</v>
      </c>
      <c r="G178" s="9">
        <f>SUM(G165:G177)</f>
        <v>258.68</v>
      </c>
      <c r="H178" s="9">
        <f>SUM(H165:H177)</f>
        <v>38.74</v>
      </c>
    </row>
    <row r="185" spans="1:8" x14ac:dyDescent="0.35">
      <c r="A185" t="s">
        <v>2236</v>
      </c>
      <c r="G185" s="9">
        <f>SUM(G178,G160,G50,G38)</f>
        <v>3687.71</v>
      </c>
    </row>
    <row r="186" spans="1:8" x14ac:dyDescent="0.35">
      <c r="A186" t="s">
        <v>2237</v>
      </c>
      <c r="H186" s="9">
        <f>SUM(H178,H160,H50,H38)</f>
        <v>552.34999999999991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276"/>
  <sheetViews>
    <sheetView topLeftCell="A219" zoomScale="40" zoomScaleNormal="40" workbookViewId="0">
      <selection activeCell="G275" sqref="G275"/>
    </sheetView>
  </sheetViews>
  <sheetFormatPr defaultRowHeight="14.5" x14ac:dyDescent="0.35"/>
  <cols>
    <col min="1" max="1" width="35.453125" customWidth="1"/>
    <col min="2" max="2" width="8.7265625" customWidth="1"/>
    <col min="3" max="3" width="13.453125" customWidth="1"/>
    <col min="4" max="4" width="10.54296875" customWidth="1"/>
    <col min="6" max="6" width="10.453125" customWidth="1"/>
    <col min="7" max="7" width="15.54296875" customWidth="1"/>
    <col min="8" max="8" width="14.7265625" customWidth="1"/>
  </cols>
  <sheetData>
    <row r="6" spans="1:8" ht="15.75" thickBot="1" x14ac:dyDescent="0.3"/>
    <row r="7" spans="1:8" ht="15.75" thickBot="1" x14ac:dyDescent="0.3">
      <c r="A7" s="11" t="s">
        <v>411</v>
      </c>
      <c r="B7" s="12" t="s">
        <v>163</v>
      </c>
      <c r="C7" s="12" t="s">
        <v>165</v>
      </c>
      <c r="D7" s="12" t="s">
        <v>166</v>
      </c>
      <c r="E7" s="12" t="s">
        <v>164</v>
      </c>
      <c r="F7" s="12" t="s">
        <v>167</v>
      </c>
      <c r="G7" s="12" t="s">
        <v>412</v>
      </c>
      <c r="H7" s="13" t="s">
        <v>169</v>
      </c>
    </row>
    <row r="8" spans="1:8" x14ac:dyDescent="0.35">
      <c r="A8" t="s">
        <v>173</v>
      </c>
      <c r="B8" t="s">
        <v>174</v>
      </c>
      <c r="C8" s="1">
        <v>45384</v>
      </c>
      <c r="D8" s="2">
        <v>0.74861111111111101</v>
      </c>
      <c r="E8" t="s">
        <v>2</v>
      </c>
      <c r="F8" t="s">
        <v>3</v>
      </c>
      <c r="G8" s="3">
        <v>23.4</v>
      </c>
      <c r="H8" s="3">
        <v>3.5</v>
      </c>
    </row>
    <row r="9" spans="1:8" x14ac:dyDescent="0.35">
      <c r="A9" t="s">
        <v>173</v>
      </c>
      <c r="B9" t="s">
        <v>175</v>
      </c>
      <c r="C9" s="1">
        <v>45388</v>
      </c>
      <c r="D9" s="2">
        <v>0.59027777777777779</v>
      </c>
      <c r="E9" t="s">
        <v>2</v>
      </c>
      <c r="F9" t="s">
        <v>3</v>
      </c>
      <c r="G9" s="3">
        <v>16.25</v>
      </c>
      <c r="H9" s="3">
        <v>2.4300000000000002</v>
      </c>
    </row>
    <row r="10" spans="1:8" x14ac:dyDescent="0.35">
      <c r="A10" t="s">
        <v>173</v>
      </c>
      <c r="B10" t="s">
        <v>176</v>
      </c>
      <c r="C10" s="1">
        <v>45389</v>
      </c>
      <c r="D10" s="2">
        <v>0.57152777777777775</v>
      </c>
      <c r="E10" t="s">
        <v>2</v>
      </c>
      <c r="F10" t="s">
        <v>3</v>
      </c>
      <c r="G10" s="3">
        <v>16.25</v>
      </c>
      <c r="H10" s="3">
        <v>2.4300000000000002</v>
      </c>
    </row>
    <row r="11" spans="1:8" x14ac:dyDescent="0.35">
      <c r="A11" t="s">
        <v>173</v>
      </c>
      <c r="B11" t="s">
        <v>177</v>
      </c>
      <c r="C11" s="1">
        <v>45390</v>
      </c>
      <c r="D11" s="2">
        <v>0.17916666666666667</v>
      </c>
      <c r="E11" t="s">
        <v>2</v>
      </c>
      <c r="F11" t="s">
        <v>3</v>
      </c>
      <c r="G11" s="3">
        <v>18.18</v>
      </c>
      <c r="H11" s="3">
        <v>2.72</v>
      </c>
    </row>
    <row r="12" spans="1:8" x14ac:dyDescent="0.35">
      <c r="A12" t="s">
        <v>173</v>
      </c>
      <c r="B12" t="s">
        <v>178</v>
      </c>
      <c r="C12" s="1">
        <v>45390</v>
      </c>
      <c r="D12" s="2">
        <v>0.43055555555555558</v>
      </c>
      <c r="E12" t="s">
        <v>2</v>
      </c>
      <c r="F12" t="s">
        <v>3</v>
      </c>
      <c r="G12" s="3">
        <v>55.86</v>
      </c>
      <c r="H12" s="3">
        <v>8.3699999999999992</v>
      </c>
    </row>
    <row r="13" spans="1:8" x14ac:dyDescent="0.35">
      <c r="A13" t="s">
        <v>173</v>
      </c>
      <c r="B13" t="s">
        <v>179</v>
      </c>
      <c r="C13" s="1">
        <v>45393</v>
      </c>
      <c r="D13" s="2">
        <v>9.0277777777777776E-2</v>
      </c>
      <c r="E13" t="s">
        <v>180</v>
      </c>
      <c r="F13" t="s">
        <v>3</v>
      </c>
      <c r="G13" s="3">
        <v>35.08</v>
      </c>
      <c r="H13" s="3">
        <v>5.25</v>
      </c>
    </row>
    <row r="14" spans="1:8" x14ac:dyDescent="0.35">
      <c r="A14" t="s">
        <v>173</v>
      </c>
      <c r="B14" t="s">
        <v>181</v>
      </c>
      <c r="C14" s="1">
        <v>45394</v>
      </c>
      <c r="D14" s="2">
        <v>0.7104166666666667</v>
      </c>
      <c r="E14" t="s">
        <v>2</v>
      </c>
      <c r="F14" t="s">
        <v>3</v>
      </c>
      <c r="G14" s="3">
        <v>28.78</v>
      </c>
      <c r="H14" s="3">
        <v>4.3099999999999996</v>
      </c>
    </row>
    <row r="15" spans="1:8" x14ac:dyDescent="0.35">
      <c r="A15" t="s">
        <v>173</v>
      </c>
      <c r="B15" t="s">
        <v>182</v>
      </c>
      <c r="C15" s="1">
        <v>45397</v>
      </c>
      <c r="D15" s="2">
        <v>0.11527777777777777</v>
      </c>
      <c r="E15" t="s">
        <v>2</v>
      </c>
      <c r="F15" t="s">
        <v>3</v>
      </c>
      <c r="G15" s="3">
        <v>19.48</v>
      </c>
      <c r="H15" s="3">
        <v>2.92</v>
      </c>
    </row>
    <row r="16" spans="1:8" x14ac:dyDescent="0.35">
      <c r="A16" t="s">
        <v>173</v>
      </c>
      <c r="B16" t="s">
        <v>183</v>
      </c>
      <c r="C16" s="1">
        <v>45399</v>
      </c>
      <c r="D16" s="2">
        <v>6.9444444444444447E-4</v>
      </c>
      <c r="E16" t="s">
        <v>2</v>
      </c>
      <c r="F16" t="s">
        <v>3</v>
      </c>
      <c r="G16" s="3">
        <v>39.65</v>
      </c>
      <c r="H16" s="3">
        <v>5.94</v>
      </c>
    </row>
    <row r="17" spans="1:8" x14ac:dyDescent="0.35">
      <c r="A17" t="s">
        <v>173</v>
      </c>
      <c r="B17" t="s">
        <v>184</v>
      </c>
      <c r="C17" s="1">
        <v>45399</v>
      </c>
      <c r="D17" s="2">
        <v>0.78611111111111109</v>
      </c>
      <c r="E17" t="s">
        <v>2</v>
      </c>
      <c r="F17" t="s">
        <v>3</v>
      </c>
      <c r="G17" s="3">
        <v>47.31</v>
      </c>
      <c r="H17" s="3">
        <v>7.08</v>
      </c>
    </row>
    <row r="18" spans="1:8" x14ac:dyDescent="0.35">
      <c r="A18" t="s">
        <v>173</v>
      </c>
      <c r="B18" t="s">
        <v>185</v>
      </c>
      <c r="C18" s="1">
        <v>45400</v>
      </c>
      <c r="D18" s="2">
        <v>0.92152777777777783</v>
      </c>
      <c r="E18" t="s">
        <v>2</v>
      </c>
      <c r="F18" t="s">
        <v>3</v>
      </c>
      <c r="G18" s="3">
        <v>25.98</v>
      </c>
      <c r="H18" s="3">
        <v>3.89</v>
      </c>
    </row>
    <row r="19" spans="1:8" x14ac:dyDescent="0.35">
      <c r="A19" t="s">
        <v>173</v>
      </c>
      <c r="B19" t="s">
        <v>186</v>
      </c>
      <c r="C19" s="1">
        <v>45401</v>
      </c>
      <c r="D19" s="2">
        <v>0.14166666666666666</v>
      </c>
      <c r="E19" t="s">
        <v>2</v>
      </c>
      <c r="F19" t="s">
        <v>3</v>
      </c>
      <c r="G19" s="3">
        <v>21.45</v>
      </c>
      <c r="H19" s="3">
        <v>3.21</v>
      </c>
    </row>
    <row r="20" spans="1:8" x14ac:dyDescent="0.35">
      <c r="A20" t="s">
        <v>173</v>
      </c>
      <c r="B20" t="s">
        <v>187</v>
      </c>
      <c r="C20" s="1">
        <v>45403</v>
      </c>
      <c r="D20" s="2">
        <v>0.15416666666666667</v>
      </c>
      <c r="E20" t="s">
        <v>180</v>
      </c>
      <c r="F20" t="s">
        <v>3</v>
      </c>
      <c r="G20" s="3">
        <v>70.16</v>
      </c>
      <c r="H20" s="3">
        <v>10.51</v>
      </c>
    </row>
    <row r="21" spans="1:8" x14ac:dyDescent="0.35">
      <c r="A21" t="s">
        <v>173</v>
      </c>
      <c r="B21" t="s">
        <v>188</v>
      </c>
      <c r="C21" s="1">
        <v>45403</v>
      </c>
      <c r="D21" s="2">
        <v>0.32500000000000001</v>
      </c>
      <c r="E21" t="s">
        <v>2</v>
      </c>
      <c r="F21" t="s">
        <v>3</v>
      </c>
      <c r="G21" s="3">
        <v>49.36</v>
      </c>
      <c r="H21" s="3">
        <v>7.39</v>
      </c>
    </row>
    <row r="22" spans="1:8" ht="15" thickBot="1" x14ac:dyDescent="0.4">
      <c r="A22" s="4" t="s">
        <v>173</v>
      </c>
      <c r="B22" s="4" t="s">
        <v>189</v>
      </c>
      <c r="C22" s="6">
        <v>45407</v>
      </c>
      <c r="D22" s="7">
        <v>0.97291666666666676</v>
      </c>
      <c r="E22" s="4" t="s">
        <v>2</v>
      </c>
      <c r="F22" s="4" t="s">
        <v>3</v>
      </c>
      <c r="G22" s="5">
        <v>10.44</v>
      </c>
      <c r="H22" s="5">
        <v>1.56</v>
      </c>
    </row>
    <row r="23" spans="1:8" ht="15.75" thickBot="1" x14ac:dyDescent="0.3">
      <c r="A23" t="s">
        <v>413</v>
      </c>
      <c r="G23" s="10">
        <f>SUM(G8:G22)</f>
        <v>477.63000000000005</v>
      </c>
      <c r="H23" s="10">
        <f>SUM(H8:H22)</f>
        <v>71.509999999999991</v>
      </c>
    </row>
    <row r="24" spans="1:8" ht="15.75" thickTop="1" x14ac:dyDescent="0.25"/>
    <row r="25" spans="1:8" ht="15.75" thickBot="1" x14ac:dyDescent="0.3"/>
    <row r="26" spans="1:8" ht="15.75" thickBot="1" x14ac:dyDescent="0.3">
      <c r="A26" s="11" t="s">
        <v>411</v>
      </c>
      <c r="B26" s="12" t="s">
        <v>163</v>
      </c>
      <c r="C26" s="12" t="s">
        <v>165</v>
      </c>
      <c r="D26" s="12" t="s">
        <v>166</v>
      </c>
      <c r="E26" s="12" t="s">
        <v>164</v>
      </c>
      <c r="F26" s="12" t="s">
        <v>167</v>
      </c>
      <c r="G26" s="12" t="s">
        <v>412</v>
      </c>
      <c r="H26" s="13" t="s">
        <v>169</v>
      </c>
    </row>
    <row r="27" spans="1:8" x14ac:dyDescent="0.35">
      <c r="A27" t="s">
        <v>0</v>
      </c>
      <c r="B27" t="s">
        <v>190</v>
      </c>
      <c r="C27" s="1">
        <v>45383</v>
      </c>
      <c r="D27" s="2">
        <v>5.5555555555555552E-2</v>
      </c>
      <c r="E27" t="s">
        <v>2</v>
      </c>
      <c r="F27" t="s">
        <v>3</v>
      </c>
      <c r="G27" s="3">
        <v>53.65</v>
      </c>
      <c r="H27" s="3">
        <v>8.0299999999999994</v>
      </c>
    </row>
    <row r="28" spans="1:8" x14ac:dyDescent="0.35">
      <c r="A28" t="s">
        <v>0</v>
      </c>
      <c r="B28" t="s">
        <v>191</v>
      </c>
      <c r="C28" s="1">
        <v>45383</v>
      </c>
      <c r="D28" s="2">
        <v>9.7916666666666666E-2</v>
      </c>
      <c r="E28" t="s">
        <v>2</v>
      </c>
      <c r="F28" t="s">
        <v>3</v>
      </c>
      <c r="G28" s="3">
        <v>43.79</v>
      </c>
      <c r="H28" s="3">
        <v>6.56</v>
      </c>
    </row>
    <row r="29" spans="1:8" x14ac:dyDescent="0.35">
      <c r="A29" t="s">
        <v>0</v>
      </c>
      <c r="B29" t="s">
        <v>192</v>
      </c>
      <c r="C29" s="1">
        <v>45383</v>
      </c>
      <c r="D29" s="2">
        <v>0.12291666666666667</v>
      </c>
      <c r="E29" t="s">
        <v>2</v>
      </c>
      <c r="F29" t="s">
        <v>3</v>
      </c>
      <c r="G29" s="3">
        <v>10.4</v>
      </c>
      <c r="H29" s="3">
        <v>1.56</v>
      </c>
    </row>
    <row r="30" spans="1:8" x14ac:dyDescent="0.35">
      <c r="A30" t="s">
        <v>0</v>
      </c>
      <c r="B30" t="s">
        <v>193</v>
      </c>
      <c r="C30" s="1">
        <v>45383</v>
      </c>
      <c r="D30" s="2">
        <v>0.14444444444444446</v>
      </c>
      <c r="E30" t="s">
        <v>2</v>
      </c>
      <c r="F30" t="s">
        <v>3</v>
      </c>
      <c r="G30" s="3">
        <v>22.1</v>
      </c>
      <c r="H30" s="3">
        <v>3.31</v>
      </c>
    </row>
    <row r="31" spans="1:8" x14ac:dyDescent="0.35">
      <c r="A31" t="s">
        <v>0</v>
      </c>
      <c r="B31" t="s">
        <v>194</v>
      </c>
      <c r="C31" s="1">
        <v>45383</v>
      </c>
      <c r="D31" s="2">
        <v>0.25277777777777777</v>
      </c>
      <c r="E31" t="s">
        <v>2</v>
      </c>
      <c r="F31" t="s">
        <v>3</v>
      </c>
      <c r="G31" s="3">
        <v>22.1</v>
      </c>
      <c r="H31" s="3">
        <v>3.31</v>
      </c>
    </row>
    <row r="32" spans="1:8" x14ac:dyDescent="0.35">
      <c r="A32" t="s">
        <v>0</v>
      </c>
      <c r="B32" t="s">
        <v>195</v>
      </c>
      <c r="C32" s="1">
        <v>45383</v>
      </c>
      <c r="D32" s="2">
        <v>0.67847222222222225</v>
      </c>
      <c r="E32" t="s">
        <v>2</v>
      </c>
      <c r="F32" t="s">
        <v>3</v>
      </c>
      <c r="G32" s="3">
        <v>16.899999999999999</v>
      </c>
      <c r="H32" s="3">
        <v>2.5299999999999998</v>
      </c>
    </row>
    <row r="33" spans="1:8" x14ac:dyDescent="0.35">
      <c r="A33" t="s">
        <v>0</v>
      </c>
      <c r="B33" t="s">
        <v>196</v>
      </c>
      <c r="C33" s="1">
        <v>45386</v>
      </c>
      <c r="D33" s="2">
        <v>0.16319444444444445</v>
      </c>
      <c r="E33" t="s">
        <v>2</v>
      </c>
      <c r="F33" t="s">
        <v>3</v>
      </c>
      <c r="G33" s="3">
        <v>20.49</v>
      </c>
      <c r="H33" s="3">
        <v>3.07</v>
      </c>
    </row>
    <row r="34" spans="1:8" x14ac:dyDescent="0.35">
      <c r="A34" t="s">
        <v>0</v>
      </c>
      <c r="B34" t="s">
        <v>197</v>
      </c>
      <c r="C34" s="1">
        <v>45386</v>
      </c>
      <c r="D34" s="2">
        <v>0.1388888888888889</v>
      </c>
      <c r="E34" t="s">
        <v>2</v>
      </c>
      <c r="F34" t="s">
        <v>3</v>
      </c>
      <c r="G34" s="3">
        <v>8.99</v>
      </c>
      <c r="H34" s="3">
        <v>1.35</v>
      </c>
    </row>
    <row r="35" spans="1:8" x14ac:dyDescent="0.35">
      <c r="A35" t="s">
        <v>0</v>
      </c>
      <c r="B35" t="s">
        <v>198</v>
      </c>
      <c r="C35" s="1">
        <v>45386</v>
      </c>
      <c r="D35" s="2">
        <v>0.23819444444444446</v>
      </c>
      <c r="E35" t="s">
        <v>2</v>
      </c>
      <c r="F35" t="s">
        <v>3</v>
      </c>
      <c r="G35" s="3">
        <v>46.96</v>
      </c>
      <c r="H35" s="3">
        <v>7.03</v>
      </c>
    </row>
    <row r="36" spans="1:8" x14ac:dyDescent="0.35">
      <c r="A36" t="s">
        <v>0</v>
      </c>
      <c r="B36" t="s">
        <v>199</v>
      </c>
      <c r="C36" s="1">
        <v>45386</v>
      </c>
      <c r="D36" s="2">
        <v>0.27847222222222223</v>
      </c>
      <c r="E36" t="s">
        <v>2</v>
      </c>
      <c r="F36" t="s">
        <v>3</v>
      </c>
      <c r="G36" s="3">
        <v>29.08</v>
      </c>
      <c r="H36" s="3">
        <v>4.3499999999999996</v>
      </c>
    </row>
    <row r="37" spans="1:8" x14ac:dyDescent="0.35">
      <c r="A37" t="s">
        <v>0</v>
      </c>
      <c r="B37" t="s">
        <v>200</v>
      </c>
      <c r="C37" s="1">
        <v>45386</v>
      </c>
      <c r="D37" s="2">
        <v>0.99861111111111101</v>
      </c>
      <c r="E37" t="s">
        <v>2</v>
      </c>
      <c r="F37" t="s">
        <v>3</v>
      </c>
      <c r="G37" s="3">
        <v>26.87</v>
      </c>
      <c r="H37" s="3">
        <v>4.0199999999999996</v>
      </c>
    </row>
    <row r="38" spans="1:8" x14ac:dyDescent="0.35">
      <c r="A38" t="s">
        <v>0</v>
      </c>
      <c r="B38" t="s">
        <v>201</v>
      </c>
      <c r="C38" s="1">
        <v>45387</v>
      </c>
      <c r="D38" s="2">
        <v>6.1805555555555558E-2</v>
      </c>
      <c r="E38" t="s">
        <v>2</v>
      </c>
      <c r="F38" t="s">
        <v>3</v>
      </c>
      <c r="G38" s="3">
        <v>20.49</v>
      </c>
      <c r="H38" s="3">
        <v>3.07</v>
      </c>
    </row>
    <row r="39" spans="1:8" x14ac:dyDescent="0.35">
      <c r="A39" t="s">
        <v>0</v>
      </c>
      <c r="B39" t="s">
        <v>202</v>
      </c>
      <c r="C39" s="1">
        <v>45387</v>
      </c>
      <c r="D39" s="2">
        <v>8.819444444444445E-2</v>
      </c>
      <c r="E39" t="s">
        <v>2</v>
      </c>
      <c r="F39" t="s">
        <v>3</v>
      </c>
      <c r="G39" s="3">
        <v>35.07</v>
      </c>
      <c r="H39" s="3">
        <v>5.25</v>
      </c>
    </row>
    <row r="40" spans="1:8" x14ac:dyDescent="0.35">
      <c r="A40" t="s">
        <v>0</v>
      </c>
      <c r="B40" t="s">
        <v>203</v>
      </c>
      <c r="C40" s="1">
        <v>45389</v>
      </c>
      <c r="D40" s="2">
        <v>3.125E-2</v>
      </c>
      <c r="E40" t="s">
        <v>2</v>
      </c>
      <c r="F40" t="s">
        <v>3</v>
      </c>
      <c r="G40" s="3">
        <v>29.48</v>
      </c>
      <c r="H40" s="3">
        <v>4.41</v>
      </c>
    </row>
    <row r="41" spans="1:8" x14ac:dyDescent="0.35">
      <c r="A41" t="s">
        <v>0</v>
      </c>
      <c r="B41" t="s">
        <v>204</v>
      </c>
      <c r="C41" s="1">
        <v>45389</v>
      </c>
      <c r="D41" s="2">
        <v>0.1423611111111111</v>
      </c>
      <c r="E41" t="s">
        <v>2</v>
      </c>
      <c r="F41" t="s">
        <v>3</v>
      </c>
      <c r="G41" s="3">
        <v>16.48</v>
      </c>
      <c r="H41" s="3">
        <v>2.4700000000000002</v>
      </c>
    </row>
    <row r="42" spans="1:8" x14ac:dyDescent="0.35">
      <c r="A42" t="s">
        <v>0</v>
      </c>
      <c r="B42" t="s">
        <v>205</v>
      </c>
      <c r="C42" s="1">
        <v>45389</v>
      </c>
      <c r="D42" s="2">
        <v>0.47013888888888888</v>
      </c>
      <c r="E42" t="s">
        <v>2</v>
      </c>
      <c r="F42" t="s">
        <v>3</v>
      </c>
      <c r="G42" s="3">
        <v>16.59</v>
      </c>
      <c r="H42" s="3">
        <v>2.48</v>
      </c>
    </row>
    <row r="43" spans="1:8" x14ac:dyDescent="0.35">
      <c r="A43" t="s">
        <v>0</v>
      </c>
      <c r="B43" t="s">
        <v>206</v>
      </c>
      <c r="C43" s="1">
        <v>45391</v>
      </c>
      <c r="D43" s="2">
        <v>0.1277777777777778</v>
      </c>
      <c r="E43" t="s">
        <v>2</v>
      </c>
      <c r="F43" t="s">
        <v>3</v>
      </c>
      <c r="G43" s="3">
        <v>19.98</v>
      </c>
      <c r="H43" s="3">
        <v>2.99</v>
      </c>
    </row>
    <row r="44" spans="1:8" x14ac:dyDescent="0.35">
      <c r="A44" t="s">
        <v>0</v>
      </c>
      <c r="B44" t="s">
        <v>207</v>
      </c>
      <c r="C44" s="1">
        <v>45391</v>
      </c>
      <c r="D44" s="2">
        <v>0.58611111111111114</v>
      </c>
      <c r="E44" t="s">
        <v>2</v>
      </c>
      <c r="F44" t="s">
        <v>3</v>
      </c>
      <c r="G44" s="3">
        <v>19.54</v>
      </c>
      <c r="H44" s="3">
        <v>2.93</v>
      </c>
    </row>
    <row r="45" spans="1:8" x14ac:dyDescent="0.35">
      <c r="A45" t="s">
        <v>0</v>
      </c>
      <c r="B45" t="s">
        <v>208</v>
      </c>
      <c r="C45" s="1">
        <v>45391</v>
      </c>
      <c r="D45" s="2">
        <v>0.98749999999999993</v>
      </c>
      <c r="E45" t="s">
        <v>2</v>
      </c>
      <c r="F45" t="s">
        <v>3</v>
      </c>
      <c r="G45" s="3">
        <v>34.06</v>
      </c>
      <c r="H45" s="3">
        <v>5.0999999999999996</v>
      </c>
    </row>
    <row r="46" spans="1:8" x14ac:dyDescent="0.35">
      <c r="A46" t="s">
        <v>0</v>
      </c>
      <c r="B46" t="s">
        <v>209</v>
      </c>
      <c r="C46" s="1">
        <v>45392</v>
      </c>
      <c r="D46" s="2">
        <v>0.4909722222222222</v>
      </c>
      <c r="E46" t="s">
        <v>2</v>
      </c>
      <c r="F46" t="s">
        <v>3</v>
      </c>
      <c r="G46" s="3">
        <v>26.87</v>
      </c>
      <c r="H46" s="3">
        <v>4.0199999999999996</v>
      </c>
    </row>
    <row r="47" spans="1:8" x14ac:dyDescent="0.35">
      <c r="A47" t="s">
        <v>0</v>
      </c>
      <c r="B47" t="s">
        <v>210</v>
      </c>
      <c r="C47" s="1">
        <v>45393</v>
      </c>
      <c r="D47" s="2">
        <v>0.50416666666666665</v>
      </c>
      <c r="E47" t="s">
        <v>2</v>
      </c>
      <c r="F47" t="s">
        <v>3</v>
      </c>
      <c r="G47" s="3">
        <v>25.69</v>
      </c>
      <c r="H47" s="3">
        <v>3.85</v>
      </c>
    </row>
    <row r="48" spans="1:8" x14ac:dyDescent="0.35">
      <c r="A48" t="s">
        <v>0</v>
      </c>
      <c r="B48" t="s">
        <v>211</v>
      </c>
      <c r="C48" s="1">
        <v>45394</v>
      </c>
      <c r="D48" s="2">
        <v>5.486111111111111E-2</v>
      </c>
      <c r="E48" t="s">
        <v>2</v>
      </c>
      <c r="F48" t="s">
        <v>3</v>
      </c>
      <c r="G48" s="3">
        <v>16.88</v>
      </c>
      <c r="H48" s="3">
        <v>2.5299999999999998</v>
      </c>
    </row>
    <row r="49" spans="1:8" x14ac:dyDescent="0.35">
      <c r="A49" t="s">
        <v>0</v>
      </c>
      <c r="B49" t="s">
        <v>212</v>
      </c>
      <c r="C49" s="1">
        <v>45394</v>
      </c>
      <c r="D49" s="2">
        <v>0.23750000000000002</v>
      </c>
      <c r="E49" t="s">
        <v>2</v>
      </c>
      <c r="F49" t="s">
        <v>3</v>
      </c>
      <c r="G49" s="3">
        <v>20.49</v>
      </c>
      <c r="H49" s="3">
        <v>3.07</v>
      </c>
    </row>
    <row r="50" spans="1:8" x14ac:dyDescent="0.35">
      <c r="A50" t="s">
        <v>0</v>
      </c>
      <c r="B50" t="s">
        <v>213</v>
      </c>
      <c r="C50" s="1">
        <v>45395</v>
      </c>
      <c r="D50" s="2">
        <v>0.30138888888888887</v>
      </c>
      <c r="E50" t="s">
        <v>2</v>
      </c>
      <c r="F50" t="s">
        <v>3</v>
      </c>
      <c r="G50" s="3">
        <v>100.1</v>
      </c>
      <c r="H50" s="3">
        <v>14.99</v>
      </c>
    </row>
    <row r="51" spans="1:8" x14ac:dyDescent="0.35">
      <c r="A51" t="s">
        <v>0</v>
      </c>
      <c r="B51" t="s">
        <v>214</v>
      </c>
      <c r="C51" s="1">
        <v>45395</v>
      </c>
      <c r="D51" s="2">
        <v>0.64097222222222217</v>
      </c>
      <c r="E51" t="s">
        <v>2</v>
      </c>
      <c r="F51" t="s">
        <v>3</v>
      </c>
      <c r="G51" s="3">
        <v>44.53</v>
      </c>
      <c r="H51" s="3">
        <v>6.67</v>
      </c>
    </row>
    <row r="52" spans="1:8" x14ac:dyDescent="0.35">
      <c r="A52" t="s">
        <v>0</v>
      </c>
      <c r="B52" t="s">
        <v>215</v>
      </c>
      <c r="C52" s="1">
        <v>45395</v>
      </c>
      <c r="D52" s="2">
        <v>0.70624999999999993</v>
      </c>
      <c r="E52" t="s">
        <v>2</v>
      </c>
      <c r="F52" t="s">
        <v>3</v>
      </c>
      <c r="G52" s="3">
        <v>38.03</v>
      </c>
      <c r="H52" s="3">
        <v>5.69</v>
      </c>
    </row>
    <row r="53" spans="1:8" x14ac:dyDescent="0.35">
      <c r="A53" t="s">
        <v>0</v>
      </c>
      <c r="B53" t="s">
        <v>216</v>
      </c>
      <c r="C53" s="1">
        <v>45396</v>
      </c>
      <c r="D53" s="2">
        <v>0.22013888888888888</v>
      </c>
      <c r="E53" t="s">
        <v>2</v>
      </c>
      <c r="F53" t="s">
        <v>3</v>
      </c>
      <c r="G53" s="3">
        <v>78</v>
      </c>
      <c r="H53" s="3">
        <v>11.68</v>
      </c>
    </row>
    <row r="54" spans="1:8" x14ac:dyDescent="0.35">
      <c r="A54" t="s">
        <v>0</v>
      </c>
      <c r="B54" t="s">
        <v>217</v>
      </c>
      <c r="C54" s="1">
        <v>45396</v>
      </c>
      <c r="D54" s="2">
        <v>0.67083333333333339</v>
      </c>
      <c r="E54" t="s">
        <v>2</v>
      </c>
      <c r="F54" t="s">
        <v>3</v>
      </c>
      <c r="G54" s="3">
        <v>41.93</v>
      </c>
      <c r="H54" s="3">
        <v>6.28</v>
      </c>
    </row>
    <row r="55" spans="1:8" x14ac:dyDescent="0.35">
      <c r="A55" t="s">
        <v>0</v>
      </c>
      <c r="B55" t="s">
        <v>218</v>
      </c>
      <c r="C55" s="1">
        <v>45397</v>
      </c>
      <c r="D55" s="2">
        <v>8.7500000000000008E-2</v>
      </c>
      <c r="E55" t="s">
        <v>2</v>
      </c>
      <c r="F55" t="s">
        <v>3</v>
      </c>
      <c r="G55" s="3">
        <v>23.01</v>
      </c>
      <c r="H55" s="3">
        <v>3.45</v>
      </c>
    </row>
    <row r="56" spans="1:8" x14ac:dyDescent="0.35">
      <c r="A56" t="s">
        <v>0</v>
      </c>
      <c r="B56" t="s">
        <v>219</v>
      </c>
      <c r="C56" s="1">
        <v>45399</v>
      </c>
      <c r="D56" s="2">
        <v>0.77569444444444446</v>
      </c>
      <c r="E56" t="s">
        <v>2</v>
      </c>
      <c r="F56" t="s">
        <v>3</v>
      </c>
      <c r="G56" s="3">
        <v>44.2</v>
      </c>
      <c r="H56" s="3">
        <v>6.62</v>
      </c>
    </row>
    <row r="57" spans="1:8" x14ac:dyDescent="0.35">
      <c r="A57" t="s">
        <v>0</v>
      </c>
      <c r="B57" t="s">
        <v>220</v>
      </c>
      <c r="C57" s="1">
        <v>45400</v>
      </c>
      <c r="D57" s="2">
        <v>0.24027777777777778</v>
      </c>
      <c r="E57" t="s">
        <v>2</v>
      </c>
      <c r="F57" t="s">
        <v>3</v>
      </c>
      <c r="G57" s="3">
        <v>33.799999999999997</v>
      </c>
      <c r="H57" s="3">
        <v>5.0599999999999996</v>
      </c>
    </row>
    <row r="58" spans="1:8" x14ac:dyDescent="0.35">
      <c r="A58" t="s">
        <v>0</v>
      </c>
      <c r="B58" t="s">
        <v>221</v>
      </c>
      <c r="C58" s="1">
        <v>45401</v>
      </c>
      <c r="D58" s="2">
        <v>0.4284722222222222</v>
      </c>
      <c r="E58" t="s">
        <v>2</v>
      </c>
      <c r="F58" t="s">
        <v>3</v>
      </c>
      <c r="G58" s="3">
        <v>16.899999999999999</v>
      </c>
      <c r="H58" s="3">
        <v>2.5299999999999998</v>
      </c>
    </row>
    <row r="59" spans="1:8" x14ac:dyDescent="0.35">
      <c r="A59" t="s">
        <v>0</v>
      </c>
      <c r="B59" t="s">
        <v>222</v>
      </c>
      <c r="C59" s="1">
        <v>45402</v>
      </c>
      <c r="D59" s="2">
        <v>0.28750000000000003</v>
      </c>
      <c r="E59" t="s">
        <v>2</v>
      </c>
      <c r="F59" t="s">
        <v>3</v>
      </c>
      <c r="G59" s="3">
        <v>54.6</v>
      </c>
      <c r="H59" s="3">
        <v>8.18</v>
      </c>
    </row>
    <row r="60" spans="1:8" x14ac:dyDescent="0.35">
      <c r="A60" t="s">
        <v>0</v>
      </c>
      <c r="B60" t="s">
        <v>223</v>
      </c>
      <c r="C60" s="1">
        <v>45402</v>
      </c>
      <c r="D60" s="2">
        <v>0.80069444444444438</v>
      </c>
      <c r="E60" t="s">
        <v>2</v>
      </c>
      <c r="F60" t="s">
        <v>3</v>
      </c>
      <c r="G60" s="3">
        <v>21.69</v>
      </c>
      <c r="H60" s="3">
        <v>3.25</v>
      </c>
    </row>
    <row r="61" spans="1:8" x14ac:dyDescent="0.35">
      <c r="A61" t="s">
        <v>0</v>
      </c>
      <c r="B61" t="s">
        <v>224</v>
      </c>
      <c r="C61" s="1">
        <v>45403</v>
      </c>
      <c r="D61" s="2">
        <v>0.34791666666666665</v>
      </c>
      <c r="E61" t="s">
        <v>2</v>
      </c>
      <c r="F61" t="s">
        <v>3</v>
      </c>
      <c r="G61" s="3">
        <v>39.33</v>
      </c>
      <c r="H61" s="3">
        <v>5.89</v>
      </c>
    </row>
    <row r="62" spans="1:8" x14ac:dyDescent="0.35">
      <c r="A62" t="s">
        <v>0</v>
      </c>
      <c r="B62" t="s">
        <v>225</v>
      </c>
      <c r="C62" s="1">
        <v>45403</v>
      </c>
      <c r="D62" s="2">
        <v>0.96388888888888891</v>
      </c>
      <c r="E62" t="s">
        <v>2</v>
      </c>
      <c r="F62" t="s">
        <v>3</v>
      </c>
      <c r="G62" s="3">
        <v>16.899999999999999</v>
      </c>
      <c r="H62" s="3">
        <v>2.5299999999999998</v>
      </c>
    </row>
    <row r="63" spans="1:8" x14ac:dyDescent="0.35">
      <c r="A63" t="s">
        <v>0</v>
      </c>
      <c r="B63" t="s">
        <v>226</v>
      </c>
      <c r="C63" s="1">
        <v>45405</v>
      </c>
      <c r="D63" s="2">
        <v>0.69374999999999998</v>
      </c>
      <c r="E63" t="s">
        <v>2</v>
      </c>
      <c r="F63" t="s">
        <v>3</v>
      </c>
      <c r="G63" s="3">
        <v>286</v>
      </c>
      <c r="H63" s="3">
        <v>42.83</v>
      </c>
    </row>
    <row r="64" spans="1:8" x14ac:dyDescent="0.35">
      <c r="A64" t="s">
        <v>0</v>
      </c>
      <c r="B64" t="s">
        <v>227</v>
      </c>
      <c r="C64" s="1">
        <v>45409</v>
      </c>
      <c r="D64" s="2">
        <v>0.35347222222222219</v>
      </c>
      <c r="E64" t="s">
        <v>2</v>
      </c>
      <c r="F64" t="s">
        <v>3</v>
      </c>
      <c r="G64" s="3">
        <v>19.47</v>
      </c>
      <c r="H64" s="3">
        <v>2.92</v>
      </c>
    </row>
    <row r="65" spans="1:8" ht="15" thickBot="1" x14ac:dyDescent="0.4">
      <c r="A65" s="4" t="s">
        <v>0</v>
      </c>
      <c r="B65" s="4" t="s">
        <v>228</v>
      </c>
      <c r="C65" s="6">
        <v>45411</v>
      </c>
      <c r="D65" s="7">
        <v>0.48333333333333334</v>
      </c>
      <c r="E65" s="4" t="s">
        <v>2</v>
      </c>
      <c r="F65" s="4" t="s">
        <v>3</v>
      </c>
      <c r="G65" s="5">
        <v>24.7</v>
      </c>
      <c r="H65" s="5">
        <v>3.7</v>
      </c>
    </row>
    <row r="66" spans="1:8" ht="15" x14ac:dyDescent="0.25">
      <c r="A66" t="s">
        <v>413</v>
      </c>
      <c r="G66" s="9">
        <f>SUM(G27:G65)</f>
        <v>1466.14</v>
      </c>
      <c r="H66" s="9">
        <f>SUM(H27:H65)</f>
        <v>219.55999999999997</v>
      </c>
    </row>
    <row r="69" spans="1:8" ht="15.75" thickBot="1" x14ac:dyDescent="0.3"/>
    <row r="70" spans="1:8" ht="15.75" thickBot="1" x14ac:dyDescent="0.3">
      <c r="A70" s="11" t="s">
        <v>411</v>
      </c>
      <c r="B70" s="12" t="s">
        <v>163</v>
      </c>
      <c r="C70" s="12" t="s">
        <v>165</v>
      </c>
      <c r="D70" s="12" t="s">
        <v>166</v>
      </c>
      <c r="E70" s="12" t="s">
        <v>164</v>
      </c>
      <c r="F70" s="12" t="s">
        <v>167</v>
      </c>
      <c r="G70" s="12" t="s">
        <v>412</v>
      </c>
      <c r="H70" s="13" t="s">
        <v>169</v>
      </c>
    </row>
    <row r="71" spans="1:8" x14ac:dyDescent="0.35">
      <c r="A71" t="s">
        <v>33</v>
      </c>
      <c r="B71" t="s">
        <v>229</v>
      </c>
      <c r="C71" s="1">
        <v>45398</v>
      </c>
      <c r="D71" s="2">
        <v>0.18194444444444444</v>
      </c>
      <c r="E71" t="s">
        <v>2</v>
      </c>
      <c r="F71" t="s">
        <v>3</v>
      </c>
      <c r="G71" s="3">
        <v>13.45</v>
      </c>
      <c r="H71" s="3">
        <v>2.0099999999999998</v>
      </c>
    </row>
    <row r="72" spans="1:8" x14ac:dyDescent="0.35">
      <c r="A72" t="s">
        <v>33</v>
      </c>
      <c r="B72" t="s">
        <v>230</v>
      </c>
      <c r="C72" s="1">
        <v>45399</v>
      </c>
      <c r="D72" s="2">
        <v>1.1805555555555555E-2</v>
      </c>
      <c r="E72" t="s">
        <v>2</v>
      </c>
      <c r="F72" t="s">
        <v>3</v>
      </c>
      <c r="G72" s="3">
        <v>11.74</v>
      </c>
      <c r="H72" s="3">
        <v>1.76</v>
      </c>
    </row>
    <row r="73" spans="1:8" x14ac:dyDescent="0.35">
      <c r="A73" t="s">
        <v>33</v>
      </c>
      <c r="B73" t="s">
        <v>231</v>
      </c>
      <c r="C73" s="1">
        <v>45399</v>
      </c>
      <c r="D73" s="2">
        <v>0.11597222222222221</v>
      </c>
      <c r="E73" t="s">
        <v>2</v>
      </c>
      <c r="F73" t="s">
        <v>3</v>
      </c>
      <c r="G73" s="3">
        <v>14.88</v>
      </c>
      <c r="H73" s="3">
        <v>2.23</v>
      </c>
    </row>
    <row r="74" spans="1:8" x14ac:dyDescent="0.35">
      <c r="A74" t="s">
        <v>33</v>
      </c>
      <c r="B74" t="s">
        <v>232</v>
      </c>
      <c r="C74" s="1">
        <v>45399</v>
      </c>
      <c r="D74" s="2">
        <v>0.7993055555555556</v>
      </c>
      <c r="E74" t="s">
        <v>2</v>
      </c>
      <c r="F74" t="s">
        <v>3</v>
      </c>
      <c r="G74" s="3">
        <v>20.9</v>
      </c>
      <c r="H74" s="3">
        <v>3.13</v>
      </c>
    </row>
    <row r="75" spans="1:8" x14ac:dyDescent="0.35">
      <c r="A75" t="s">
        <v>33</v>
      </c>
      <c r="B75" t="s">
        <v>233</v>
      </c>
      <c r="C75" s="1">
        <v>45400</v>
      </c>
      <c r="D75" s="2">
        <v>0.17986111111111111</v>
      </c>
      <c r="E75" t="s">
        <v>2</v>
      </c>
      <c r="F75" t="s">
        <v>3</v>
      </c>
      <c r="G75" s="3">
        <v>17.16</v>
      </c>
      <c r="H75" s="3">
        <v>2.57</v>
      </c>
    </row>
    <row r="76" spans="1:8" x14ac:dyDescent="0.35">
      <c r="A76" t="s">
        <v>33</v>
      </c>
      <c r="B76" t="s">
        <v>234</v>
      </c>
      <c r="C76" s="1">
        <v>45400</v>
      </c>
      <c r="D76" s="2">
        <v>0.88611111111111107</v>
      </c>
      <c r="E76" t="s">
        <v>2</v>
      </c>
      <c r="F76" t="s">
        <v>3</v>
      </c>
      <c r="G76" s="3">
        <v>35.68</v>
      </c>
      <c r="H76" s="3">
        <v>5.34</v>
      </c>
    </row>
    <row r="77" spans="1:8" x14ac:dyDescent="0.35">
      <c r="A77" t="s">
        <v>33</v>
      </c>
      <c r="B77" t="s">
        <v>235</v>
      </c>
      <c r="C77" s="1">
        <v>45401</v>
      </c>
      <c r="D77" s="2">
        <v>0.10902777777777778</v>
      </c>
      <c r="E77" t="s">
        <v>2</v>
      </c>
      <c r="F77" t="s">
        <v>3</v>
      </c>
      <c r="G77" s="3">
        <v>11.74</v>
      </c>
      <c r="H77" s="3">
        <v>1.76</v>
      </c>
    </row>
    <row r="78" spans="1:8" x14ac:dyDescent="0.35">
      <c r="A78" t="s">
        <v>33</v>
      </c>
      <c r="B78" t="s">
        <v>236</v>
      </c>
      <c r="C78" s="1">
        <v>45401</v>
      </c>
      <c r="D78" s="2">
        <v>0.95486111111111116</v>
      </c>
      <c r="E78" t="s">
        <v>2</v>
      </c>
      <c r="F78" t="s">
        <v>3</v>
      </c>
      <c r="G78" s="3">
        <v>49.65</v>
      </c>
      <c r="H78" s="3">
        <v>7.44</v>
      </c>
    </row>
    <row r="79" spans="1:8" x14ac:dyDescent="0.35">
      <c r="A79" t="s">
        <v>33</v>
      </c>
      <c r="B79" t="s">
        <v>237</v>
      </c>
      <c r="C79" s="1">
        <v>45403</v>
      </c>
      <c r="D79" s="2">
        <v>0.97777777777777775</v>
      </c>
      <c r="E79" t="s">
        <v>2</v>
      </c>
      <c r="F79" t="s">
        <v>3</v>
      </c>
      <c r="G79" s="3">
        <v>33.54</v>
      </c>
      <c r="H79" s="3">
        <v>5.0199999999999996</v>
      </c>
    </row>
    <row r="80" spans="1:8" x14ac:dyDescent="0.35">
      <c r="A80" t="s">
        <v>33</v>
      </c>
      <c r="B80" t="s">
        <v>238</v>
      </c>
      <c r="C80" s="1">
        <v>45404</v>
      </c>
      <c r="D80" s="2">
        <v>0.85902777777777783</v>
      </c>
      <c r="E80" t="s">
        <v>2</v>
      </c>
      <c r="F80" t="s">
        <v>3</v>
      </c>
      <c r="G80" s="3">
        <v>30.83</v>
      </c>
      <c r="H80" s="3">
        <v>4.62</v>
      </c>
    </row>
    <row r="81" spans="1:8" x14ac:dyDescent="0.35">
      <c r="A81" t="s">
        <v>33</v>
      </c>
      <c r="B81" t="s">
        <v>239</v>
      </c>
      <c r="C81" s="1">
        <v>45406</v>
      </c>
      <c r="D81" s="2">
        <v>0.71666666666666667</v>
      </c>
      <c r="E81" t="s">
        <v>2</v>
      </c>
      <c r="F81" t="s">
        <v>3</v>
      </c>
      <c r="G81" s="3">
        <v>11.69</v>
      </c>
      <c r="H81" s="3">
        <v>1.75</v>
      </c>
    </row>
    <row r="82" spans="1:8" x14ac:dyDescent="0.35">
      <c r="A82" t="s">
        <v>33</v>
      </c>
      <c r="B82" t="s">
        <v>240</v>
      </c>
      <c r="C82" s="1">
        <v>45407</v>
      </c>
      <c r="D82" s="2">
        <v>7.3611111111111113E-2</v>
      </c>
      <c r="E82" t="s">
        <v>2</v>
      </c>
      <c r="F82" t="s">
        <v>60</v>
      </c>
      <c r="G82" s="3">
        <v>31.96</v>
      </c>
      <c r="H82" s="3">
        <v>4.79</v>
      </c>
    </row>
    <row r="83" spans="1:8" x14ac:dyDescent="0.35">
      <c r="A83" t="s">
        <v>33</v>
      </c>
      <c r="B83" t="s">
        <v>241</v>
      </c>
      <c r="C83" s="1">
        <v>45408</v>
      </c>
      <c r="D83" s="2">
        <v>3.125E-2</v>
      </c>
      <c r="E83" t="s">
        <v>2</v>
      </c>
      <c r="F83" t="s">
        <v>3</v>
      </c>
      <c r="G83" s="3">
        <v>25.39</v>
      </c>
      <c r="H83" s="3">
        <v>3.8</v>
      </c>
    </row>
    <row r="84" spans="1:8" x14ac:dyDescent="0.35">
      <c r="A84" t="s">
        <v>33</v>
      </c>
      <c r="B84" t="s">
        <v>242</v>
      </c>
      <c r="C84" s="1">
        <v>45408</v>
      </c>
      <c r="D84" s="2">
        <v>0.12986111111111112</v>
      </c>
      <c r="E84" t="s">
        <v>2</v>
      </c>
      <c r="F84" t="s">
        <v>3</v>
      </c>
      <c r="G84" s="3">
        <v>14.84</v>
      </c>
      <c r="H84" s="3">
        <v>2.2200000000000002</v>
      </c>
    </row>
    <row r="85" spans="1:8" x14ac:dyDescent="0.35">
      <c r="A85" t="s">
        <v>33</v>
      </c>
      <c r="B85" t="s">
        <v>243</v>
      </c>
      <c r="C85" s="1">
        <v>45408</v>
      </c>
      <c r="D85" s="2">
        <v>0.24861111111111112</v>
      </c>
      <c r="E85" t="s">
        <v>2</v>
      </c>
      <c r="F85" t="s">
        <v>3</v>
      </c>
      <c r="G85" s="3">
        <v>31.32</v>
      </c>
      <c r="H85" s="3">
        <v>4.6900000000000004</v>
      </c>
    </row>
    <row r="86" spans="1:8" x14ac:dyDescent="0.35">
      <c r="A86" t="s">
        <v>33</v>
      </c>
      <c r="B86" t="s">
        <v>244</v>
      </c>
      <c r="C86" s="1">
        <v>45409</v>
      </c>
      <c r="D86" s="2">
        <v>0.10972222222222222</v>
      </c>
      <c r="E86" t="s">
        <v>2</v>
      </c>
      <c r="F86" t="s">
        <v>3</v>
      </c>
      <c r="G86" s="3">
        <v>11.69</v>
      </c>
      <c r="H86" s="3">
        <v>1.75</v>
      </c>
    </row>
    <row r="87" spans="1:8" ht="15" thickBot="1" x14ac:dyDescent="0.4">
      <c r="A87" s="4" t="s">
        <v>33</v>
      </c>
      <c r="B87" s="4" t="s">
        <v>245</v>
      </c>
      <c r="C87" s="6">
        <v>45410</v>
      </c>
      <c r="D87" s="7">
        <v>0.21736111111111112</v>
      </c>
      <c r="E87" s="4" t="s">
        <v>2</v>
      </c>
      <c r="F87" s="4" t="s">
        <v>3</v>
      </c>
      <c r="G87" s="5">
        <v>22.18</v>
      </c>
      <c r="H87" s="5">
        <v>3.32</v>
      </c>
    </row>
    <row r="88" spans="1:8" ht="15" x14ac:dyDescent="0.25">
      <c r="A88" t="s">
        <v>413</v>
      </c>
      <c r="G88" s="9">
        <f>SUM(G71:G87)</f>
        <v>388.63999999999993</v>
      </c>
      <c r="H88" s="9">
        <f>SUM(H71:H87)</f>
        <v>58.199999999999996</v>
      </c>
    </row>
    <row r="92" spans="1:8" ht="15.75" thickBot="1" x14ac:dyDescent="0.3"/>
    <row r="93" spans="1:8" ht="15.75" thickBot="1" x14ac:dyDescent="0.3">
      <c r="A93" s="11" t="s">
        <v>411</v>
      </c>
      <c r="B93" s="12" t="s">
        <v>163</v>
      </c>
      <c r="C93" s="12" t="s">
        <v>165</v>
      </c>
      <c r="D93" s="12" t="s">
        <v>166</v>
      </c>
      <c r="E93" s="12" t="s">
        <v>164</v>
      </c>
      <c r="F93" s="12" t="s">
        <v>167</v>
      </c>
      <c r="G93" s="12" t="s">
        <v>412</v>
      </c>
      <c r="H93" s="13" t="s">
        <v>169</v>
      </c>
    </row>
    <row r="94" spans="1:8" x14ac:dyDescent="0.35">
      <c r="A94" t="s">
        <v>246</v>
      </c>
      <c r="B94" t="s">
        <v>247</v>
      </c>
      <c r="C94" s="1">
        <v>45407</v>
      </c>
      <c r="D94" s="2">
        <v>0.11597222222222221</v>
      </c>
      <c r="E94" t="s">
        <v>2</v>
      </c>
      <c r="F94" t="s">
        <v>3</v>
      </c>
      <c r="G94" s="3">
        <v>28.03</v>
      </c>
      <c r="H94" s="3">
        <v>4.2</v>
      </c>
    </row>
    <row r="95" spans="1:8" x14ac:dyDescent="0.35">
      <c r="A95" t="s">
        <v>246</v>
      </c>
      <c r="B95" t="s">
        <v>248</v>
      </c>
      <c r="C95" s="1">
        <v>45409</v>
      </c>
      <c r="D95" s="2">
        <v>7.6388888888888886E-3</v>
      </c>
      <c r="E95" t="s">
        <v>2</v>
      </c>
      <c r="F95" t="s">
        <v>3</v>
      </c>
      <c r="G95" s="3">
        <v>38.86</v>
      </c>
      <c r="H95" s="3">
        <v>5.82</v>
      </c>
    </row>
    <row r="96" spans="1:8" ht="15" thickBot="1" x14ac:dyDescent="0.4">
      <c r="A96" s="4" t="s">
        <v>246</v>
      </c>
      <c r="B96" s="4" t="s">
        <v>249</v>
      </c>
      <c r="C96" s="6">
        <v>45412</v>
      </c>
      <c r="D96" s="7">
        <v>7.4999999999999997E-2</v>
      </c>
      <c r="E96" s="4" t="s">
        <v>2</v>
      </c>
      <c r="F96" s="4" t="s">
        <v>3</v>
      </c>
      <c r="G96" s="5">
        <v>35.17</v>
      </c>
      <c r="H96" s="5">
        <v>5.26</v>
      </c>
    </row>
    <row r="97" spans="1:8" ht="15" x14ac:dyDescent="0.25">
      <c r="A97" t="s">
        <v>413</v>
      </c>
      <c r="G97" s="9">
        <f>SUM(G94:G96)</f>
        <v>102.06</v>
      </c>
      <c r="H97" s="9">
        <f>SUM(H94:H96)</f>
        <v>15.28</v>
      </c>
    </row>
    <row r="100" spans="1:8" ht="15.75" thickBot="1" x14ac:dyDescent="0.3"/>
    <row r="101" spans="1:8" ht="15.75" thickBot="1" x14ac:dyDescent="0.3">
      <c r="A101" s="11" t="s">
        <v>411</v>
      </c>
      <c r="B101" s="12" t="s">
        <v>163</v>
      </c>
      <c r="C101" s="12" t="s">
        <v>165</v>
      </c>
      <c r="D101" s="12" t="s">
        <v>166</v>
      </c>
      <c r="E101" s="12" t="s">
        <v>164</v>
      </c>
      <c r="F101" s="12" t="s">
        <v>167</v>
      </c>
      <c r="G101" s="12" t="s">
        <v>412</v>
      </c>
      <c r="H101" s="13" t="s">
        <v>169</v>
      </c>
    </row>
    <row r="102" spans="1:8" x14ac:dyDescent="0.35">
      <c r="A102" t="s">
        <v>40</v>
      </c>
      <c r="B102" t="s">
        <v>250</v>
      </c>
      <c r="C102" s="1">
        <v>45383</v>
      </c>
      <c r="D102" s="2">
        <v>1.8055555555555557E-2</v>
      </c>
      <c r="E102" t="s">
        <v>2</v>
      </c>
      <c r="F102" t="s">
        <v>3</v>
      </c>
      <c r="G102" s="3">
        <v>13.97</v>
      </c>
      <c r="H102" s="3">
        <v>2.09</v>
      </c>
    </row>
    <row r="103" spans="1:8" x14ac:dyDescent="0.35">
      <c r="A103" t="s">
        <v>40</v>
      </c>
      <c r="B103" t="s">
        <v>251</v>
      </c>
      <c r="C103" s="1">
        <v>45383</v>
      </c>
      <c r="D103" s="2">
        <v>7.4999999999999997E-2</v>
      </c>
      <c r="E103" t="s">
        <v>2</v>
      </c>
      <c r="F103" t="s">
        <v>3</v>
      </c>
      <c r="G103" s="3">
        <v>7.15</v>
      </c>
      <c r="H103" s="3">
        <v>1.07</v>
      </c>
    </row>
    <row r="104" spans="1:8" x14ac:dyDescent="0.35">
      <c r="A104" t="s">
        <v>40</v>
      </c>
      <c r="B104" t="s">
        <v>252</v>
      </c>
      <c r="C104" s="1">
        <v>45383</v>
      </c>
      <c r="D104" s="2">
        <v>0.35555555555555557</v>
      </c>
      <c r="E104" t="s">
        <v>2</v>
      </c>
      <c r="F104" t="s">
        <v>3</v>
      </c>
      <c r="G104" s="3">
        <v>7.15</v>
      </c>
      <c r="H104" s="3">
        <v>1.07</v>
      </c>
    </row>
    <row r="105" spans="1:8" x14ac:dyDescent="0.35">
      <c r="A105" t="s">
        <v>40</v>
      </c>
      <c r="B105" t="s">
        <v>253</v>
      </c>
      <c r="C105" s="1">
        <v>45383</v>
      </c>
      <c r="D105" s="2">
        <v>0.4680555555555555</v>
      </c>
      <c r="E105" t="s">
        <v>2</v>
      </c>
      <c r="F105" t="s">
        <v>3</v>
      </c>
      <c r="G105" s="3">
        <v>17.55</v>
      </c>
      <c r="H105" s="3">
        <v>2.63</v>
      </c>
    </row>
    <row r="106" spans="1:8" x14ac:dyDescent="0.35">
      <c r="A106" t="s">
        <v>40</v>
      </c>
      <c r="B106" t="s">
        <v>254</v>
      </c>
      <c r="C106" s="1">
        <v>45383</v>
      </c>
      <c r="D106" s="2">
        <v>0.74791666666666667</v>
      </c>
      <c r="E106" t="s">
        <v>2</v>
      </c>
      <c r="F106" t="s">
        <v>3</v>
      </c>
      <c r="G106" s="3">
        <v>34.75</v>
      </c>
      <c r="H106" s="3">
        <v>5.2</v>
      </c>
    </row>
    <row r="107" spans="1:8" x14ac:dyDescent="0.35">
      <c r="A107" t="s">
        <v>40</v>
      </c>
      <c r="B107" t="s">
        <v>255</v>
      </c>
      <c r="C107" s="1">
        <v>45383</v>
      </c>
      <c r="D107" s="2">
        <v>0.83194444444444438</v>
      </c>
      <c r="E107" t="s">
        <v>2</v>
      </c>
      <c r="F107" t="s">
        <v>3</v>
      </c>
      <c r="G107" s="3">
        <v>33.450000000000003</v>
      </c>
      <c r="H107" s="3">
        <v>5.01</v>
      </c>
    </row>
    <row r="108" spans="1:8" x14ac:dyDescent="0.35">
      <c r="A108" t="s">
        <v>40</v>
      </c>
      <c r="B108" t="s">
        <v>256</v>
      </c>
      <c r="C108" s="1">
        <v>45383</v>
      </c>
      <c r="D108" s="2">
        <v>0.86041666666666661</v>
      </c>
      <c r="E108" t="s">
        <v>2</v>
      </c>
      <c r="F108" t="s">
        <v>3</v>
      </c>
      <c r="G108" s="3">
        <v>6.82</v>
      </c>
      <c r="H108" s="3">
        <v>1.02</v>
      </c>
    </row>
    <row r="109" spans="1:8" x14ac:dyDescent="0.35">
      <c r="A109" t="s">
        <v>40</v>
      </c>
      <c r="B109" t="s">
        <v>257</v>
      </c>
      <c r="C109" s="1">
        <v>45383</v>
      </c>
      <c r="D109" s="2">
        <v>0.94513888888888886</v>
      </c>
      <c r="E109" t="s">
        <v>2</v>
      </c>
      <c r="F109" t="s">
        <v>3</v>
      </c>
      <c r="G109" s="3">
        <v>27.4</v>
      </c>
      <c r="H109" s="3">
        <v>4.0999999999999996</v>
      </c>
    </row>
    <row r="110" spans="1:8" x14ac:dyDescent="0.35">
      <c r="A110" t="s">
        <v>40</v>
      </c>
      <c r="B110" t="s">
        <v>258</v>
      </c>
      <c r="C110" s="1">
        <v>45384</v>
      </c>
      <c r="D110" s="2">
        <v>3.472222222222222E-3</v>
      </c>
      <c r="E110" t="s">
        <v>2</v>
      </c>
      <c r="F110" t="s">
        <v>3</v>
      </c>
      <c r="G110" s="3">
        <v>19.2</v>
      </c>
      <c r="H110" s="3">
        <v>2.88</v>
      </c>
    </row>
    <row r="111" spans="1:8" x14ac:dyDescent="0.35">
      <c r="A111" t="s">
        <v>40</v>
      </c>
      <c r="B111" t="s">
        <v>259</v>
      </c>
      <c r="C111" s="1">
        <v>45384</v>
      </c>
      <c r="D111" s="2">
        <v>5.8333333333333327E-2</v>
      </c>
      <c r="E111" t="s">
        <v>2</v>
      </c>
      <c r="F111" t="s">
        <v>3</v>
      </c>
      <c r="G111" s="3">
        <v>18.899999999999999</v>
      </c>
      <c r="H111" s="3">
        <v>2.83</v>
      </c>
    </row>
    <row r="112" spans="1:8" x14ac:dyDescent="0.35">
      <c r="A112" t="s">
        <v>40</v>
      </c>
      <c r="B112" t="s">
        <v>260</v>
      </c>
      <c r="C112" s="1">
        <v>45384</v>
      </c>
      <c r="D112" s="2">
        <v>0.38958333333333334</v>
      </c>
      <c r="E112" t="s">
        <v>2</v>
      </c>
      <c r="F112" t="s">
        <v>3</v>
      </c>
      <c r="G112" s="3">
        <v>28.35</v>
      </c>
      <c r="H112" s="3">
        <v>4.25</v>
      </c>
    </row>
    <row r="113" spans="1:8" x14ac:dyDescent="0.35">
      <c r="A113" t="s">
        <v>40</v>
      </c>
      <c r="B113" t="s">
        <v>261</v>
      </c>
      <c r="C113" s="1">
        <v>45384</v>
      </c>
      <c r="D113" s="2">
        <v>0.43888888888888888</v>
      </c>
      <c r="E113" t="s">
        <v>2</v>
      </c>
      <c r="F113" t="s">
        <v>3</v>
      </c>
      <c r="G113" s="3">
        <v>40.22</v>
      </c>
      <c r="H113" s="3">
        <v>6.02</v>
      </c>
    </row>
    <row r="114" spans="1:8" x14ac:dyDescent="0.35">
      <c r="A114" t="s">
        <v>40</v>
      </c>
      <c r="B114" t="s">
        <v>262</v>
      </c>
      <c r="C114" s="1">
        <v>45384</v>
      </c>
      <c r="D114" s="2">
        <v>0.8520833333333333</v>
      </c>
      <c r="E114" t="s">
        <v>2</v>
      </c>
      <c r="F114" t="s">
        <v>3</v>
      </c>
      <c r="G114" s="3">
        <v>19.12</v>
      </c>
      <c r="H114" s="3">
        <v>2.86</v>
      </c>
    </row>
    <row r="115" spans="1:8" x14ac:dyDescent="0.35">
      <c r="A115" t="s">
        <v>40</v>
      </c>
      <c r="B115" t="s">
        <v>263</v>
      </c>
      <c r="C115" s="1">
        <v>45384</v>
      </c>
      <c r="D115" s="2">
        <v>0.9</v>
      </c>
      <c r="E115" t="s">
        <v>2</v>
      </c>
      <c r="F115" t="s">
        <v>3</v>
      </c>
      <c r="G115" s="3">
        <v>18.899999999999999</v>
      </c>
      <c r="H115" s="3">
        <v>2.83</v>
      </c>
    </row>
    <row r="116" spans="1:8" x14ac:dyDescent="0.35">
      <c r="A116" t="s">
        <v>40</v>
      </c>
      <c r="B116" t="s">
        <v>264</v>
      </c>
      <c r="C116" s="1">
        <v>45384</v>
      </c>
      <c r="D116" s="2">
        <v>0.94166666666666676</v>
      </c>
      <c r="E116" t="s">
        <v>2</v>
      </c>
      <c r="F116" t="s">
        <v>3</v>
      </c>
      <c r="G116" s="3">
        <v>24.65</v>
      </c>
      <c r="H116" s="3">
        <v>3.69</v>
      </c>
    </row>
    <row r="117" spans="1:8" x14ac:dyDescent="0.35">
      <c r="A117" t="s">
        <v>40</v>
      </c>
      <c r="B117" t="s">
        <v>265</v>
      </c>
      <c r="C117" s="1">
        <v>45384</v>
      </c>
      <c r="D117" s="2">
        <v>0.97430555555555554</v>
      </c>
      <c r="E117" t="s">
        <v>2</v>
      </c>
      <c r="F117" t="s">
        <v>3</v>
      </c>
      <c r="G117" s="3">
        <v>17.850000000000001</v>
      </c>
      <c r="H117" s="3">
        <v>2.67</v>
      </c>
    </row>
    <row r="118" spans="1:8" x14ac:dyDescent="0.35">
      <c r="A118" t="s">
        <v>40</v>
      </c>
      <c r="B118" t="s">
        <v>266</v>
      </c>
      <c r="C118" s="1">
        <v>45384</v>
      </c>
      <c r="D118" s="2">
        <v>0.97430555555555554</v>
      </c>
      <c r="E118" t="s">
        <v>2</v>
      </c>
      <c r="F118" t="s">
        <v>3</v>
      </c>
      <c r="G118" s="3">
        <v>74</v>
      </c>
      <c r="H118" s="3">
        <v>11.08</v>
      </c>
    </row>
    <row r="119" spans="1:8" x14ac:dyDescent="0.35">
      <c r="A119" t="s">
        <v>40</v>
      </c>
      <c r="B119" t="s">
        <v>267</v>
      </c>
      <c r="C119" s="1">
        <v>45385</v>
      </c>
      <c r="D119" s="2">
        <v>3.472222222222222E-3</v>
      </c>
      <c r="E119" t="s">
        <v>2</v>
      </c>
      <c r="F119" t="s">
        <v>3</v>
      </c>
      <c r="G119" s="3">
        <v>17.05</v>
      </c>
      <c r="H119" s="3">
        <v>2.5499999999999998</v>
      </c>
    </row>
    <row r="120" spans="1:8" x14ac:dyDescent="0.35">
      <c r="A120" t="s">
        <v>40</v>
      </c>
      <c r="B120" t="s">
        <v>268</v>
      </c>
      <c r="C120" s="1">
        <v>45385</v>
      </c>
      <c r="D120" s="2">
        <v>9.5138888888888884E-2</v>
      </c>
      <c r="E120" t="s">
        <v>2</v>
      </c>
      <c r="F120" t="s">
        <v>3</v>
      </c>
      <c r="G120" s="3">
        <v>29.6</v>
      </c>
      <c r="H120" s="3">
        <v>4.43</v>
      </c>
    </row>
    <row r="121" spans="1:8" x14ac:dyDescent="0.35">
      <c r="A121" t="s">
        <v>40</v>
      </c>
      <c r="B121" t="s">
        <v>269</v>
      </c>
      <c r="C121" s="1">
        <v>45385</v>
      </c>
      <c r="D121" s="2">
        <v>0.22638888888888889</v>
      </c>
      <c r="E121" t="s">
        <v>2</v>
      </c>
      <c r="F121" t="s">
        <v>3</v>
      </c>
      <c r="G121" s="3">
        <v>25.07</v>
      </c>
      <c r="H121" s="3">
        <v>3.75</v>
      </c>
    </row>
    <row r="122" spans="1:8" x14ac:dyDescent="0.35">
      <c r="A122" t="s">
        <v>40</v>
      </c>
      <c r="B122" t="s">
        <v>270</v>
      </c>
      <c r="C122" s="1">
        <v>45385</v>
      </c>
      <c r="D122" s="2">
        <v>0.57708333333333328</v>
      </c>
      <c r="E122" t="s">
        <v>2</v>
      </c>
      <c r="F122" t="s">
        <v>3</v>
      </c>
      <c r="G122" s="3">
        <v>21.8</v>
      </c>
      <c r="H122" s="3">
        <v>3.27</v>
      </c>
    </row>
    <row r="123" spans="1:8" x14ac:dyDescent="0.35">
      <c r="A123" t="s">
        <v>40</v>
      </c>
      <c r="B123" t="s">
        <v>271</v>
      </c>
      <c r="C123" s="1">
        <v>45385</v>
      </c>
      <c r="D123" s="2">
        <v>0.61805555555555558</v>
      </c>
      <c r="E123" t="s">
        <v>2</v>
      </c>
      <c r="F123" t="s">
        <v>3</v>
      </c>
      <c r="G123" s="3">
        <v>89.25</v>
      </c>
      <c r="H123" s="3">
        <v>13.37</v>
      </c>
    </row>
    <row r="124" spans="1:8" x14ac:dyDescent="0.35">
      <c r="A124" t="s">
        <v>40</v>
      </c>
      <c r="B124" t="s">
        <v>272</v>
      </c>
      <c r="C124" s="1">
        <v>45385</v>
      </c>
      <c r="D124" s="2">
        <v>0.64444444444444449</v>
      </c>
      <c r="E124" t="s">
        <v>2</v>
      </c>
      <c r="F124" t="s">
        <v>3</v>
      </c>
      <c r="G124" s="3">
        <v>47.45</v>
      </c>
      <c r="H124" s="3">
        <v>7.11</v>
      </c>
    </row>
    <row r="125" spans="1:8" x14ac:dyDescent="0.35">
      <c r="A125" t="s">
        <v>40</v>
      </c>
      <c r="B125" t="s">
        <v>273</v>
      </c>
      <c r="C125" s="1">
        <v>45385</v>
      </c>
      <c r="D125" s="2">
        <v>0.7006944444444444</v>
      </c>
      <c r="E125" t="s">
        <v>2</v>
      </c>
      <c r="F125" t="s">
        <v>3</v>
      </c>
      <c r="G125" s="3">
        <v>44.95</v>
      </c>
      <c r="H125" s="3">
        <v>6.73</v>
      </c>
    </row>
    <row r="126" spans="1:8" x14ac:dyDescent="0.35">
      <c r="A126" t="s">
        <v>40</v>
      </c>
      <c r="B126" t="s">
        <v>274</v>
      </c>
      <c r="C126" s="1">
        <v>45385</v>
      </c>
      <c r="D126" s="2">
        <v>0.85416666666666663</v>
      </c>
      <c r="E126" t="s">
        <v>2</v>
      </c>
      <c r="F126" t="s">
        <v>3</v>
      </c>
      <c r="G126" s="3">
        <v>9.4499999999999993</v>
      </c>
      <c r="H126" s="3">
        <v>1.42</v>
      </c>
    </row>
    <row r="127" spans="1:8" x14ac:dyDescent="0.35">
      <c r="A127" t="s">
        <v>40</v>
      </c>
      <c r="B127" t="s">
        <v>275</v>
      </c>
      <c r="C127" s="1">
        <v>45385</v>
      </c>
      <c r="D127" s="2">
        <v>0.9604166666666667</v>
      </c>
      <c r="E127" t="s">
        <v>2</v>
      </c>
      <c r="F127" t="s">
        <v>3</v>
      </c>
      <c r="G127" s="3">
        <v>36.72</v>
      </c>
      <c r="H127" s="3">
        <v>5.5</v>
      </c>
    </row>
    <row r="128" spans="1:8" x14ac:dyDescent="0.35">
      <c r="A128" t="s">
        <v>40</v>
      </c>
      <c r="B128" t="s">
        <v>276</v>
      </c>
      <c r="C128" s="1">
        <v>45386</v>
      </c>
      <c r="D128" s="2">
        <v>4.7222222222222221E-2</v>
      </c>
      <c r="E128" t="s">
        <v>2</v>
      </c>
      <c r="F128" t="s">
        <v>3</v>
      </c>
      <c r="G128" s="3">
        <v>13.97</v>
      </c>
      <c r="H128" s="3">
        <v>2.09</v>
      </c>
    </row>
    <row r="129" spans="1:8" x14ac:dyDescent="0.35">
      <c r="A129" t="s">
        <v>40</v>
      </c>
      <c r="B129" t="s">
        <v>277</v>
      </c>
      <c r="C129" s="1">
        <v>45386</v>
      </c>
      <c r="D129" s="2">
        <v>0.15</v>
      </c>
      <c r="E129" t="s">
        <v>2</v>
      </c>
      <c r="F129" t="s">
        <v>3</v>
      </c>
      <c r="G129" s="3">
        <v>17.850000000000001</v>
      </c>
      <c r="H129" s="3">
        <v>2.67</v>
      </c>
    </row>
    <row r="130" spans="1:8" x14ac:dyDescent="0.35">
      <c r="A130" t="s">
        <v>40</v>
      </c>
      <c r="B130" t="s">
        <v>278</v>
      </c>
      <c r="C130" s="1">
        <v>45386</v>
      </c>
      <c r="D130" s="2">
        <v>0.79375000000000007</v>
      </c>
      <c r="E130" t="s">
        <v>2</v>
      </c>
      <c r="F130" t="s">
        <v>3</v>
      </c>
      <c r="G130" s="3">
        <v>10.7</v>
      </c>
      <c r="H130" s="3">
        <v>1.6</v>
      </c>
    </row>
    <row r="131" spans="1:8" x14ac:dyDescent="0.35">
      <c r="A131" t="s">
        <v>40</v>
      </c>
      <c r="B131" t="s">
        <v>279</v>
      </c>
      <c r="C131" s="1">
        <v>45386</v>
      </c>
      <c r="D131" s="2">
        <v>0.89166666666666661</v>
      </c>
      <c r="E131" t="s">
        <v>2</v>
      </c>
      <c r="F131" t="s">
        <v>3</v>
      </c>
      <c r="G131" s="3">
        <v>13.3</v>
      </c>
      <c r="H131" s="3">
        <v>1.99</v>
      </c>
    </row>
    <row r="132" spans="1:8" x14ac:dyDescent="0.35">
      <c r="A132" t="s">
        <v>40</v>
      </c>
      <c r="B132" t="s">
        <v>280</v>
      </c>
      <c r="C132" s="1">
        <v>45386</v>
      </c>
      <c r="D132" s="2">
        <v>0.97013888888888899</v>
      </c>
      <c r="E132" t="s">
        <v>2</v>
      </c>
      <c r="F132" t="s">
        <v>3</v>
      </c>
      <c r="G132" s="3">
        <v>14.3</v>
      </c>
      <c r="H132" s="3">
        <v>2.14</v>
      </c>
    </row>
    <row r="133" spans="1:8" x14ac:dyDescent="0.35">
      <c r="A133" t="s">
        <v>40</v>
      </c>
      <c r="B133" t="s">
        <v>281</v>
      </c>
      <c r="C133" s="1">
        <v>45386</v>
      </c>
      <c r="D133" s="2">
        <v>0.9819444444444444</v>
      </c>
      <c r="E133" t="s">
        <v>2</v>
      </c>
      <c r="F133" t="s">
        <v>3</v>
      </c>
      <c r="G133" s="3">
        <v>8.4</v>
      </c>
      <c r="H133" s="3">
        <v>1.26</v>
      </c>
    </row>
    <row r="134" spans="1:8" x14ac:dyDescent="0.35">
      <c r="A134" t="s">
        <v>40</v>
      </c>
      <c r="B134" t="s">
        <v>282</v>
      </c>
      <c r="C134" s="1">
        <v>45387</v>
      </c>
      <c r="D134" s="2">
        <v>7.9861111111111105E-2</v>
      </c>
      <c r="E134" t="s">
        <v>2</v>
      </c>
      <c r="F134" t="s">
        <v>3</v>
      </c>
      <c r="G134" s="3">
        <v>25.37</v>
      </c>
      <c r="H134" s="3">
        <v>3.8</v>
      </c>
    </row>
    <row r="135" spans="1:8" x14ac:dyDescent="0.35">
      <c r="A135" t="s">
        <v>40</v>
      </c>
      <c r="B135" t="s">
        <v>283</v>
      </c>
      <c r="C135" s="1">
        <v>45387</v>
      </c>
      <c r="D135" s="2">
        <v>7.3611111111111113E-2</v>
      </c>
      <c r="E135" t="s">
        <v>2</v>
      </c>
      <c r="F135" t="s">
        <v>3</v>
      </c>
      <c r="G135" s="3">
        <v>45.3</v>
      </c>
      <c r="H135" s="3">
        <v>6.78</v>
      </c>
    </row>
    <row r="136" spans="1:8" x14ac:dyDescent="0.35">
      <c r="A136" t="s">
        <v>40</v>
      </c>
      <c r="B136" t="s">
        <v>284</v>
      </c>
      <c r="C136" s="1">
        <v>45387</v>
      </c>
      <c r="D136" s="2">
        <v>0.15763888888888888</v>
      </c>
      <c r="E136" t="s">
        <v>2</v>
      </c>
      <c r="F136" t="s">
        <v>3</v>
      </c>
      <c r="G136" s="3">
        <v>16.600000000000001</v>
      </c>
      <c r="H136" s="3">
        <v>2.4900000000000002</v>
      </c>
    </row>
    <row r="137" spans="1:8" x14ac:dyDescent="0.35">
      <c r="A137" t="s">
        <v>40</v>
      </c>
      <c r="B137" t="s">
        <v>285</v>
      </c>
      <c r="C137" s="1">
        <v>45387</v>
      </c>
      <c r="D137" s="2">
        <v>0.4680555555555555</v>
      </c>
      <c r="E137" t="s">
        <v>2</v>
      </c>
      <c r="F137" t="s">
        <v>3</v>
      </c>
      <c r="G137" s="3">
        <v>13.55</v>
      </c>
      <c r="H137" s="3">
        <v>2.0299999999999998</v>
      </c>
    </row>
    <row r="138" spans="1:8" x14ac:dyDescent="0.35">
      <c r="A138" t="s">
        <v>40</v>
      </c>
      <c r="B138" t="s">
        <v>286</v>
      </c>
      <c r="C138" s="1">
        <v>45387</v>
      </c>
      <c r="D138" s="2">
        <v>0.94791666666666663</v>
      </c>
      <c r="E138" t="s">
        <v>2</v>
      </c>
      <c r="F138" t="s">
        <v>3</v>
      </c>
      <c r="G138" s="3">
        <v>12.05</v>
      </c>
      <c r="H138" s="3">
        <v>1.8</v>
      </c>
    </row>
    <row r="139" spans="1:8" x14ac:dyDescent="0.35">
      <c r="A139" t="s">
        <v>40</v>
      </c>
      <c r="B139" t="s">
        <v>287</v>
      </c>
      <c r="C139" s="1">
        <v>45388</v>
      </c>
      <c r="D139" s="2">
        <v>4.3055555555555562E-2</v>
      </c>
      <c r="E139" t="s">
        <v>2</v>
      </c>
      <c r="F139" t="s">
        <v>3</v>
      </c>
      <c r="G139" s="3">
        <v>19.05</v>
      </c>
      <c r="H139" s="3">
        <v>2.85</v>
      </c>
    </row>
    <row r="140" spans="1:8" x14ac:dyDescent="0.35">
      <c r="A140" t="s">
        <v>40</v>
      </c>
      <c r="B140" t="s">
        <v>288</v>
      </c>
      <c r="C140" s="1">
        <v>45388</v>
      </c>
      <c r="D140" s="2">
        <v>0.56041666666666667</v>
      </c>
      <c r="E140" t="s">
        <v>2</v>
      </c>
      <c r="F140" t="s">
        <v>3</v>
      </c>
      <c r="G140" s="3">
        <v>15.75</v>
      </c>
      <c r="H140" s="3">
        <v>2.36</v>
      </c>
    </row>
    <row r="141" spans="1:8" x14ac:dyDescent="0.35">
      <c r="A141" t="s">
        <v>40</v>
      </c>
      <c r="B141" t="s">
        <v>289</v>
      </c>
      <c r="C141" s="1">
        <v>45388</v>
      </c>
      <c r="D141" s="2">
        <v>0.8340277777777777</v>
      </c>
      <c r="E141" t="s">
        <v>2</v>
      </c>
      <c r="F141" t="s">
        <v>3</v>
      </c>
      <c r="G141" s="3">
        <v>40.299999999999997</v>
      </c>
      <c r="H141" s="3">
        <v>6.03</v>
      </c>
    </row>
    <row r="142" spans="1:8" x14ac:dyDescent="0.35">
      <c r="A142" t="s">
        <v>40</v>
      </c>
      <c r="B142" t="s">
        <v>290</v>
      </c>
      <c r="C142" s="1">
        <v>45389</v>
      </c>
      <c r="D142" s="2">
        <v>0.66249999999999998</v>
      </c>
      <c r="E142" t="s">
        <v>2</v>
      </c>
      <c r="F142" t="s">
        <v>3</v>
      </c>
      <c r="G142" s="3">
        <v>32.200000000000003</v>
      </c>
      <c r="H142" s="3">
        <v>4.82</v>
      </c>
    </row>
    <row r="143" spans="1:8" x14ac:dyDescent="0.35">
      <c r="A143" t="s">
        <v>40</v>
      </c>
      <c r="B143" t="s">
        <v>291</v>
      </c>
      <c r="C143" s="1">
        <v>45389</v>
      </c>
      <c r="D143" s="2">
        <v>0.67847222222222225</v>
      </c>
      <c r="E143" t="s">
        <v>2</v>
      </c>
      <c r="F143" t="s">
        <v>3</v>
      </c>
      <c r="G143" s="3">
        <v>26.95</v>
      </c>
      <c r="H143" s="3">
        <v>4.04</v>
      </c>
    </row>
    <row r="144" spans="1:8" x14ac:dyDescent="0.35">
      <c r="A144" t="s">
        <v>40</v>
      </c>
      <c r="B144" t="s">
        <v>292</v>
      </c>
      <c r="C144" s="1">
        <v>45390</v>
      </c>
      <c r="D144" s="2">
        <v>2.4999999999999998E-2</v>
      </c>
      <c r="E144" t="s">
        <v>2</v>
      </c>
      <c r="F144" t="s">
        <v>3</v>
      </c>
      <c r="G144" s="3">
        <v>31.2</v>
      </c>
      <c r="H144" s="3">
        <v>4.67</v>
      </c>
    </row>
    <row r="145" spans="1:8" x14ac:dyDescent="0.35">
      <c r="A145" t="s">
        <v>40</v>
      </c>
      <c r="B145" t="s">
        <v>293</v>
      </c>
      <c r="C145" s="1">
        <v>45391</v>
      </c>
      <c r="D145" s="2">
        <v>2.7777777777777779E-3</v>
      </c>
      <c r="E145" t="s">
        <v>2</v>
      </c>
      <c r="F145" t="s">
        <v>3</v>
      </c>
      <c r="G145" s="3">
        <v>14.3</v>
      </c>
      <c r="H145" s="3">
        <v>2.14</v>
      </c>
    </row>
    <row r="146" spans="1:8" x14ac:dyDescent="0.35">
      <c r="A146" t="s">
        <v>40</v>
      </c>
      <c r="B146" t="s">
        <v>294</v>
      </c>
      <c r="C146" s="1">
        <v>45391</v>
      </c>
      <c r="D146" s="2">
        <v>0.16180555555555556</v>
      </c>
      <c r="E146" t="s">
        <v>2</v>
      </c>
      <c r="F146" t="s">
        <v>3</v>
      </c>
      <c r="G146" s="3">
        <v>38.85</v>
      </c>
      <c r="H146" s="3">
        <v>5.82</v>
      </c>
    </row>
    <row r="147" spans="1:8" x14ac:dyDescent="0.35">
      <c r="A147" t="s">
        <v>40</v>
      </c>
      <c r="B147" t="s">
        <v>295</v>
      </c>
      <c r="C147" s="1">
        <v>45391</v>
      </c>
      <c r="D147" s="2">
        <v>0.7597222222222223</v>
      </c>
      <c r="E147" t="s">
        <v>2</v>
      </c>
      <c r="F147" t="s">
        <v>3</v>
      </c>
      <c r="G147" s="3">
        <v>19.05</v>
      </c>
      <c r="H147" s="3">
        <v>2.85</v>
      </c>
    </row>
    <row r="148" spans="1:8" x14ac:dyDescent="0.35">
      <c r="A148" t="s">
        <v>40</v>
      </c>
      <c r="B148" t="s">
        <v>296</v>
      </c>
      <c r="C148" s="1">
        <v>45391</v>
      </c>
      <c r="D148" s="2">
        <v>0.92222222222222217</v>
      </c>
      <c r="E148" t="s">
        <v>2</v>
      </c>
      <c r="F148" t="s">
        <v>3</v>
      </c>
      <c r="G148" s="3">
        <v>9.4499999999999993</v>
      </c>
      <c r="H148" s="3">
        <v>1.42</v>
      </c>
    </row>
    <row r="149" spans="1:8" x14ac:dyDescent="0.35">
      <c r="A149" t="s">
        <v>40</v>
      </c>
      <c r="B149" t="s">
        <v>297</v>
      </c>
      <c r="C149" s="1">
        <v>45391</v>
      </c>
      <c r="D149" s="2">
        <v>0.96180555555555547</v>
      </c>
      <c r="E149" t="s">
        <v>2</v>
      </c>
      <c r="F149" t="s">
        <v>3</v>
      </c>
      <c r="G149" s="3">
        <v>71.900000000000006</v>
      </c>
      <c r="H149" s="3">
        <v>10.77</v>
      </c>
    </row>
    <row r="150" spans="1:8" x14ac:dyDescent="0.35">
      <c r="A150" t="s">
        <v>40</v>
      </c>
      <c r="B150" t="s">
        <v>298</v>
      </c>
      <c r="C150" s="1">
        <v>45392</v>
      </c>
      <c r="D150" s="2">
        <v>0.23263888888888887</v>
      </c>
      <c r="E150" t="s">
        <v>2</v>
      </c>
      <c r="F150" t="s">
        <v>3</v>
      </c>
      <c r="G150" s="3">
        <v>34.549999999999997</v>
      </c>
      <c r="H150" s="3">
        <v>5.17</v>
      </c>
    </row>
    <row r="151" spans="1:8" x14ac:dyDescent="0.35">
      <c r="A151" t="s">
        <v>40</v>
      </c>
      <c r="B151" t="s">
        <v>299</v>
      </c>
      <c r="C151" s="1">
        <v>45392</v>
      </c>
      <c r="D151" s="2">
        <v>0.2722222222222222</v>
      </c>
      <c r="E151" t="s">
        <v>2</v>
      </c>
      <c r="F151" t="s">
        <v>3</v>
      </c>
      <c r="G151" s="3">
        <v>16.27</v>
      </c>
      <c r="H151" s="3">
        <v>2.44</v>
      </c>
    </row>
    <row r="152" spans="1:8" x14ac:dyDescent="0.35">
      <c r="A152" t="s">
        <v>40</v>
      </c>
      <c r="B152" t="s">
        <v>300</v>
      </c>
      <c r="C152" s="1">
        <v>45393</v>
      </c>
      <c r="D152" s="2">
        <v>8.1250000000000003E-2</v>
      </c>
      <c r="E152" t="s">
        <v>2</v>
      </c>
      <c r="F152" t="s">
        <v>58</v>
      </c>
      <c r="G152" s="3">
        <v>26.05</v>
      </c>
      <c r="H152" s="3">
        <v>3.9</v>
      </c>
    </row>
    <row r="153" spans="1:8" x14ac:dyDescent="0.35">
      <c r="A153" t="s">
        <v>40</v>
      </c>
      <c r="B153" t="s">
        <v>301</v>
      </c>
      <c r="C153" s="1">
        <v>45393</v>
      </c>
      <c r="D153" s="2">
        <v>0.6777777777777777</v>
      </c>
      <c r="E153" t="s">
        <v>2</v>
      </c>
      <c r="F153" t="s">
        <v>3</v>
      </c>
      <c r="G153" s="3">
        <v>26.35</v>
      </c>
      <c r="H153" s="3">
        <v>3.95</v>
      </c>
    </row>
    <row r="154" spans="1:8" x14ac:dyDescent="0.35">
      <c r="A154" t="s">
        <v>40</v>
      </c>
      <c r="B154" t="s">
        <v>302</v>
      </c>
      <c r="C154" s="1">
        <v>45394</v>
      </c>
      <c r="D154" s="2">
        <v>0.18888888888888888</v>
      </c>
      <c r="E154" t="s">
        <v>2</v>
      </c>
      <c r="F154" t="s">
        <v>3</v>
      </c>
      <c r="G154" s="3">
        <v>55.1</v>
      </c>
      <c r="H154" s="3">
        <v>8.25</v>
      </c>
    </row>
    <row r="155" spans="1:8" x14ac:dyDescent="0.35">
      <c r="A155" t="s">
        <v>40</v>
      </c>
      <c r="B155" t="s">
        <v>303</v>
      </c>
      <c r="C155" s="1">
        <v>45394</v>
      </c>
      <c r="D155" s="2">
        <v>0.8305555555555556</v>
      </c>
      <c r="E155" t="s">
        <v>2</v>
      </c>
      <c r="F155" t="s">
        <v>3</v>
      </c>
      <c r="G155" s="3">
        <v>89</v>
      </c>
      <c r="H155" s="3">
        <v>13.33</v>
      </c>
    </row>
    <row r="156" spans="1:8" x14ac:dyDescent="0.35">
      <c r="A156" t="s">
        <v>40</v>
      </c>
      <c r="B156" t="s">
        <v>304</v>
      </c>
      <c r="C156" s="1">
        <v>45394</v>
      </c>
      <c r="D156" s="2">
        <v>0.8569444444444444</v>
      </c>
      <c r="E156" t="s">
        <v>2</v>
      </c>
      <c r="F156" t="s">
        <v>3</v>
      </c>
      <c r="G156" s="3">
        <v>19.05</v>
      </c>
      <c r="H156" s="3">
        <v>2.85</v>
      </c>
    </row>
    <row r="157" spans="1:8" x14ac:dyDescent="0.35">
      <c r="A157" t="s">
        <v>40</v>
      </c>
      <c r="B157" t="s">
        <v>305</v>
      </c>
      <c r="C157" s="1">
        <v>45394</v>
      </c>
      <c r="D157" s="2">
        <v>0.98125000000000007</v>
      </c>
      <c r="E157" t="s">
        <v>2</v>
      </c>
      <c r="F157" t="s">
        <v>3</v>
      </c>
      <c r="G157" s="3">
        <v>21.5</v>
      </c>
      <c r="H157" s="3">
        <v>3.22</v>
      </c>
    </row>
    <row r="158" spans="1:8" x14ac:dyDescent="0.35">
      <c r="A158" t="s">
        <v>40</v>
      </c>
      <c r="B158" t="s">
        <v>306</v>
      </c>
      <c r="C158" s="1">
        <v>45395</v>
      </c>
      <c r="D158" s="2">
        <v>0.61249999999999993</v>
      </c>
      <c r="E158" t="s">
        <v>2</v>
      </c>
      <c r="F158" t="s">
        <v>3</v>
      </c>
      <c r="G158" s="3">
        <v>13.95</v>
      </c>
      <c r="H158" s="3">
        <v>2.09</v>
      </c>
    </row>
    <row r="159" spans="1:8" x14ac:dyDescent="0.35">
      <c r="A159" t="s">
        <v>40</v>
      </c>
      <c r="B159" t="s">
        <v>307</v>
      </c>
      <c r="C159" s="1">
        <v>45395</v>
      </c>
      <c r="D159" s="2">
        <v>0.7895833333333333</v>
      </c>
      <c r="E159" t="s">
        <v>2</v>
      </c>
      <c r="F159" t="s">
        <v>3</v>
      </c>
      <c r="G159" s="3">
        <v>16.75</v>
      </c>
      <c r="H159" s="3">
        <v>2.5099999999999998</v>
      </c>
    </row>
    <row r="160" spans="1:8" x14ac:dyDescent="0.35">
      <c r="A160" t="s">
        <v>40</v>
      </c>
      <c r="B160" t="s">
        <v>308</v>
      </c>
      <c r="C160" s="1">
        <v>45395</v>
      </c>
      <c r="D160" s="2">
        <v>0.93958333333333333</v>
      </c>
      <c r="E160" t="s">
        <v>2</v>
      </c>
      <c r="F160" t="s">
        <v>3</v>
      </c>
      <c r="G160" s="3">
        <v>42.62</v>
      </c>
      <c r="H160" s="3">
        <v>6.39</v>
      </c>
    </row>
    <row r="161" spans="1:8" x14ac:dyDescent="0.35">
      <c r="A161" t="s">
        <v>40</v>
      </c>
      <c r="B161" t="s">
        <v>309</v>
      </c>
      <c r="C161" s="1">
        <v>45396</v>
      </c>
      <c r="D161" s="2">
        <v>0.80486111111111114</v>
      </c>
      <c r="E161" t="s">
        <v>2</v>
      </c>
      <c r="F161" t="s">
        <v>3</v>
      </c>
      <c r="G161" s="3">
        <v>10.95</v>
      </c>
      <c r="H161" s="3">
        <v>1.64</v>
      </c>
    </row>
    <row r="162" spans="1:8" x14ac:dyDescent="0.35">
      <c r="A162" t="s">
        <v>40</v>
      </c>
      <c r="B162" t="s">
        <v>310</v>
      </c>
      <c r="C162" s="1">
        <v>45396</v>
      </c>
      <c r="D162" s="2">
        <v>0.8125</v>
      </c>
      <c r="E162" t="s">
        <v>2</v>
      </c>
      <c r="F162" t="s">
        <v>3</v>
      </c>
      <c r="G162" s="3">
        <v>25</v>
      </c>
      <c r="H162" s="3">
        <v>3.74</v>
      </c>
    </row>
    <row r="163" spans="1:8" x14ac:dyDescent="0.35">
      <c r="A163" t="s">
        <v>40</v>
      </c>
      <c r="B163" t="s">
        <v>311</v>
      </c>
      <c r="C163" s="1">
        <v>45397</v>
      </c>
      <c r="D163" s="2">
        <v>0.13749999999999998</v>
      </c>
      <c r="E163" t="s">
        <v>2</v>
      </c>
      <c r="F163" t="s">
        <v>3</v>
      </c>
      <c r="G163" s="3">
        <v>9.4499999999999993</v>
      </c>
      <c r="H163" s="3">
        <v>1.42</v>
      </c>
    </row>
    <row r="164" spans="1:8" x14ac:dyDescent="0.35">
      <c r="A164" t="s">
        <v>40</v>
      </c>
      <c r="B164" t="s">
        <v>312</v>
      </c>
      <c r="C164" s="1">
        <v>45397</v>
      </c>
      <c r="D164" s="2">
        <v>0.48055555555555557</v>
      </c>
      <c r="E164" t="s">
        <v>2</v>
      </c>
      <c r="F164" t="s">
        <v>3</v>
      </c>
      <c r="G164" s="3">
        <v>29.65</v>
      </c>
      <c r="H164" s="3">
        <v>4.4400000000000004</v>
      </c>
    </row>
    <row r="165" spans="1:8" x14ac:dyDescent="0.35">
      <c r="A165" t="s">
        <v>40</v>
      </c>
      <c r="B165" t="s">
        <v>313</v>
      </c>
      <c r="C165" s="1">
        <v>45397</v>
      </c>
      <c r="D165" s="2">
        <v>0.75555555555555554</v>
      </c>
      <c r="E165" t="s">
        <v>2</v>
      </c>
      <c r="F165" t="s">
        <v>3</v>
      </c>
      <c r="G165" s="3">
        <v>22.72</v>
      </c>
      <c r="H165" s="3">
        <v>3.4</v>
      </c>
    </row>
    <row r="166" spans="1:8" x14ac:dyDescent="0.35">
      <c r="A166" t="s">
        <v>40</v>
      </c>
      <c r="B166" t="s">
        <v>314</v>
      </c>
      <c r="C166" s="1">
        <v>45397</v>
      </c>
      <c r="D166" s="2">
        <v>0.86805555555555547</v>
      </c>
      <c r="E166" t="s">
        <v>2</v>
      </c>
      <c r="F166" t="s">
        <v>3</v>
      </c>
      <c r="G166" s="3">
        <v>28.12</v>
      </c>
      <c r="H166" s="3">
        <v>4.21</v>
      </c>
    </row>
    <row r="167" spans="1:8" x14ac:dyDescent="0.35">
      <c r="A167" t="s">
        <v>40</v>
      </c>
      <c r="B167" t="s">
        <v>315</v>
      </c>
      <c r="C167" s="1">
        <v>45397</v>
      </c>
      <c r="D167" s="2">
        <v>0.93194444444444446</v>
      </c>
      <c r="E167" t="s">
        <v>2</v>
      </c>
      <c r="F167" t="s">
        <v>3</v>
      </c>
      <c r="G167" s="3">
        <v>35.08</v>
      </c>
      <c r="H167" s="3">
        <v>5.25</v>
      </c>
    </row>
    <row r="168" spans="1:8" x14ac:dyDescent="0.35">
      <c r="A168" t="s">
        <v>40</v>
      </c>
      <c r="B168" t="s">
        <v>316</v>
      </c>
      <c r="C168" s="1">
        <v>45398</v>
      </c>
      <c r="D168" s="2">
        <v>0.24027777777777778</v>
      </c>
      <c r="E168" t="s">
        <v>2</v>
      </c>
      <c r="F168" t="s">
        <v>3</v>
      </c>
      <c r="G168" s="3">
        <v>14.3</v>
      </c>
      <c r="H168" s="3">
        <v>2.14</v>
      </c>
    </row>
    <row r="169" spans="1:8" x14ac:dyDescent="0.35">
      <c r="A169" t="s">
        <v>40</v>
      </c>
      <c r="B169" t="s">
        <v>317</v>
      </c>
      <c r="C169" s="1">
        <v>45398</v>
      </c>
      <c r="D169" s="2">
        <v>0.8930555555555556</v>
      </c>
      <c r="E169" t="s">
        <v>2</v>
      </c>
      <c r="F169" t="s">
        <v>3</v>
      </c>
      <c r="G169" s="3">
        <v>12.35</v>
      </c>
      <c r="H169" s="3">
        <v>1.85</v>
      </c>
    </row>
    <row r="170" spans="1:8" x14ac:dyDescent="0.35">
      <c r="A170" t="s">
        <v>40</v>
      </c>
      <c r="B170" t="s">
        <v>318</v>
      </c>
      <c r="C170" s="1">
        <v>45398</v>
      </c>
      <c r="D170" s="2">
        <v>0.92638888888888893</v>
      </c>
      <c r="E170" t="s">
        <v>2</v>
      </c>
      <c r="F170" t="s">
        <v>3</v>
      </c>
      <c r="G170" s="3">
        <v>28.65</v>
      </c>
      <c r="H170" s="3">
        <v>4.29</v>
      </c>
    </row>
    <row r="171" spans="1:8" x14ac:dyDescent="0.35">
      <c r="A171" t="s">
        <v>40</v>
      </c>
      <c r="B171" t="s">
        <v>319</v>
      </c>
      <c r="C171" s="1">
        <v>45398</v>
      </c>
      <c r="D171" s="2">
        <v>0.99305555555555547</v>
      </c>
      <c r="E171" t="s">
        <v>2</v>
      </c>
      <c r="F171" t="s">
        <v>3</v>
      </c>
      <c r="G171" s="3">
        <v>18.899999999999999</v>
      </c>
      <c r="H171" s="3">
        <v>2.83</v>
      </c>
    </row>
    <row r="172" spans="1:8" x14ac:dyDescent="0.35">
      <c r="A172" t="s">
        <v>40</v>
      </c>
      <c r="B172" t="s">
        <v>320</v>
      </c>
      <c r="C172" s="1">
        <v>45399</v>
      </c>
      <c r="D172" s="2">
        <v>0.84722222222222221</v>
      </c>
      <c r="E172" t="s">
        <v>2</v>
      </c>
      <c r="F172" t="s">
        <v>3</v>
      </c>
      <c r="G172" s="3">
        <v>25</v>
      </c>
      <c r="H172" s="3">
        <v>3.74</v>
      </c>
    </row>
    <row r="173" spans="1:8" x14ac:dyDescent="0.35">
      <c r="A173" t="s">
        <v>40</v>
      </c>
      <c r="B173" t="s">
        <v>321</v>
      </c>
      <c r="C173" s="1">
        <v>45399</v>
      </c>
      <c r="D173" s="2">
        <v>0.92222222222222217</v>
      </c>
      <c r="E173" t="s">
        <v>2</v>
      </c>
      <c r="F173" t="s">
        <v>3</v>
      </c>
      <c r="G173" s="3">
        <v>37.450000000000003</v>
      </c>
      <c r="H173" s="3">
        <v>5.61</v>
      </c>
    </row>
    <row r="174" spans="1:8" x14ac:dyDescent="0.35">
      <c r="A174" t="s">
        <v>40</v>
      </c>
      <c r="B174" t="s">
        <v>322</v>
      </c>
      <c r="C174" s="1">
        <v>45400</v>
      </c>
      <c r="D174" s="2">
        <v>0.37916666666666665</v>
      </c>
      <c r="E174" t="s">
        <v>2</v>
      </c>
      <c r="F174" t="s">
        <v>3</v>
      </c>
      <c r="G174" s="3">
        <v>91.6</v>
      </c>
      <c r="H174" s="3">
        <v>13.72</v>
      </c>
    </row>
    <row r="175" spans="1:8" x14ac:dyDescent="0.35">
      <c r="A175" t="s">
        <v>40</v>
      </c>
      <c r="B175" t="s">
        <v>323</v>
      </c>
      <c r="C175" s="1">
        <v>45400</v>
      </c>
      <c r="D175" s="2">
        <v>0.93055555555555547</v>
      </c>
      <c r="E175" t="s">
        <v>2</v>
      </c>
      <c r="F175" t="s">
        <v>3</v>
      </c>
      <c r="G175" s="3">
        <v>41.31</v>
      </c>
      <c r="H175" s="3">
        <v>6.19</v>
      </c>
    </row>
    <row r="176" spans="1:8" x14ac:dyDescent="0.35">
      <c r="A176" t="s">
        <v>40</v>
      </c>
      <c r="B176" t="s">
        <v>324</v>
      </c>
      <c r="C176" s="1">
        <v>45401</v>
      </c>
      <c r="D176" s="2">
        <v>0.54722222222222217</v>
      </c>
      <c r="E176" t="s">
        <v>2</v>
      </c>
      <c r="F176" t="s">
        <v>3</v>
      </c>
      <c r="G176" s="3">
        <v>25.7</v>
      </c>
      <c r="H176" s="3">
        <v>3.84</v>
      </c>
    </row>
    <row r="177" spans="1:8" x14ac:dyDescent="0.35">
      <c r="A177" t="s">
        <v>40</v>
      </c>
      <c r="B177" t="s">
        <v>325</v>
      </c>
      <c r="C177" s="1">
        <v>45401</v>
      </c>
      <c r="D177" s="2">
        <v>0.62291666666666667</v>
      </c>
      <c r="E177" t="s">
        <v>2</v>
      </c>
      <c r="F177" t="s">
        <v>3</v>
      </c>
      <c r="G177" s="3">
        <v>74</v>
      </c>
      <c r="H177" s="3">
        <v>11.08</v>
      </c>
    </row>
    <row r="178" spans="1:8" x14ac:dyDescent="0.35">
      <c r="A178" t="s">
        <v>40</v>
      </c>
      <c r="B178" t="s">
        <v>326</v>
      </c>
      <c r="C178" s="1">
        <v>45401</v>
      </c>
      <c r="D178" s="2">
        <v>0.81319444444444444</v>
      </c>
      <c r="E178" t="s">
        <v>2</v>
      </c>
      <c r="F178" t="s">
        <v>3</v>
      </c>
      <c r="G178" s="3">
        <v>40.14</v>
      </c>
      <c r="H178" s="3">
        <v>6.01</v>
      </c>
    </row>
    <row r="179" spans="1:8" x14ac:dyDescent="0.35">
      <c r="A179" t="s">
        <v>40</v>
      </c>
      <c r="B179" t="s">
        <v>327</v>
      </c>
      <c r="C179" s="1">
        <v>45401</v>
      </c>
      <c r="D179" s="2">
        <v>0.98055555555555562</v>
      </c>
      <c r="E179" t="s">
        <v>2</v>
      </c>
      <c r="F179" t="s">
        <v>3</v>
      </c>
      <c r="G179" s="3">
        <v>28.35</v>
      </c>
      <c r="H179" s="3">
        <v>4.25</v>
      </c>
    </row>
    <row r="180" spans="1:8" x14ac:dyDescent="0.35">
      <c r="A180" t="s">
        <v>40</v>
      </c>
      <c r="B180" t="s">
        <v>328</v>
      </c>
      <c r="C180" s="1">
        <v>45402</v>
      </c>
      <c r="D180" s="2">
        <v>0.17083333333333331</v>
      </c>
      <c r="E180" t="s">
        <v>2</v>
      </c>
      <c r="F180" t="s">
        <v>3</v>
      </c>
      <c r="G180" s="3">
        <v>42.9</v>
      </c>
      <c r="H180" s="3">
        <v>6.42</v>
      </c>
    </row>
    <row r="181" spans="1:8" x14ac:dyDescent="0.35">
      <c r="A181" t="s">
        <v>40</v>
      </c>
      <c r="B181" t="s">
        <v>329</v>
      </c>
      <c r="C181" s="1">
        <v>45402</v>
      </c>
      <c r="D181" s="2">
        <v>0.86597222222222225</v>
      </c>
      <c r="E181" t="s">
        <v>2</v>
      </c>
      <c r="F181" t="s">
        <v>3</v>
      </c>
      <c r="G181" s="3">
        <v>10</v>
      </c>
      <c r="H181" s="3">
        <v>1.5</v>
      </c>
    </row>
    <row r="182" spans="1:8" x14ac:dyDescent="0.35">
      <c r="A182" t="s">
        <v>40</v>
      </c>
      <c r="B182" t="s">
        <v>330</v>
      </c>
      <c r="C182" s="1">
        <v>45402</v>
      </c>
      <c r="D182" s="2">
        <v>0.9277777777777777</v>
      </c>
      <c r="E182" t="s">
        <v>2</v>
      </c>
      <c r="F182" t="s">
        <v>3</v>
      </c>
      <c r="G182" s="3">
        <v>18.899999999999999</v>
      </c>
      <c r="H182" s="3">
        <v>2.83</v>
      </c>
    </row>
    <row r="183" spans="1:8" x14ac:dyDescent="0.35">
      <c r="A183" t="s">
        <v>40</v>
      </c>
      <c r="B183" t="s">
        <v>331</v>
      </c>
      <c r="C183" s="1">
        <v>45402</v>
      </c>
      <c r="D183" s="2">
        <v>0.96944444444444444</v>
      </c>
      <c r="E183" t="s">
        <v>2</v>
      </c>
      <c r="F183" t="s">
        <v>3</v>
      </c>
      <c r="G183" s="3">
        <v>16.600000000000001</v>
      </c>
      <c r="H183" s="3">
        <v>2.4900000000000002</v>
      </c>
    </row>
    <row r="184" spans="1:8" x14ac:dyDescent="0.35">
      <c r="A184" t="s">
        <v>40</v>
      </c>
      <c r="B184" t="s">
        <v>332</v>
      </c>
      <c r="C184" s="1">
        <v>45403</v>
      </c>
      <c r="D184" s="2">
        <v>7.6388888888888886E-3</v>
      </c>
      <c r="E184" t="s">
        <v>2</v>
      </c>
      <c r="F184" t="s">
        <v>3</v>
      </c>
      <c r="G184" s="3">
        <v>33.35</v>
      </c>
      <c r="H184" s="3">
        <v>5</v>
      </c>
    </row>
    <row r="185" spans="1:8" x14ac:dyDescent="0.35">
      <c r="A185" t="s">
        <v>40</v>
      </c>
      <c r="B185" t="s">
        <v>333</v>
      </c>
      <c r="C185" s="1">
        <v>45403</v>
      </c>
      <c r="D185" s="2">
        <v>0.17222222222222225</v>
      </c>
      <c r="E185" t="s">
        <v>2</v>
      </c>
      <c r="F185" t="s">
        <v>3</v>
      </c>
      <c r="G185" s="3">
        <v>14.5</v>
      </c>
      <c r="H185" s="3">
        <v>2.17</v>
      </c>
    </row>
    <row r="186" spans="1:8" x14ac:dyDescent="0.35">
      <c r="A186" t="s">
        <v>40</v>
      </c>
      <c r="B186" t="s">
        <v>334</v>
      </c>
      <c r="C186" s="1">
        <v>45403</v>
      </c>
      <c r="D186" s="2">
        <v>0.20833333333333334</v>
      </c>
      <c r="E186" t="s">
        <v>2</v>
      </c>
      <c r="F186" t="s">
        <v>3</v>
      </c>
      <c r="G186" s="3">
        <v>27.35</v>
      </c>
      <c r="H186" s="3">
        <v>4.0999999999999996</v>
      </c>
    </row>
    <row r="187" spans="1:8" x14ac:dyDescent="0.35">
      <c r="A187" t="s">
        <v>40</v>
      </c>
      <c r="B187" t="s">
        <v>335</v>
      </c>
      <c r="C187" s="1">
        <v>45403</v>
      </c>
      <c r="D187" s="2">
        <v>0.28541666666666665</v>
      </c>
      <c r="E187" t="s">
        <v>2</v>
      </c>
      <c r="F187" t="s">
        <v>3</v>
      </c>
      <c r="G187" s="3">
        <v>34.96</v>
      </c>
      <c r="H187" s="3">
        <v>5.24</v>
      </c>
    </row>
    <row r="188" spans="1:8" x14ac:dyDescent="0.35">
      <c r="A188" t="s">
        <v>40</v>
      </c>
      <c r="B188" t="s">
        <v>336</v>
      </c>
      <c r="C188" s="1">
        <v>45403</v>
      </c>
      <c r="D188" s="2">
        <v>0.6694444444444444</v>
      </c>
      <c r="E188" t="s">
        <v>2</v>
      </c>
      <c r="F188" t="s">
        <v>3</v>
      </c>
      <c r="G188" s="3">
        <v>17.55</v>
      </c>
      <c r="H188" s="3">
        <v>2.63</v>
      </c>
    </row>
    <row r="189" spans="1:8" x14ac:dyDescent="0.35">
      <c r="A189" t="s">
        <v>40</v>
      </c>
      <c r="B189" t="s">
        <v>337</v>
      </c>
      <c r="C189" s="1">
        <v>45403</v>
      </c>
      <c r="D189" s="2">
        <v>0.81388888888888899</v>
      </c>
      <c r="E189" t="s">
        <v>2</v>
      </c>
      <c r="F189" t="s">
        <v>3</v>
      </c>
      <c r="G189" s="3">
        <v>15.81</v>
      </c>
      <c r="H189" s="3">
        <v>2.37</v>
      </c>
    </row>
    <row r="190" spans="1:8" x14ac:dyDescent="0.35">
      <c r="A190" t="s">
        <v>40</v>
      </c>
      <c r="B190" t="s">
        <v>338</v>
      </c>
      <c r="C190" s="1">
        <v>45403</v>
      </c>
      <c r="D190" s="2">
        <v>0.9291666666666667</v>
      </c>
      <c r="E190" t="s">
        <v>2</v>
      </c>
      <c r="F190" t="s">
        <v>3</v>
      </c>
      <c r="G190" s="3">
        <v>15.97</v>
      </c>
      <c r="H190" s="3">
        <v>2.39</v>
      </c>
    </row>
    <row r="191" spans="1:8" x14ac:dyDescent="0.35">
      <c r="A191" t="s">
        <v>40</v>
      </c>
      <c r="B191" t="s">
        <v>339</v>
      </c>
      <c r="C191" s="1">
        <v>45404</v>
      </c>
      <c r="D191" s="2">
        <v>0.15069444444444444</v>
      </c>
      <c r="E191" t="s">
        <v>2</v>
      </c>
      <c r="F191" t="s">
        <v>3</v>
      </c>
      <c r="G191" s="3">
        <v>18.59</v>
      </c>
      <c r="H191" s="3">
        <v>2.78</v>
      </c>
    </row>
    <row r="192" spans="1:8" x14ac:dyDescent="0.35">
      <c r="A192" t="s">
        <v>40</v>
      </c>
      <c r="B192" t="s">
        <v>340</v>
      </c>
      <c r="C192" s="1">
        <v>45404</v>
      </c>
      <c r="D192" s="2">
        <v>0.39374999999999999</v>
      </c>
      <c r="E192" t="s">
        <v>2</v>
      </c>
      <c r="F192" t="s">
        <v>3</v>
      </c>
      <c r="G192" s="3">
        <v>50.82</v>
      </c>
      <c r="H192" s="3">
        <v>7.61</v>
      </c>
    </row>
    <row r="193" spans="1:8" x14ac:dyDescent="0.35">
      <c r="A193" t="s">
        <v>40</v>
      </c>
      <c r="B193" t="s">
        <v>341</v>
      </c>
      <c r="C193" s="1">
        <v>45404</v>
      </c>
      <c r="D193" s="2">
        <v>0.53125</v>
      </c>
      <c r="E193" t="s">
        <v>2</v>
      </c>
      <c r="F193" t="s">
        <v>3</v>
      </c>
      <c r="G193" s="3">
        <v>18.100000000000001</v>
      </c>
      <c r="H193" s="3">
        <v>2.71</v>
      </c>
    </row>
    <row r="194" spans="1:8" x14ac:dyDescent="0.35">
      <c r="A194" t="s">
        <v>40</v>
      </c>
      <c r="B194" t="s">
        <v>342</v>
      </c>
      <c r="C194" s="1">
        <v>45404</v>
      </c>
      <c r="D194" s="2">
        <v>0.8027777777777777</v>
      </c>
      <c r="E194" t="s">
        <v>2</v>
      </c>
      <c r="F194" t="s">
        <v>3</v>
      </c>
      <c r="G194" s="3">
        <v>18.59</v>
      </c>
      <c r="H194" s="3">
        <v>2.78</v>
      </c>
    </row>
    <row r="195" spans="1:8" x14ac:dyDescent="0.35">
      <c r="A195" t="s">
        <v>40</v>
      </c>
      <c r="B195" t="s">
        <v>343</v>
      </c>
      <c r="C195" s="1">
        <v>45404</v>
      </c>
      <c r="D195" s="2">
        <v>0.9375</v>
      </c>
      <c r="E195" t="s">
        <v>2</v>
      </c>
      <c r="F195" t="s">
        <v>3</v>
      </c>
      <c r="G195" s="3">
        <v>36.85</v>
      </c>
      <c r="H195" s="3">
        <v>5.52</v>
      </c>
    </row>
    <row r="196" spans="1:8" x14ac:dyDescent="0.35">
      <c r="A196" t="s">
        <v>40</v>
      </c>
      <c r="B196" t="s">
        <v>344</v>
      </c>
      <c r="C196" s="1">
        <v>45405</v>
      </c>
      <c r="D196" s="2">
        <v>4.4444444444444446E-2</v>
      </c>
      <c r="E196" t="s">
        <v>2</v>
      </c>
      <c r="F196" t="s">
        <v>3</v>
      </c>
      <c r="G196" s="3">
        <v>17.59</v>
      </c>
      <c r="H196" s="3">
        <v>2.63</v>
      </c>
    </row>
    <row r="197" spans="1:8" x14ac:dyDescent="0.35">
      <c r="A197" t="s">
        <v>40</v>
      </c>
      <c r="B197" t="s">
        <v>345</v>
      </c>
      <c r="C197" s="1">
        <v>45405</v>
      </c>
      <c r="D197" s="2">
        <v>0.9819444444444444</v>
      </c>
      <c r="E197" t="s">
        <v>2</v>
      </c>
      <c r="F197" t="s">
        <v>3</v>
      </c>
      <c r="G197" s="3">
        <v>18.59</v>
      </c>
      <c r="H197" s="3">
        <v>2.78</v>
      </c>
    </row>
    <row r="198" spans="1:8" x14ac:dyDescent="0.35">
      <c r="A198" t="s">
        <v>40</v>
      </c>
      <c r="B198" t="s">
        <v>346</v>
      </c>
      <c r="C198" s="1">
        <v>45406</v>
      </c>
      <c r="D198" s="2">
        <v>0.28680555555555554</v>
      </c>
      <c r="E198" t="s">
        <v>2</v>
      </c>
      <c r="F198" t="s">
        <v>3</v>
      </c>
      <c r="G198" s="3">
        <v>33.9</v>
      </c>
      <c r="H198" s="3">
        <v>5.08</v>
      </c>
    </row>
    <row r="199" spans="1:8" x14ac:dyDescent="0.35">
      <c r="A199" t="s">
        <v>40</v>
      </c>
      <c r="B199" t="s">
        <v>347</v>
      </c>
      <c r="C199" s="1">
        <v>45406</v>
      </c>
      <c r="D199" s="2">
        <v>0.4465277777777778</v>
      </c>
      <c r="E199" t="s">
        <v>2</v>
      </c>
      <c r="F199" t="s">
        <v>60</v>
      </c>
      <c r="G199" s="3">
        <v>75.989999999999995</v>
      </c>
      <c r="H199" s="3">
        <v>11.38</v>
      </c>
    </row>
    <row r="200" spans="1:8" x14ac:dyDescent="0.35">
      <c r="A200" t="s">
        <v>40</v>
      </c>
      <c r="B200" t="s">
        <v>348</v>
      </c>
      <c r="C200" s="1">
        <v>45407</v>
      </c>
      <c r="D200" s="2">
        <v>9.7222222222222224E-3</v>
      </c>
      <c r="E200" t="s">
        <v>2</v>
      </c>
      <c r="F200" t="s">
        <v>3</v>
      </c>
      <c r="G200" s="3">
        <v>18.59</v>
      </c>
      <c r="H200" s="3">
        <v>2.78</v>
      </c>
    </row>
    <row r="201" spans="1:8" x14ac:dyDescent="0.35">
      <c r="A201" t="s">
        <v>40</v>
      </c>
      <c r="B201" t="s">
        <v>349</v>
      </c>
      <c r="C201" s="1">
        <v>45407</v>
      </c>
      <c r="D201" s="2">
        <v>8.4722222222222213E-2</v>
      </c>
      <c r="E201" t="s">
        <v>2</v>
      </c>
      <c r="F201" t="s">
        <v>3</v>
      </c>
      <c r="G201" s="3">
        <v>19.87</v>
      </c>
      <c r="H201" s="3">
        <v>2.98</v>
      </c>
    </row>
    <row r="202" spans="1:8" x14ac:dyDescent="0.35">
      <c r="A202" t="s">
        <v>40</v>
      </c>
      <c r="B202" t="s">
        <v>350</v>
      </c>
      <c r="C202" s="1">
        <v>45407</v>
      </c>
      <c r="D202" s="2">
        <v>0.12222222222222223</v>
      </c>
      <c r="E202" t="s">
        <v>2</v>
      </c>
      <c r="F202" t="s">
        <v>3</v>
      </c>
      <c r="G202" s="3">
        <v>18.59</v>
      </c>
      <c r="H202" s="3">
        <v>2.78</v>
      </c>
    </row>
    <row r="203" spans="1:8" x14ac:dyDescent="0.35">
      <c r="A203" t="s">
        <v>40</v>
      </c>
      <c r="B203" t="s">
        <v>351</v>
      </c>
      <c r="C203" s="1">
        <v>45407</v>
      </c>
      <c r="D203" s="2">
        <v>0.97361111111111109</v>
      </c>
      <c r="E203" t="s">
        <v>2</v>
      </c>
      <c r="F203" t="s">
        <v>3</v>
      </c>
      <c r="G203" s="3">
        <v>18.829999999999998</v>
      </c>
      <c r="H203" s="3">
        <v>2.82</v>
      </c>
    </row>
    <row r="204" spans="1:8" x14ac:dyDescent="0.35">
      <c r="A204" t="s">
        <v>40</v>
      </c>
      <c r="B204" t="s">
        <v>352</v>
      </c>
      <c r="C204" s="1">
        <v>45407</v>
      </c>
      <c r="D204" s="2">
        <v>0.96319444444444446</v>
      </c>
      <c r="E204" t="s">
        <v>2</v>
      </c>
      <c r="F204" t="s">
        <v>3</v>
      </c>
      <c r="G204" s="3">
        <v>16.3</v>
      </c>
      <c r="H204" s="3">
        <v>2.44</v>
      </c>
    </row>
    <row r="205" spans="1:8" x14ac:dyDescent="0.35">
      <c r="A205" t="s">
        <v>40</v>
      </c>
      <c r="B205" t="s">
        <v>353</v>
      </c>
      <c r="C205" s="1">
        <v>45408</v>
      </c>
      <c r="D205" s="2">
        <v>0.22916666666666666</v>
      </c>
      <c r="E205" t="s">
        <v>2</v>
      </c>
      <c r="F205" t="s">
        <v>3</v>
      </c>
      <c r="G205" s="3">
        <v>14.47</v>
      </c>
      <c r="H205" s="3">
        <v>2.17</v>
      </c>
    </row>
    <row r="206" spans="1:8" x14ac:dyDescent="0.35">
      <c r="A206" t="s">
        <v>40</v>
      </c>
      <c r="B206" t="s">
        <v>354</v>
      </c>
      <c r="C206" s="1">
        <v>45408</v>
      </c>
      <c r="D206" s="2">
        <v>0.67986111111111114</v>
      </c>
      <c r="E206" t="s">
        <v>2</v>
      </c>
      <c r="F206" t="s">
        <v>3</v>
      </c>
      <c r="G206" s="3">
        <v>75.989999999999995</v>
      </c>
      <c r="H206" s="3">
        <v>11.38</v>
      </c>
    </row>
    <row r="207" spans="1:8" x14ac:dyDescent="0.35">
      <c r="A207" t="s">
        <v>40</v>
      </c>
      <c r="B207" t="s">
        <v>355</v>
      </c>
      <c r="C207" s="1">
        <v>45408</v>
      </c>
      <c r="D207" s="2">
        <v>0.71458333333333324</v>
      </c>
      <c r="E207" t="s">
        <v>2</v>
      </c>
      <c r="F207" t="s">
        <v>3</v>
      </c>
      <c r="G207" s="3">
        <v>50.09</v>
      </c>
      <c r="H207" s="3">
        <v>7.5</v>
      </c>
    </row>
    <row r="208" spans="1:8" x14ac:dyDescent="0.35">
      <c r="A208" t="s">
        <v>40</v>
      </c>
      <c r="B208" t="s">
        <v>356</v>
      </c>
      <c r="C208" s="1">
        <v>45408</v>
      </c>
      <c r="D208" s="2">
        <v>0.88750000000000007</v>
      </c>
      <c r="E208" t="s">
        <v>2</v>
      </c>
      <c r="F208" t="s">
        <v>3</v>
      </c>
      <c r="G208" s="3">
        <v>44.67</v>
      </c>
      <c r="H208" s="3">
        <v>6.69</v>
      </c>
    </row>
    <row r="209" spans="1:8" x14ac:dyDescent="0.35">
      <c r="A209" t="s">
        <v>40</v>
      </c>
      <c r="B209" t="s">
        <v>357</v>
      </c>
      <c r="C209" s="1">
        <v>45408</v>
      </c>
      <c r="D209" s="2">
        <v>0.94444444444444453</v>
      </c>
      <c r="E209" t="s">
        <v>2</v>
      </c>
      <c r="F209" t="s">
        <v>3</v>
      </c>
      <c r="G209" s="3">
        <v>10.44</v>
      </c>
      <c r="H209" s="3">
        <v>1.56</v>
      </c>
    </row>
    <row r="210" spans="1:8" x14ac:dyDescent="0.35">
      <c r="A210" t="s">
        <v>40</v>
      </c>
      <c r="B210" t="s">
        <v>358</v>
      </c>
      <c r="C210" s="1">
        <v>45409</v>
      </c>
      <c r="D210" s="2">
        <v>0.14305555555555557</v>
      </c>
      <c r="E210" t="s">
        <v>2</v>
      </c>
      <c r="F210" t="s">
        <v>3</v>
      </c>
      <c r="G210" s="3">
        <v>48.9</v>
      </c>
      <c r="H210" s="3">
        <v>7.32</v>
      </c>
    </row>
    <row r="211" spans="1:8" x14ac:dyDescent="0.35">
      <c r="A211" t="s">
        <v>40</v>
      </c>
      <c r="B211" t="s">
        <v>359</v>
      </c>
      <c r="C211" s="1">
        <v>45409</v>
      </c>
      <c r="D211" s="2">
        <v>0.20069444444444443</v>
      </c>
      <c r="E211" t="s">
        <v>2</v>
      </c>
      <c r="F211" t="s">
        <v>3</v>
      </c>
      <c r="G211" s="3">
        <v>31.24</v>
      </c>
      <c r="H211" s="3">
        <v>4.68</v>
      </c>
    </row>
    <row r="212" spans="1:8" x14ac:dyDescent="0.35">
      <c r="A212" t="s">
        <v>40</v>
      </c>
      <c r="B212" t="s">
        <v>360</v>
      </c>
      <c r="C212" s="1">
        <v>45409</v>
      </c>
      <c r="D212" s="2">
        <v>0.3034722222222222</v>
      </c>
      <c r="E212" t="s">
        <v>2</v>
      </c>
      <c r="F212" t="s">
        <v>3</v>
      </c>
      <c r="G212" s="3">
        <v>28.12</v>
      </c>
      <c r="H212" s="3">
        <v>4.21</v>
      </c>
    </row>
    <row r="213" spans="1:8" x14ac:dyDescent="0.35">
      <c r="A213" t="s">
        <v>40</v>
      </c>
      <c r="B213" t="s">
        <v>361</v>
      </c>
      <c r="C213" s="1">
        <v>45409</v>
      </c>
      <c r="D213" s="2">
        <v>0.82916666666666661</v>
      </c>
      <c r="E213" t="s">
        <v>2</v>
      </c>
      <c r="F213" t="s">
        <v>3</v>
      </c>
      <c r="G213" s="3">
        <v>26.08</v>
      </c>
      <c r="H213" s="3">
        <v>3.91</v>
      </c>
    </row>
    <row r="214" spans="1:8" x14ac:dyDescent="0.35">
      <c r="A214" t="s">
        <v>40</v>
      </c>
      <c r="B214" t="s">
        <v>362</v>
      </c>
      <c r="C214" s="1">
        <v>45410</v>
      </c>
      <c r="D214" s="2">
        <v>6.9444444444444447E-4</v>
      </c>
      <c r="E214" t="s">
        <v>2</v>
      </c>
      <c r="F214" t="s">
        <v>3</v>
      </c>
      <c r="G214" s="3">
        <v>20.88</v>
      </c>
      <c r="H214" s="3">
        <v>3.13</v>
      </c>
    </row>
    <row r="215" spans="1:8" x14ac:dyDescent="0.35">
      <c r="A215" t="s">
        <v>40</v>
      </c>
      <c r="B215" t="s">
        <v>363</v>
      </c>
      <c r="C215" s="1">
        <v>45410</v>
      </c>
      <c r="D215" s="2">
        <v>0.10347222222222223</v>
      </c>
      <c r="E215" t="s">
        <v>2</v>
      </c>
      <c r="F215" t="s">
        <v>3</v>
      </c>
      <c r="G215" s="3">
        <v>10.44</v>
      </c>
      <c r="H215" s="3">
        <v>1.56</v>
      </c>
    </row>
    <row r="216" spans="1:8" x14ac:dyDescent="0.35">
      <c r="A216" t="s">
        <v>40</v>
      </c>
      <c r="B216" t="s">
        <v>364</v>
      </c>
      <c r="C216" s="1">
        <v>45410</v>
      </c>
      <c r="D216" s="2">
        <v>0.52569444444444446</v>
      </c>
      <c r="E216" t="s">
        <v>2</v>
      </c>
      <c r="F216" t="s">
        <v>3</v>
      </c>
      <c r="G216" s="3">
        <v>23.84</v>
      </c>
      <c r="H216" s="3">
        <v>3.57</v>
      </c>
    </row>
    <row r="217" spans="1:8" x14ac:dyDescent="0.35">
      <c r="A217" t="s">
        <v>40</v>
      </c>
      <c r="B217" t="s">
        <v>365</v>
      </c>
      <c r="C217" s="1">
        <v>45411</v>
      </c>
      <c r="D217" s="2">
        <v>0.16874999999999998</v>
      </c>
      <c r="E217" t="s">
        <v>2</v>
      </c>
      <c r="F217" t="s">
        <v>3</v>
      </c>
      <c r="G217" s="3">
        <v>63.57</v>
      </c>
      <c r="H217" s="3">
        <v>9.51</v>
      </c>
    </row>
    <row r="218" spans="1:8" x14ac:dyDescent="0.35">
      <c r="A218" t="s">
        <v>40</v>
      </c>
      <c r="B218" t="s">
        <v>366</v>
      </c>
      <c r="C218" s="1">
        <v>45411</v>
      </c>
      <c r="D218" s="2">
        <v>0.82847222222222217</v>
      </c>
      <c r="E218" t="s">
        <v>2</v>
      </c>
      <c r="F218" t="s">
        <v>3</v>
      </c>
      <c r="G218" s="3">
        <v>20.88</v>
      </c>
      <c r="H218" s="3">
        <v>3.13</v>
      </c>
    </row>
    <row r="219" spans="1:8" x14ac:dyDescent="0.35">
      <c r="A219" t="s">
        <v>40</v>
      </c>
      <c r="B219" t="s">
        <v>367</v>
      </c>
      <c r="C219" s="1">
        <v>45411</v>
      </c>
      <c r="D219" s="2">
        <v>0.92083333333333339</v>
      </c>
      <c r="E219" t="s">
        <v>2</v>
      </c>
      <c r="F219" t="s">
        <v>3</v>
      </c>
      <c r="G219" s="3">
        <v>10.44</v>
      </c>
      <c r="H219" s="3">
        <v>1.56</v>
      </c>
    </row>
    <row r="220" spans="1:8" x14ac:dyDescent="0.35">
      <c r="A220" t="s">
        <v>40</v>
      </c>
      <c r="B220" t="s">
        <v>368</v>
      </c>
      <c r="C220" s="1">
        <v>45411</v>
      </c>
      <c r="D220" s="2">
        <v>0.97986111111111107</v>
      </c>
      <c r="E220" t="s">
        <v>2</v>
      </c>
      <c r="F220" t="s">
        <v>3</v>
      </c>
      <c r="G220" s="3">
        <v>18.59</v>
      </c>
      <c r="H220" s="3">
        <v>2.78</v>
      </c>
    </row>
    <row r="221" spans="1:8" x14ac:dyDescent="0.35">
      <c r="A221" t="s">
        <v>40</v>
      </c>
      <c r="B221" t="s">
        <v>369</v>
      </c>
      <c r="C221" s="1">
        <v>45411</v>
      </c>
      <c r="D221" s="2">
        <v>0.99513888888888891</v>
      </c>
      <c r="E221" t="s">
        <v>2</v>
      </c>
      <c r="F221" t="s">
        <v>3</v>
      </c>
      <c r="G221" s="3">
        <v>77.239999999999995</v>
      </c>
      <c r="H221" s="3">
        <v>11.56</v>
      </c>
    </row>
    <row r="222" spans="1:8" x14ac:dyDescent="0.35">
      <c r="A222" t="s">
        <v>40</v>
      </c>
      <c r="B222" t="s">
        <v>370</v>
      </c>
      <c r="C222" s="1">
        <v>45412</v>
      </c>
      <c r="D222" s="2">
        <v>8.2638888888888887E-2</v>
      </c>
      <c r="E222" t="s">
        <v>2</v>
      </c>
      <c r="F222" t="s">
        <v>3</v>
      </c>
      <c r="G222" s="3">
        <v>28.78</v>
      </c>
      <c r="H222" s="3">
        <v>4.3099999999999996</v>
      </c>
    </row>
    <row r="223" spans="1:8" ht="15" thickBot="1" x14ac:dyDescent="0.4">
      <c r="A223" s="4" t="s">
        <v>40</v>
      </c>
      <c r="B223" s="4" t="s">
        <v>371</v>
      </c>
      <c r="C223" s="6">
        <v>45412</v>
      </c>
      <c r="D223" s="7">
        <v>0.1875</v>
      </c>
      <c r="E223" s="4" t="s">
        <v>2</v>
      </c>
      <c r="F223" s="4" t="s">
        <v>3</v>
      </c>
      <c r="G223" s="5">
        <v>13.7</v>
      </c>
      <c r="H223" s="5">
        <v>2.0499999999999998</v>
      </c>
    </row>
    <row r="224" spans="1:8" x14ac:dyDescent="0.35">
      <c r="A224" t="s">
        <v>413</v>
      </c>
      <c r="G224" s="9">
        <f>SUM(G102:G223)</f>
        <v>3448.52</v>
      </c>
      <c r="H224" s="9">
        <f>SUM(H102:H223)</f>
        <v>516.38999999999965</v>
      </c>
    </row>
    <row r="226" spans="1:8" ht="15" thickBot="1" x14ac:dyDescent="0.4"/>
    <row r="227" spans="1:8" ht="15" thickBot="1" x14ac:dyDescent="0.4">
      <c r="A227" s="14" t="s">
        <v>411</v>
      </c>
      <c r="B227" s="14" t="s">
        <v>163</v>
      </c>
      <c r="C227" s="14" t="s">
        <v>165</v>
      </c>
      <c r="D227" s="14" t="s">
        <v>166</v>
      </c>
      <c r="E227" s="14" t="s">
        <v>164</v>
      </c>
      <c r="F227" s="14" t="s">
        <v>167</v>
      </c>
      <c r="G227" s="14" t="s">
        <v>412</v>
      </c>
      <c r="H227" s="14" t="s">
        <v>169</v>
      </c>
    </row>
    <row r="228" spans="1:8" x14ac:dyDescent="0.35">
      <c r="A228" t="s">
        <v>148</v>
      </c>
      <c r="B228" t="s">
        <v>372</v>
      </c>
      <c r="C228" s="1">
        <v>45383</v>
      </c>
      <c r="D228" s="2">
        <v>0.34097222222222223</v>
      </c>
      <c r="E228" t="s">
        <v>2</v>
      </c>
      <c r="F228" t="s">
        <v>3</v>
      </c>
      <c r="G228" s="3">
        <v>31.99</v>
      </c>
      <c r="H228" s="3">
        <v>4.79</v>
      </c>
    </row>
    <row r="229" spans="1:8" x14ac:dyDescent="0.35">
      <c r="A229" t="s">
        <v>148</v>
      </c>
      <c r="B229" t="s">
        <v>373</v>
      </c>
      <c r="C229" s="1">
        <v>45384</v>
      </c>
      <c r="D229" s="2">
        <v>0.67013888888888884</v>
      </c>
      <c r="E229" t="s">
        <v>2</v>
      </c>
      <c r="F229" t="s">
        <v>3</v>
      </c>
      <c r="G229" s="3">
        <v>7.09</v>
      </c>
      <c r="H229" s="3">
        <v>1.06</v>
      </c>
    </row>
    <row r="230" spans="1:8" x14ac:dyDescent="0.35">
      <c r="A230" t="s">
        <v>148</v>
      </c>
      <c r="B230" t="s">
        <v>374</v>
      </c>
      <c r="C230" s="1">
        <v>45386</v>
      </c>
      <c r="D230" s="2">
        <v>0.17013888888888887</v>
      </c>
      <c r="E230" t="s">
        <v>2</v>
      </c>
      <c r="F230" t="s">
        <v>3</v>
      </c>
      <c r="G230" s="3">
        <v>39.24</v>
      </c>
      <c r="H230" s="3">
        <v>5.87</v>
      </c>
    </row>
    <row r="231" spans="1:8" x14ac:dyDescent="0.35">
      <c r="A231" t="s">
        <v>148</v>
      </c>
      <c r="B231" t="s">
        <v>375</v>
      </c>
      <c r="C231" s="1">
        <v>45388</v>
      </c>
      <c r="D231" s="2">
        <v>9.0277777777777776E-2</v>
      </c>
      <c r="E231" t="s">
        <v>2</v>
      </c>
      <c r="F231" t="s">
        <v>3</v>
      </c>
      <c r="G231" s="3">
        <v>31.09</v>
      </c>
      <c r="H231" s="3">
        <v>4.66</v>
      </c>
    </row>
    <row r="232" spans="1:8" x14ac:dyDescent="0.35">
      <c r="A232" t="s">
        <v>148</v>
      </c>
      <c r="B232" t="s">
        <v>376</v>
      </c>
      <c r="C232" s="1">
        <v>45388</v>
      </c>
      <c r="D232" s="2">
        <v>0.16527777777777777</v>
      </c>
      <c r="E232" t="s">
        <v>2</v>
      </c>
      <c r="F232" t="s">
        <v>3</v>
      </c>
      <c r="G232" s="3">
        <v>16.63</v>
      </c>
      <c r="H232" s="3">
        <v>2.4900000000000002</v>
      </c>
    </row>
    <row r="233" spans="1:8" x14ac:dyDescent="0.35">
      <c r="A233" t="s">
        <v>148</v>
      </c>
      <c r="B233" t="s">
        <v>377</v>
      </c>
      <c r="C233" s="1">
        <v>45388</v>
      </c>
      <c r="D233" s="2">
        <v>0.20138888888888887</v>
      </c>
      <c r="E233" t="s">
        <v>2</v>
      </c>
      <c r="F233" t="s">
        <v>3</v>
      </c>
      <c r="G233" s="3">
        <v>17.82</v>
      </c>
      <c r="H233" s="3">
        <v>2.66</v>
      </c>
    </row>
    <row r="234" spans="1:8" x14ac:dyDescent="0.35">
      <c r="A234" t="s">
        <v>148</v>
      </c>
      <c r="B234" t="s">
        <v>378</v>
      </c>
      <c r="C234" s="1">
        <v>45388</v>
      </c>
      <c r="D234" s="2">
        <v>0.22361111111111109</v>
      </c>
      <c r="E234" t="s">
        <v>2</v>
      </c>
      <c r="F234" t="s">
        <v>3</v>
      </c>
      <c r="G234" s="3">
        <v>15.25</v>
      </c>
      <c r="H234" s="3">
        <v>2.2799999999999998</v>
      </c>
    </row>
    <row r="235" spans="1:8" x14ac:dyDescent="0.35">
      <c r="A235" t="s">
        <v>148</v>
      </c>
      <c r="B235" t="s">
        <v>379</v>
      </c>
      <c r="C235" s="1">
        <v>45389</v>
      </c>
      <c r="D235" s="2">
        <v>0.17291666666666669</v>
      </c>
      <c r="E235" t="s">
        <v>2</v>
      </c>
      <c r="F235" t="s">
        <v>3</v>
      </c>
      <c r="G235" s="3">
        <v>25.5</v>
      </c>
      <c r="H235" s="3">
        <v>3.81</v>
      </c>
    </row>
    <row r="236" spans="1:8" x14ac:dyDescent="0.35">
      <c r="A236" t="s">
        <v>148</v>
      </c>
      <c r="B236" t="s">
        <v>380</v>
      </c>
      <c r="C236" s="1">
        <v>45389</v>
      </c>
      <c r="D236" s="2">
        <v>0.36180555555555555</v>
      </c>
      <c r="E236" t="s">
        <v>2</v>
      </c>
      <c r="F236" t="s">
        <v>3</v>
      </c>
      <c r="G236" s="3">
        <v>20.149999999999999</v>
      </c>
      <c r="H236" s="3">
        <v>3.02</v>
      </c>
    </row>
    <row r="237" spans="1:8" x14ac:dyDescent="0.35">
      <c r="A237" t="s">
        <v>148</v>
      </c>
      <c r="B237" t="s">
        <v>381</v>
      </c>
      <c r="C237" s="1">
        <v>45390</v>
      </c>
      <c r="D237" s="2">
        <v>0.25208333333333333</v>
      </c>
      <c r="E237" t="s">
        <v>2</v>
      </c>
      <c r="F237" t="s">
        <v>3</v>
      </c>
      <c r="G237" s="3">
        <v>23.06</v>
      </c>
      <c r="H237" s="3">
        <v>3.46</v>
      </c>
    </row>
    <row r="238" spans="1:8" x14ac:dyDescent="0.35">
      <c r="A238" t="s">
        <v>148</v>
      </c>
      <c r="B238" t="s">
        <v>382</v>
      </c>
      <c r="C238" s="1">
        <v>45391</v>
      </c>
      <c r="D238" s="2">
        <v>0.3430555555555555</v>
      </c>
      <c r="E238" t="s">
        <v>2</v>
      </c>
      <c r="F238" t="s">
        <v>3</v>
      </c>
      <c r="G238" s="3">
        <v>10.29</v>
      </c>
      <c r="H238" s="3">
        <v>1.54</v>
      </c>
    </row>
    <row r="239" spans="1:8" x14ac:dyDescent="0.35">
      <c r="A239" t="s">
        <v>148</v>
      </c>
      <c r="B239" t="s">
        <v>383</v>
      </c>
      <c r="C239" s="1">
        <v>45392</v>
      </c>
      <c r="D239" s="2">
        <v>0.12847222222222224</v>
      </c>
      <c r="E239" t="s">
        <v>2</v>
      </c>
      <c r="F239" t="s">
        <v>3</v>
      </c>
      <c r="G239" s="3">
        <v>20.2</v>
      </c>
      <c r="H239" s="3">
        <v>3.02</v>
      </c>
    </row>
    <row r="240" spans="1:8" x14ac:dyDescent="0.35">
      <c r="A240" t="s">
        <v>148</v>
      </c>
      <c r="B240" t="s">
        <v>384</v>
      </c>
      <c r="C240" s="1">
        <v>45392</v>
      </c>
      <c r="D240" s="2">
        <v>0.58472222222222225</v>
      </c>
      <c r="E240" t="s">
        <v>2</v>
      </c>
      <c r="F240" t="s">
        <v>3</v>
      </c>
      <c r="G240" s="3">
        <v>18</v>
      </c>
      <c r="H240" s="3">
        <v>2.69</v>
      </c>
    </row>
    <row r="241" spans="1:8" x14ac:dyDescent="0.35">
      <c r="A241" t="s">
        <v>148</v>
      </c>
      <c r="B241" t="s">
        <v>385</v>
      </c>
      <c r="C241" s="1">
        <v>45394</v>
      </c>
      <c r="D241" s="2">
        <v>0.18055555555555555</v>
      </c>
      <c r="E241" t="s">
        <v>2</v>
      </c>
      <c r="F241" t="s">
        <v>3</v>
      </c>
      <c r="G241" s="3">
        <v>16.399999999999999</v>
      </c>
      <c r="H241" s="3">
        <v>2.46</v>
      </c>
    </row>
    <row r="242" spans="1:8" x14ac:dyDescent="0.35">
      <c r="A242" t="s">
        <v>148</v>
      </c>
      <c r="B242" t="s">
        <v>386</v>
      </c>
      <c r="C242" s="1">
        <v>45395</v>
      </c>
      <c r="D242" s="2">
        <v>0.19513888888888889</v>
      </c>
      <c r="E242" t="s">
        <v>2</v>
      </c>
      <c r="F242" t="s">
        <v>3</v>
      </c>
      <c r="G242" s="3">
        <v>12.65</v>
      </c>
      <c r="H242" s="3">
        <v>1.89</v>
      </c>
    </row>
    <row r="243" spans="1:8" x14ac:dyDescent="0.35">
      <c r="A243" t="s">
        <v>148</v>
      </c>
      <c r="B243" t="s">
        <v>387</v>
      </c>
      <c r="C243" s="1">
        <v>45396</v>
      </c>
      <c r="D243" s="2">
        <v>0.98055555555555562</v>
      </c>
      <c r="E243" t="s">
        <v>2</v>
      </c>
      <c r="F243" t="s">
        <v>3</v>
      </c>
      <c r="G243" s="3">
        <v>22.88</v>
      </c>
      <c r="H243" s="3">
        <v>3.43</v>
      </c>
    </row>
    <row r="244" spans="1:8" x14ac:dyDescent="0.35">
      <c r="A244" t="s">
        <v>148</v>
      </c>
      <c r="B244" t="s">
        <v>388</v>
      </c>
      <c r="C244" s="1">
        <v>45397</v>
      </c>
      <c r="D244" s="2">
        <v>0.14861111111111111</v>
      </c>
      <c r="E244" t="s">
        <v>2</v>
      </c>
      <c r="F244" t="s">
        <v>3</v>
      </c>
      <c r="G244" s="3">
        <v>38.56</v>
      </c>
      <c r="H244" s="3">
        <v>5.77</v>
      </c>
    </row>
    <row r="245" spans="1:8" x14ac:dyDescent="0.35">
      <c r="A245" t="s">
        <v>148</v>
      </c>
      <c r="B245" t="s">
        <v>389</v>
      </c>
      <c r="C245" s="1">
        <v>45397</v>
      </c>
      <c r="D245" s="2">
        <v>0.34861111111111115</v>
      </c>
      <c r="E245" t="s">
        <v>2</v>
      </c>
      <c r="F245" t="s">
        <v>3</v>
      </c>
      <c r="G245" s="3">
        <v>13.15</v>
      </c>
      <c r="H245" s="3">
        <v>1.97</v>
      </c>
    </row>
    <row r="246" spans="1:8" x14ac:dyDescent="0.35">
      <c r="A246" t="s">
        <v>148</v>
      </c>
      <c r="B246" t="s">
        <v>390</v>
      </c>
      <c r="C246" s="1">
        <v>45400</v>
      </c>
      <c r="D246" s="2">
        <v>5.4166666666666669E-2</v>
      </c>
      <c r="E246" t="s">
        <v>2</v>
      </c>
      <c r="F246" t="s">
        <v>3</v>
      </c>
      <c r="G246" s="3">
        <v>15.45</v>
      </c>
      <c r="H246" s="3">
        <v>2.31</v>
      </c>
    </row>
    <row r="247" spans="1:8" x14ac:dyDescent="0.35">
      <c r="A247" t="s">
        <v>148</v>
      </c>
      <c r="B247" t="s">
        <v>391</v>
      </c>
      <c r="C247" s="1">
        <v>45401</v>
      </c>
      <c r="D247" s="2">
        <v>0.19999999999999998</v>
      </c>
      <c r="E247" t="s">
        <v>2</v>
      </c>
      <c r="F247" t="s">
        <v>3</v>
      </c>
      <c r="G247" s="3">
        <v>41.2</v>
      </c>
      <c r="H247" s="3">
        <v>6.17</v>
      </c>
    </row>
    <row r="248" spans="1:8" x14ac:dyDescent="0.35">
      <c r="A248" t="s">
        <v>148</v>
      </c>
      <c r="B248" t="s">
        <v>392</v>
      </c>
      <c r="C248" s="1">
        <v>45402</v>
      </c>
      <c r="D248" s="2">
        <v>0.42569444444444443</v>
      </c>
      <c r="E248" t="s">
        <v>2</v>
      </c>
      <c r="F248" t="s">
        <v>3</v>
      </c>
      <c r="G248" s="3">
        <v>31.74</v>
      </c>
      <c r="H248" s="3">
        <v>4.75</v>
      </c>
    </row>
    <row r="249" spans="1:8" x14ac:dyDescent="0.35">
      <c r="A249" t="s">
        <v>148</v>
      </c>
      <c r="B249" t="s">
        <v>393</v>
      </c>
      <c r="C249" s="1">
        <v>45404</v>
      </c>
      <c r="D249" s="2">
        <v>0.10486111111111111</v>
      </c>
      <c r="E249" t="s">
        <v>2</v>
      </c>
      <c r="F249" t="s">
        <v>3</v>
      </c>
      <c r="G249" s="3">
        <v>58.8</v>
      </c>
      <c r="H249" s="3">
        <v>8.81</v>
      </c>
    </row>
    <row r="250" spans="1:8" x14ac:dyDescent="0.35">
      <c r="A250" t="s">
        <v>148</v>
      </c>
      <c r="B250" t="s">
        <v>394</v>
      </c>
      <c r="C250" s="1">
        <v>45405</v>
      </c>
      <c r="D250" s="2">
        <v>0.15625</v>
      </c>
      <c r="E250" t="s">
        <v>2</v>
      </c>
      <c r="F250" t="s">
        <v>3</v>
      </c>
      <c r="G250" s="3">
        <v>10.85</v>
      </c>
      <c r="H250" s="3">
        <v>1.62</v>
      </c>
    </row>
    <row r="251" spans="1:8" x14ac:dyDescent="0.35">
      <c r="A251" t="s">
        <v>148</v>
      </c>
      <c r="B251" t="s">
        <v>395</v>
      </c>
      <c r="C251" s="1">
        <v>45406</v>
      </c>
      <c r="D251" s="2">
        <v>0.12847222222222224</v>
      </c>
      <c r="E251" t="s">
        <v>2</v>
      </c>
      <c r="F251" t="s">
        <v>3</v>
      </c>
      <c r="G251" s="3">
        <v>20.78</v>
      </c>
      <c r="H251" s="3">
        <v>3.11</v>
      </c>
    </row>
    <row r="252" spans="1:8" x14ac:dyDescent="0.35">
      <c r="A252" t="s">
        <v>148</v>
      </c>
      <c r="B252" t="s">
        <v>396</v>
      </c>
      <c r="C252" s="1">
        <v>45409</v>
      </c>
      <c r="D252" s="2">
        <v>0.17986111111111111</v>
      </c>
      <c r="E252" t="s">
        <v>2</v>
      </c>
      <c r="F252" t="s">
        <v>3</v>
      </c>
      <c r="G252" s="3">
        <v>31.74</v>
      </c>
      <c r="H252" s="3">
        <v>4.75</v>
      </c>
    </row>
    <row r="253" spans="1:8" x14ac:dyDescent="0.35">
      <c r="A253" t="s">
        <v>148</v>
      </c>
      <c r="B253" t="s">
        <v>397</v>
      </c>
      <c r="C253" s="1">
        <v>45409</v>
      </c>
      <c r="D253" s="2">
        <v>0.26180555555555557</v>
      </c>
      <c r="E253" t="s">
        <v>2</v>
      </c>
      <c r="F253" t="s">
        <v>3</v>
      </c>
      <c r="G253" s="3">
        <v>17.89</v>
      </c>
      <c r="H253" s="3">
        <v>2.68</v>
      </c>
    </row>
    <row r="254" spans="1:8" x14ac:dyDescent="0.35">
      <c r="A254" t="s">
        <v>148</v>
      </c>
      <c r="B254" t="s">
        <v>398</v>
      </c>
      <c r="C254" s="1">
        <v>45410</v>
      </c>
      <c r="D254" s="2">
        <v>0.12361111111111112</v>
      </c>
      <c r="E254" t="s">
        <v>2</v>
      </c>
      <c r="F254" t="s">
        <v>3</v>
      </c>
      <c r="G254" s="3">
        <v>18.84</v>
      </c>
      <c r="H254" s="3">
        <v>2.82</v>
      </c>
    </row>
    <row r="255" spans="1:8" x14ac:dyDescent="0.35">
      <c r="A255" t="s">
        <v>148</v>
      </c>
      <c r="B255" t="s">
        <v>399</v>
      </c>
      <c r="C255" s="1">
        <v>45411</v>
      </c>
      <c r="D255" s="2">
        <v>0.16527777777777777</v>
      </c>
      <c r="E255" t="s">
        <v>2</v>
      </c>
      <c r="F255" t="s">
        <v>3</v>
      </c>
      <c r="G255" s="3">
        <v>24.99</v>
      </c>
      <c r="H255" s="3">
        <v>3.74</v>
      </c>
    </row>
    <row r="256" spans="1:8" x14ac:dyDescent="0.35">
      <c r="A256" t="s">
        <v>148</v>
      </c>
      <c r="B256" t="s">
        <v>400</v>
      </c>
      <c r="C256" s="1">
        <v>45411</v>
      </c>
      <c r="D256" s="2">
        <v>0.49722222222222223</v>
      </c>
      <c r="E256" t="s">
        <v>2</v>
      </c>
      <c r="F256" t="s">
        <v>3</v>
      </c>
      <c r="G256" s="3">
        <v>42.81</v>
      </c>
      <c r="H256" s="3">
        <v>6.41</v>
      </c>
    </row>
    <row r="257" spans="1:8" x14ac:dyDescent="0.35">
      <c r="A257" t="s">
        <v>148</v>
      </c>
      <c r="B257" t="s">
        <v>401</v>
      </c>
      <c r="C257" s="1">
        <v>45411</v>
      </c>
      <c r="D257" s="2">
        <v>0.59513888888888888</v>
      </c>
      <c r="E257" t="s">
        <v>2</v>
      </c>
      <c r="F257" t="s">
        <v>3</v>
      </c>
      <c r="G257" s="3">
        <v>28.2</v>
      </c>
      <c r="H257" s="3">
        <v>4.22</v>
      </c>
    </row>
    <row r="258" spans="1:8" ht="15" thickBot="1" x14ac:dyDescent="0.4">
      <c r="A258" s="4" t="s">
        <v>148</v>
      </c>
      <c r="B258" s="4" t="s">
        <v>402</v>
      </c>
      <c r="C258" s="6">
        <v>45412</v>
      </c>
      <c r="D258" s="7">
        <v>0.45</v>
      </c>
      <c r="E258" s="4" t="s">
        <v>2</v>
      </c>
      <c r="F258" s="4" t="s">
        <v>3</v>
      </c>
      <c r="G258" s="5">
        <v>18.57</v>
      </c>
      <c r="H258" s="5">
        <v>2.78</v>
      </c>
    </row>
    <row r="259" spans="1:8" x14ac:dyDescent="0.35">
      <c r="A259" t="s">
        <v>413</v>
      </c>
      <c r="G259" s="9">
        <f>SUM(G228:G258)</f>
        <v>741.81000000000006</v>
      </c>
      <c r="H259" s="9">
        <f>SUM(H228:H258)</f>
        <v>111.03999999999999</v>
      </c>
    </row>
    <row r="261" spans="1:8" ht="15" thickBot="1" x14ac:dyDescent="0.4"/>
    <row r="262" spans="1:8" ht="15" thickBot="1" x14ac:dyDescent="0.4">
      <c r="A262" s="14" t="s">
        <v>411</v>
      </c>
      <c r="B262" s="14" t="s">
        <v>163</v>
      </c>
      <c r="C262" s="14" t="s">
        <v>165</v>
      </c>
      <c r="D262" s="14" t="s">
        <v>166</v>
      </c>
      <c r="E262" s="14" t="s">
        <v>164</v>
      </c>
      <c r="F262" s="14" t="s">
        <v>167</v>
      </c>
      <c r="G262" s="14" t="s">
        <v>412</v>
      </c>
      <c r="H262" s="14" t="s">
        <v>169</v>
      </c>
    </row>
    <row r="263" spans="1:8" x14ac:dyDescent="0.35">
      <c r="A263" t="s">
        <v>403</v>
      </c>
      <c r="B263" t="s">
        <v>404</v>
      </c>
      <c r="C263" s="1">
        <v>45388</v>
      </c>
      <c r="D263" s="2">
        <v>4.4444444444444446E-2</v>
      </c>
      <c r="E263" t="s">
        <v>2</v>
      </c>
      <c r="F263" t="s">
        <v>3</v>
      </c>
      <c r="G263" s="3">
        <v>36.28</v>
      </c>
      <c r="H263" s="3">
        <v>5.43</v>
      </c>
    </row>
    <row r="264" spans="1:8" x14ac:dyDescent="0.35">
      <c r="A264" t="s">
        <v>403</v>
      </c>
      <c r="B264" t="s">
        <v>405</v>
      </c>
      <c r="C264" s="1">
        <v>45388</v>
      </c>
      <c r="D264" s="2">
        <v>0.14097222222222222</v>
      </c>
      <c r="E264" t="s">
        <v>2</v>
      </c>
      <c r="F264" t="s">
        <v>3</v>
      </c>
      <c r="G264" s="3">
        <v>18.14</v>
      </c>
      <c r="H264" s="3">
        <v>2.72</v>
      </c>
    </row>
    <row r="265" spans="1:8" x14ac:dyDescent="0.35">
      <c r="A265" t="s">
        <v>403</v>
      </c>
      <c r="B265" t="s">
        <v>406</v>
      </c>
      <c r="C265" s="1">
        <v>45388</v>
      </c>
      <c r="D265" s="2">
        <v>0.22847222222222222</v>
      </c>
      <c r="E265" t="s">
        <v>2</v>
      </c>
      <c r="F265" t="s">
        <v>3</v>
      </c>
      <c r="G265" s="3">
        <v>36.28</v>
      </c>
      <c r="H265" s="3">
        <v>5.43</v>
      </c>
    </row>
    <row r="266" spans="1:8" x14ac:dyDescent="0.35">
      <c r="A266" t="s">
        <v>403</v>
      </c>
      <c r="B266" t="s">
        <v>407</v>
      </c>
      <c r="C266" s="1">
        <v>45394</v>
      </c>
      <c r="D266" s="2">
        <v>0.67361111111111116</v>
      </c>
      <c r="E266" t="s">
        <v>2</v>
      </c>
      <c r="F266" t="s">
        <v>3</v>
      </c>
      <c r="G266" s="3">
        <v>26.61</v>
      </c>
      <c r="H266" s="3">
        <v>3.99</v>
      </c>
    </row>
    <row r="267" spans="1:8" x14ac:dyDescent="0.35">
      <c r="A267" t="s">
        <v>403</v>
      </c>
      <c r="B267" t="s">
        <v>408</v>
      </c>
      <c r="C267" s="1">
        <v>45395</v>
      </c>
      <c r="D267" s="2">
        <v>0.20902777777777778</v>
      </c>
      <c r="E267" t="s">
        <v>2</v>
      </c>
      <c r="F267" t="s">
        <v>58</v>
      </c>
      <c r="G267" s="3">
        <v>23.38</v>
      </c>
      <c r="H267" s="3">
        <v>3.5</v>
      </c>
    </row>
    <row r="268" spans="1:8" x14ac:dyDescent="0.35">
      <c r="A268" t="s">
        <v>403</v>
      </c>
      <c r="B268" t="s">
        <v>409</v>
      </c>
      <c r="C268" s="1">
        <v>45400</v>
      </c>
      <c r="D268" s="2">
        <v>0.25277777777777777</v>
      </c>
      <c r="E268" t="s">
        <v>2</v>
      </c>
      <c r="F268" t="s">
        <v>3</v>
      </c>
      <c r="G268" s="3">
        <v>20.78</v>
      </c>
      <c r="H268" s="3">
        <v>3.11</v>
      </c>
    </row>
    <row r="269" spans="1:8" ht="15" thickBot="1" x14ac:dyDescent="0.4">
      <c r="A269" s="4" t="s">
        <v>403</v>
      </c>
      <c r="B269" s="4" t="s">
        <v>410</v>
      </c>
      <c r="C269" s="6">
        <v>45402</v>
      </c>
      <c r="D269" s="7">
        <v>3.8194444444444441E-2</v>
      </c>
      <c r="E269" s="4" t="s">
        <v>2</v>
      </c>
      <c r="F269" s="4" t="s">
        <v>3</v>
      </c>
      <c r="G269" s="5">
        <v>20.78</v>
      </c>
      <c r="H269" s="5">
        <v>3.11</v>
      </c>
    </row>
    <row r="270" spans="1:8" x14ac:dyDescent="0.35">
      <c r="A270" t="s">
        <v>413</v>
      </c>
      <c r="G270" s="9">
        <f>SUM(G263:G269)</f>
        <v>182.25</v>
      </c>
      <c r="H270" s="9">
        <f>SUM(H263:H269)</f>
        <v>27.29</v>
      </c>
    </row>
    <row r="275" spans="1:8" x14ac:dyDescent="0.35">
      <c r="A275" t="s">
        <v>2244</v>
      </c>
      <c r="G275" s="9">
        <f>SUM(G270,G259,G224,G97,G88,G66,G23)</f>
        <v>6807.0500000000011</v>
      </c>
    </row>
    <row r="276" spans="1:8" x14ac:dyDescent="0.35">
      <c r="A276" t="s">
        <v>2245</v>
      </c>
      <c r="H276" s="9">
        <f>SUM(H270,H259,H224,H97,H88,H66,H23)</f>
        <v>1019.2699999999995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387"/>
  <sheetViews>
    <sheetView topLeftCell="A335" zoomScale="50" zoomScaleNormal="50" workbookViewId="0">
      <selection activeCell="G386" sqref="G386"/>
    </sheetView>
  </sheetViews>
  <sheetFormatPr defaultRowHeight="14.5" x14ac:dyDescent="0.35"/>
  <cols>
    <col min="1" max="1" width="34.54296875" customWidth="1"/>
    <col min="2" max="2" width="9.26953125" customWidth="1"/>
    <col min="3" max="3" width="12.7265625" customWidth="1"/>
    <col min="6" max="6" width="11.1796875" customWidth="1"/>
    <col min="7" max="7" width="16.26953125" customWidth="1"/>
    <col min="8" max="8" width="12.54296875" customWidth="1"/>
  </cols>
  <sheetData>
    <row r="5" spans="1:8" ht="15.75" thickBot="1" x14ac:dyDescent="0.3"/>
    <row r="6" spans="1:8" ht="15.75" thickBot="1" x14ac:dyDescent="0.3">
      <c r="A6" s="11" t="s">
        <v>411</v>
      </c>
      <c r="B6" s="12" t="s">
        <v>163</v>
      </c>
      <c r="C6" s="12" t="s">
        <v>165</v>
      </c>
      <c r="D6" s="12" t="s">
        <v>166</v>
      </c>
      <c r="E6" s="12" t="s">
        <v>164</v>
      </c>
      <c r="F6" s="12" t="s">
        <v>167</v>
      </c>
      <c r="G6" s="12" t="s">
        <v>412</v>
      </c>
      <c r="H6" s="13" t="s">
        <v>169</v>
      </c>
    </row>
    <row r="7" spans="1:8" x14ac:dyDescent="0.35">
      <c r="A7" t="s">
        <v>414</v>
      </c>
      <c r="B7" t="s">
        <v>415</v>
      </c>
      <c r="C7" s="1">
        <v>45412</v>
      </c>
      <c r="D7" s="2">
        <v>0.96875</v>
      </c>
      <c r="E7" t="s">
        <v>2</v>
      </c>
      <c r="F7" t="s">
        <v>3</v>
      </c>
      <c r="G7" s="3">
        <v>31.32</v>
      </c>
      <c r="H7" s="3">
        <v>4.6900000000000004</v>
      </c>
    </row>
    <row r="8" spans="1:8" x14ac:dyDescent="0.35">
      <c r="A8" t="s">
        <v>414</v>
      </c>
      <c r="B8" t="s">
        <v>416</v>
      </c>
      <c r="C8" s="1">
        <v>45424</v>
      </c>
      <c r="D8" s="2">
        <v>0.92708333333333337</v>
      </c>
      <c r="E8" t="s">
        <v>2</v>
      </c>
      <c r="F8" t="s">
        <v>3</v>
      </c>
      <c r="G8" s="3">
        <v>75.989999999999995</v>
      </c>
      <c r="H8" s="3">
        <v>11.38</v>
      </c>
    </row>
    <row r="9" spans="1:8" x14ac:dyDescent="0.35">
      <c r="A9" t="s">
        <v>414</v>
      </c>
      <c r="B9" t="s">
        <v>417</v>
      </c>
      <c r="C9" s="1">
        <v>45427</v>
      </c>
      <c r="D9" s="2">
        <v>0.19166666666666665</v>
      </c>
      <c r="E9" t="s">
        <v>2</v>
      </c>
      <c r="F9" t="s">
        <v>3</v>
      </c>
      <c r="G9" s="3">
        <v>36.71</v>
      </c>
      <c r="H9" s="3">
        <v>5.5</v>
      </c>
    </row>
    <row r="10" spans="1:8" x14ac:dyDescent="0.35">
      <c r="A10" t="s">
        <v>414</v>
      </c>
      <c r="B10" t="s">
        <v>418</v>
      </c>
      <c r="C10" s="1">
        <v>45429</v>
      </c>
      <c r="D10" s="2">
        <v>0.38819444444444445</v>
      </c>
      <c r="E10" t="s">
        <v>2</v>
      </c>
      <c r="F10" t="s">
        <v>3</v>
      </c>
      <c r="G10" s="3">
        <v>17.89</v>
      </c>
      <c r="H10" s="3">
        <v>2.68</v>
      </c>
    </row>
    <row r="11" spans="1:8" x14ac:dyDescent="0.35">
      <c r="A11" t="s">
        <v>414</v>
      </c>
      <c r="B11" t="s">
        <v>419</v>
      </c>
      <c r="C11" s="1">
        <v>45436</v>
      </c>
      <c r="D11" s="2">
        <v>0.24652777777777779</v>
      </c>
      <c r="E11" t="s">
        <v>2</v>
      </c>
      <c r="F11" t="s">
        <v>3</v>
      </c>
      <c r="G11" s="3">
        <v>38.46</v>
      </c>
      <c r="H11" s="3">
        <v>5.76</v>
      </c>
    </row>
    <row r="12" spans="1:8" x14ac:dyDescent="0.35">
      <c r="A12" t="s">
        <v>414</v>
      </c>
      <c r="B12" t="s">
        <v>420</v>
      </c>
      <c r="C12" s="1">
        <v>45437</v>
      </c>
      <c r="D12" s="2">
        <v>0.43541666666666662</v>
      </c>
      <c r="E12" t="s">
        <v>2</v>
      </c>
      <c r="F12" t="s">
        <v>3</v>
      </c>
      <c r="G12" s="3">
        <v>6.5</v>
      </c>
      <c r="H12" s="3">
        <v>0.97</v>
      </c>
    </row>
    <row r="13" spans="1:8" x14ac:dyDescent="0.35">
      <c r="A13" t="s">
        <v>414</v>
      </c>
      <c r="B13" t="s">
        <v>421</v>
      </c>
      <c r="C13" s="1">
        <v>45437</v>
      </c>
      <c r="D13" s="2">
        <v>0.43611111111111112</v>
      </c>
      <c r="E13" t="s">
        <v>2</v>
      </c>
      <c r="F13" t="s">
        <v>3</v>
      </c>
      <c r="G13" s="3">
        <v>36.79</v>
      </c>
      <c r="H13" s="3">
        <v>5.51</v>
      </c>
    </row>
    <row r="14" spans="1:8" x14ac:dyDescent="0.35">
      <c r="A14" t="s">
        <v>414</v>
      </c>
      <c r="B14" t="s">
        <v>422</v>
      </c>
      <c r="C14" s="1">
        <v>45439</v>
      </c>
      <c r="D14" s="2">
        <v>0.14652777777777778</v>
      </c>
      <c r="E14" t="s">
        <v>2</v>
      </c>
      <c r="F14" t="s">
        <v>3</v>
      </c>
      <c r="G14" s="3">
        <v>27.98</v>
      </c>
      <c r="H14" s="3">
        <v>4.1900000000000004</v>
      </c>
    </row>
    <row r="15" spans="1:8" ht="15" thickBot="1" x14ac:dyDescent="0.4">
      <c r="A15" s="4" t="s">
        <v>414</v>
      </c>
      <c r="B15" s="4" t="s">
        <v>423</v>
      </c>
      <c r="C15" s="6">
        <v>45442</v>
      </c>
      <c r="D15" s="7">
        <v>0.15763888888888888</v>
      </c>
      <c r="E15" s="4" t="s">
        <v>2</v>
      </c>
      <c r="F15" s="4" t="s">
        <v>3</v>
      </c>
      <c r="G15" s="5">
        <v>19.34</v>
      </c>
      <c r="H15" s="5">
        <v>2.9</v>
      </c>
    </row>
    <row r="16" spans="1:8" ht="15" x14ac:dyDescent="0.25">
      <c r="A16" t="s">
        <v>752</v>
      </c>
      <c r="G16" s="3">
        <f>SUM(G7:G15)</f>
        <v>290.98</v>
      </c>
      <c r="H16" s="9">
        <f>SUM(H7:H15)</f>
        <v>43.579999999999991</v>
      </c>
    </row>
    <row r="18" spans="1:8" ht="15.75" thickBot="1" x14ac:dyDescent="0.3"/>
    <row r="19" spans="1:8" ht="15.75" thickBot="1" x14ac:dyDescent="0.3">
      <c r="A19" s="11" t="s">
        <v>411</v>
      </c>
      <c r="B19" s="12" t="s">
        <v>163</v>
      </c>
      <c r="C19" s="12" t="s">
        <v>165</v>
      </c>
      <c r="D19" s="12" t="s">
        <v>166</v>
      </c>
      <c r="E19" s="12" t="s">
        <v>164</v>
      </c>
      <c r="F19" s="12" t="s">
        <v>167</v>
      </c>
      <c r="G19" s="12" t="s">
        <v>412</v>
      </c>
      <c r="H19" s="13" t="s">
        <v>169</v>
      </c>
    </row>
    <row r="20" spans="1:8" x14ac:dyDescent="0.35">
      <c r="A20" t="s">
        <v>173</v>
      </c>
      <c r="B20" t="s">
        <v>424</v>
      </c>
      <c r="C20" s="1">
        <v>45413</v>
      </c>
      <c r="D20" s="2">
        <v>0.14027777777777778</v>
      </c>
      <c r="E20" t="s">
        <v>2</v>
      </c>
      <c r="F20" t="s">
        <v>3</v>
      </c>
      <c r="G20" s="3">
        <v>22.39</v>
      </c>
      <c r="H20" s="3">
        <v>3.35</v>
      </c>
    </row>
    <row r="21" spans="1:8" x14ac:dyDescent="0.35">
      <c r="A21" t="s">
        <v>173</v>
      </c>
      <c r="B21" t="s">
        <v>425</v>
      </c>
      <c r="C21" s="1">
        <v>45413</v>
      </c>
      <c r="D21" s="2">
        <v>0.46249999999999997</v>
      </c>
      <c r="E21" t="s">
        <v>2</v>
      </c>
      <c r="F21" t="s">
        <v>3</v>
      </c>
      <c r="G21" s="3">
        <v>32.24</v>
      </c>
      <c r="H21" s="3">
        <v>4.83</v>
      </c>
    </row>
    <row r="22" spans="1:8" x14ac:dyDescent="0.35">
      <c r="A22" t="s">
        <v>173</v>
      </c>
      <c r="B22" t="s">
        <v>426</v>
      </c>
      <c r="C22" s="1">
        <v>45414</v>
      </c>
      <c r="D22" s="2">
        <v>0.37847222222222227</v>
      </c>
      <c r="E22" t="s">
        <v>2</v>
      </c>
      <c r="F22" t="s">
        <v>3</v>
      </c>
      <c r="G22" s="3">
        <v>18.809999999999999</v>
      </c>
      <c r="H22" s="3">
        <v>2.82</v>
      </c>
    </row>
    <row r="23" spans="1:8" x14ac:dyDescent="0.35">
      <c r="A23" t="s">
        <v>173</v>
      </c>
      <c r="B23" t="s">
        <v>427</v>
      </c>
      <c r="C23" s="1">
        <v>45414</v>
      </c>
      <c r="D23" s="2">
        <v>0.43402777777777773</v>
      </c>
      <c r="E23" t="s">
        <v>2</v>
      </c>
      <c r="F23" t="s">
        <v>3</v>
      </c>
      <c r="G23" s="3">
        <v>30.54</v>
      </c>
      <c r="H23" s="3">
        <v>4.57</v>
      </c>
    </row>
    <row r="24" spans="1:8" x14ac:dyDescent="0.35">
      <c r="A24" t="s">
        <v>173</v>
      </c>
      <c r="B24" t="s">
        <v>428</v>
      </c>
      <c r="C24" s="1">
        <v>45415</v>
      </c>
      <c r="D24" s="2">
        <v>3.0555555555555555E-2</v>
      </c>
      <c r="E24" t="s">
        <v>2</v>
      </c>
      <c r="F24" t="s">
        <v>3</v>
      </c>
      <c r="G24" s="3">
        <v>44.78</v>
      </c>
      <c r="H24" s="3">
        <v>6.71</v>
      </c>
    </row>
    <row r="25" spans="1:8" x14ac:dyDescent="0.35">
      <c r="A25" t="s">
        <v>173</v>
      </c>
      <c r="B25" t="s">
        <v>429</v>
      </c>
      <c r="C25" s="1">
        <v>45417</v>
      </c>
      <c r="D25" s="2">
        <v>0.14583333333333334</v>
      </c>
      <c r="E25" t="s">
        <v>180</v>
      </c>
      <c r="F25" t="s">
        <v>3</v>
      </c>
      <c r="G25" s="3">
        <v>25.37</v>
      </c>
      <c r="H25" s="3">
        <v>3.8</v>
      </c>
    </row>
    <row r="26" spans="1:8" x14ac:dyDescent="0.35">
      <c r="A26" t="s">
        <v>173</v>
      </c>
      <c r="B26" t="s">
        <v>430</v>
      </c>
      <c r="C26" s="1">
        <v>45417</v>
      </c>
      <c r="D26" s="2">
        <v>0.63680555555555551</v>
      </c>
      <c r="E26" t="s">
        <v>2</v>
      </c>
      <c r="F26" t="s">
        <v>3</v>
      </c>
      <c r="G26" s="3">
        <v>18.809999999999999</v>
      </c>
      <c r="H26" s="3">
        <v>2.82</v>
      </c>
    </row>
    <row r="27" spans="1:8" x14ac:dyDescent="0.35">
      <c r="A27" t="s">
        <v>173</v>
      </c>
      <c r="B27" t="s">
        <v>431</v>
      </c>
      <c r="C27" s="1">
        <v>45418</v>
      </c>
      <c r="D27" s="2">
        <v>1.2499999999999999E-2</v>
      </c>
      <c r="E27" t="s">
        <v>2</v>
      </c>
      <c r="F27" t="s">
        <v>3</v>
      </c>
      <c r="G27" s="3">
        <v>67.52</v>
      </c>
      <c r="H27" s="3">
        <v>10.11</v>
      </c>
    </row>
    <row r="28" spans="1:8" x14ac:dyDescent="0.35">
      <c r="A28" t="s">
        <v>173</v>
      </c>
      <c r="B28" t="s">
        <v>432</v>
      </c>
      <c r="C28" s="1">
        <v>45418</v>
      </c>
      <c r="D28" s="2">
        <v>0.23958333333333334</v>
      </c>
      <c r="E28" t="s">
        <v>2</v>
      </c>
      <c r="F28" t="s">
        <v>3</v>
      </c>
      <c r="G28" s="3">
        <v>22.39</v>
      </c>
      <c r="H28" s="3">
        <v>3.35</v>
      </c>
    </row>
    <row r="29" spans="1:8" x14ac:dyDescent="0.35">
      <c r="A29" t="s">
        <v>173</v>
      </c>
      <c r="B29" t="s">
        <v>433</v>
      </c>
      <c r="C29" s="1">
        <v>45418</v>
      </c>
      <c r="D29" s="2">
        <v>0.96736111111111101</v>
      </c>
      <c r="E29" t="s">
        <v>180</v>
      </c>
      <c r="F29" t="s">
        <v>3</v>
      </c>
      <c r="G29" s="3">
        <v>0.5</v>
      </c>
      <c r="H29" s="3">
        <v>7.0000000000000007E-2</v>
      </c>
    </row>
    <row r="30" spans="1:8" x14ac:dyDescent="0.35">
      <c r="A30" t="s">
        <v>173</v>
      </c>
      <c r="B30" t="s">
        <v>434</v>
      </c>
      <c r="C30" s="1">
        <v>45418</v>
      </c>
      <c r="D30" s="2">
        <v>0.98055555555555562</v>
      </c>
      <c r="E30" t="s">
        <v>2</v>
      </c>
      <c r="F30" t="s">
        <v>3</v>
      </c>
      <c r="G30" s="3">
        <v>10.82</v>
      </c>
      <c r="H30" s="3">
        <v>1.62</v>
      </c>
    </row>
    <row r="31" spans="1:8" x14ac:dyDescent="0.35">
      <c r="A31" t="s">
        <v>173</v>
      </c>
      <c r="B31" t="s">
        <v>435</v>
      </c>
      <c r="C31" s="1">
        <v>45418</v>
      </c>
      <c r="D31" s="2">
        <v>0.99791666666666667</v>
      </c>
      <c r="E31" t="s">
        <v>2</v>
      </c>
      <c r="F31" t="s">
        <v>3</v>
      </c>
      <c r="G31" s="3">
        <v>45.91</v>
      </c>
      <c r="H31" s="3">
        <v>6.88</v>
      </c>
    </row>
    <row r="32" spans="1:8" x14ac:dyDescent="0.35">
      <c r="A32" t="s">
        <v>173</v>
      </c>
      <c r="B32" t="s">
        <v>436</v>
      </c>
      <c r="C32" s="1">
        <v>45419</v>
      </c>
      <c r="D32" s="2">
        <v>5.5555555555555552E-2</v>
      </c>
      <c r="E32" t="s">
        <v>180</v>
      </c>
      <c r="F32" t="s">
        <v>3</v>
      </c>
      <c r="G32" s="3">
        <v>0.5</v>
      </c>
      <c r="H32" s="3">
        <v>7.0000000000000007E-2</v>
      </c>
    </row>
    <row r="33" spans="1:8" x14ac:dyDescent="0.35">
      <c r="A33" t="s">
        <v>173</v>
      </c>
      <c r="B33" t="s">
        <v>437</v>
      </c>
      <c r="C33" s="1">
        <v>45420</v>
      </c>
      <c r="D33" s="2">
        <v>0.16944444444444443</v>
      </c>
      <c r="E33" t="s">
        <v>2</v>
      </c>
      <c r="F33" t="s">
        <v>3</v>
      </c>
      <c r="G33" s="3">
        <v>36.75</v>
      </c>
      <c r="H33" s="3">
        <v>5.5</v>
      </c>
    </row>
    <row r="34" spans="1:8" x14ac:dyDescent="0.35">
      <c r="A34" t="s">
        <v>173</v>
      </c>
      <c r="B34" t="s">
        <v>438</v>
      </c>
      <c r="C34" s="1">
        <v>45421</v>
      </c>
      <c r="D34" s="2">
        <v>0.77430555555555547</v>
      </c>
      <c r="E34" t="s">
        <v>2</v>
      </c>
      <c r="F34" t="s">
        <v>3</v>
      </c>
      <c r="G34" s="3">
        <v>18.809999999999999</v>
      </c>
      <c r="H34" s="3">
        <v>2.82</v>
      </c>
    </row>
    <row r="35" spans="1:8" x14ac:dyDescent="0.35">
      <c r="A35" t="s">
        <v>173</v>
      </c>
      <c r="B35" t="s">
        <v>439</v>
      </c>
      <c r="C35" s="1">
        <v>45421</v>
      </c>
      <c r="D35" s="2">
        <v>0.95416666666666661</v>
      </c>
      <c r="E35" t="s">
        <v>2</v>
      </c>
      <c r="F35" t="s">
        <v>3</v>
      </c>
      <c r="G35" s="3">
        <v>28.72</v>
      </c>
      <c r="H35" s="3">
        <v>4.3</v>
      </c>
    </row>
    <row r="36" spans="1:8" x14ac:dyDescent="0.35">
      <c r="A36" t="s">
        <v>173</v>
      </c>
      <c r="B36" t="s">
        <v>440</v>
      </c>
      <c r="C36" s="1">
        <v>45422</v>
      </c>
      <c r="D36" s="2">
        <v>0.37847222222222227</v>
      </c>
      <c r="E36" t="s">
        <v>2</v>
      </c>
      <c r="F36" t="s">
        <v>3</v>
      </c>
      <c r="G36" s="3">
        <v>16.899999999999999</v>
      </c>
      <c r="H36" s="3">
        <v>2.5299999999999998</v>
      </c>
    </row>
    <row r="37" spans="1:8" x14ac:dyDescent="0.35">
      <c r="A37" t="s">
        <v>173</v>
      </c>
      <c r="B37" t="s">
        <v>441</v>
      </c>
      <c r="C37" s="1">
        <v>45422</v>
      </c>
      <c r="D37" s="2">
        <v>0.9145833333333333</v>
      </c>
      <c r="E37" t="s">
        <v>2</v>
      </c>
      <c r="F37" t="s">
        <v>3</v>
      </c>
      <c r="G37" s="3">
        <v>33.76</v>
      </c>
      <c r="H37" s="3">
        <v>5.0599999999999996</v>
      </c>
    </row>
    <row r="38" spans="1:8" x14ac:dyDescent="0.35">
      <c r="A38" t="s">
        <v>173</v>
      </c>
      <c r="B38" t="s">
        <v>442</v>
      </c>
      <c r="C38" s="1">
        <v>45423</v>
      </c>
      <c r="D38" s="2">
        <v>0.92013888888888884</v>
      </c>
      <c r="E38" t="s">
        <v>2</v>
      </c>
      <c r="F38" t="s">
        <v>3</v>
      </c>
      <c r="G38" s="3">
        <v>18.809999999999999</v>
      </c>
      <c r="H38" s="3">
        <v>2.82</v>
      </c>
    </row>
    <row r="39" spans="1:8" x14ac:dyDescent="0.35">
      <c r="A39" t="s">
        <v>173</v>
      </c>
      <c r="B39" t="s">
        <v>443</v>
      </c>
      <c r="C39" s="1">
        <v>45423</v>
      </c>
      <c r="D39" s="2">
        <v>0.98541666666666661</v>
      </c>
      <c r="E39" t="s">
        <v>2</v>
      </c>
      <c r="F39" t="s">
        <v>3</v>
      </c>
      <c r="G39" s="3">
        <v>67.25</v>
      </c>
      <c r="H39" s="3">
        <v>10.07</v>
      </c>
    </row>
    <row r="40" spans="1:8" x14ac:dyDescent="0.35">
      <c r="A40" t="s">
        <v>173</v>
      </c>
      <c r="B40" t="s">
        <v>444</v>
      </c>
      <c r="C40" s="1">
        <v>45424</v>
      </c>
      <c r="D40" s="2">
        <v>3.0555555555555555E-2</v>
      </c>
      <c r="E40" t="s">
        <v>2</v>
      </c>
      <c r="F40" t="s">
        <v>3</v>
      </c>
      <c r="G40" s="3">
        <v>32.83</v>
      </c>
      <c r="H40" s="3">
        <v>4.92</v>
      </c>
    </row>
    <row r="41" spans="1:8" x14ac:dyDescent="0.35">
      <c r="A41" t="s">
        <v>173</v>
      </c>
      <c r="B41" t="s">
        <v>445</v>
      </c>
      <c r="C41" s="1">
        <v>45424</v>
      </c>
      <c r="D41" s="2">
        <v>7.013888888888889E-2</v>
      </c>
      <c r="E41" t="s">
        <v>2</v>
      </c>
      <c r="F41" t="s">
        <v>3</v>
      </c>
      <c r="G41" s="3">
        <v>37.340000000000003</v>
      </c>
      <c r="H41" s="3">
        <v>5.59</v>
      </c>
    </row>
    <row r="42" spans="1:8" x14ac:dyDescent="0.35">
      <c r="A42" t="s">
        <v>173</v>
      </c>
      <c r="B42" t="s">
        <v>446</v>
      </c>
      <c r="C42" s="1">
        <v>45426</v>
      </c>
      <c r="D42" s="2">
        <v>9.8611111111111108E-2</v>
      </c>
      <c r="E42" t="s">
        <v>2</v>
      </c>
      <c r="F42" t="s">
        <v>3</v>
      </c>
      <c r="G42" s="3">
        <v>18.809999999999999</v>
      </c>
      <c r="H42" s="3">
        <v>2.82</v>
      </c>
    </row>
    <row r="43" spans="1:8" x14ac:dyDescent="0.35">
      <c r="A43" t="s">
        <v>173</v>
      </c>
      <c r="B43" t="s">
        <v>447</v>
      </c>
      <c r="C43" s="1">
        <v>45426</v>
      </c>
      <c r="D43" s="2">
        <v>0.3840277777777778</v>
      </c>
      <c r="E43" t="s">
        <v>2</v>
      </c>
      <c r="F43" t="s">
        <v>3</v>
      </c>
      <c r="G43" s="3">
        <v>22.39</v>
      </c>
      <c r="H43" s="3">
        <v>3.35</v>
      </c>
    </row>
    <row r="44" spans="1:8" x14ac:dyDescent="0.35">
      <c r="A44" t="s">
        <v>173</v>
      </c>
      <c r="B44" t="s">
        <v>448</v>
      </c>
      <c r="C44" s="1">
        <v>45427</v>
      </c>
      <c r="D44" s="2">
        <v>0.92986111111111114</v>
      </c>
      <c r="E44" t="s">
        <v>2</v>
      </c>
      <c r="F44" t="s">
        <v>3</v>
      </c>
      <c r="G44" s="3">
        <v>24.08</v>
      </c>
      <c r="H44" s="3">
        <v>3.61</v>
      </c>
    </row>
    <row r="45" spans="1:8" x14ac:dyDescent="0.35">
      <c r="A45" t="s">
        <v>173</v>
      </c>
      <c r="B45" t="s">
        <v>449</v>
      </c>
      <c r="C45" s="1">
        <v>45428</v>
      </c>
      <c r="D45" s="2">
        <v>1.4583333333333332E-2</v>
      </c>
      <c r="E45" t="s">
        <v>180</v>
      </c>
      <c r="F45" t="s">
        <v>3</v>
      </c>
      <c r="G45" s="3">
        <v>18.809999999999999</v>
      </c>
      <c r="H45" s="3">
        <v>2.82</v>
      </c>
    </row>
    <row r="46" spans="1:8" x14ac:dyDescent="0.35">
      <c r="A46" t="s">
        <v>173</v>
      </c>
      <c r="B46" t="s">
        <v>450</v>
      </c>
      <c r="C46" s="1">
        <v>45428</v>
      </c>
      <c r="D46" s="2">
        <v>9.5138888888888884E-2</v>
      </c>
      <c r="E46" t="s">
        <v>2</v>
      </c>
      <c r="F46" t="s">
        <v>3</v>
      </c>
      <c r="G46" s="3">
        <v>23.76</v>
      </c>
      <c r="H46" s="3">
        <v>3.56</v>
      </c>
    </row>
    <row r="47" spans="1:8" x14ac:dyDescent="0.35">
      <c r="A47" t="s">
        <v>173</v>
      </c>
      <c r="B47" t="s">
        <v>451</v>
      </c>
      <c r="C47" s="1">
        <v>45428</v>
      </c>
      <c r="D47" s="2">
        <v>0.60902777777777783</v>
      </c>
      <c r="E47" t="s">
        <v>2</v>
      </c>
      <c r="F47" t="s">
        <v>3</v>
      </c>
      <c r="G47" s="3">
        <v>24.08</v>
      </c>
      <c r="H47" s="3">
        <v>3.61</v>
      </c>
    </row>
    <row r="48" spans="1:8" x14ac:dyDescent="0.35">
      <c r="A48" t="s">
        <v>173</v>
      </c>
      <c r="B48" t="s">
        <v>452</v>
      </c>
      <c r="C48" s="1">
        <v>45429</v>
      </c>
      <c r="D48" s="2">
        <v>6.6666666666666666E-2</v>
      </c>
      <c r="E48" t="s">
        <v>2</v>
      </c>
      <c r="F48" t="s">
        <v>3</v>
      </c>
      <c r="G48" s="3">
        <v>25.98</v>
      </c>
      <c r="H48" s="3">
        <v>3.89</v>
      </c>
    </row>
    <row r="49" spans="1:8" x14ac:dyDescent="0.35">
      <c r="A49" t="s">
        <v>173</v>
      </c>
      <c r="B49" t="s">
        <v>453</v>
      </c>
      <c r="C49" s="1">
        <v>45429</v>
      </c>
      <c r="D49" s="2">
        <v>7.1527777777777787E-2</v>
      </c>
      <c r="E49" t="s">
        <v>2</v>
      </c>
      <c r="F49" t="s">
        <v>3</v>
      </c>
      <c r="G49" s="3">
        <v>21.79</v>
      </c>
      <c r="H49" s="3">
        <v>3.26</v>
      </c>
    </row>
    <row r="50" spans="1:8" x14ac:dyDescent="0.35">
      <c r="A50" t="s">
        <v>173</v>
      </c>
      <c r="B50" t="s">
        <v>454</v>
      </c>
      <c r="C50" s="1">
        <v>45429</v>
      </c>
      <c r="D50" s="2">
        <v>7.6388888888888895E-2</v>
      </c>
      <c r="E50" t="s">
        <v>2</v>
      </c>
      <c r="F50" t="s">
        <v>3</v>
      </c>
      <c r="G50" s="3">
        <v>17.89</v>
      </c>
      <c r="H50" s="3">
        <v>2.68</v>
      </c>
    </row>
    <row r="51" spans="1:8" x14ac:dyDescent="0.35">
      <c r="A51" t="s">
        <v>173</v>
      </c>
      <c r="B51" t="s">
        <v>455</v>
      </c>
      <c r="C51" s="1">
        <v>45429</v>
      </c>
      <c r="D51" s="2">
        <v>0.46180555555555558</v>
      </c>
      <c r="E51" t="s">
        <v>2</v>
      </c>
      <c r="F51" t="s">
        <v>3</v>
      </c>
      <c r="G51" s="3">
        <v>18.809999999999999</v>
      </c>
      <c r="H51" s="3">
        <v>2.82</v>
      </c>
    </row>
    <row r="52" spans="1:8" x14ac:dyDescent="0.35">
      <c r="A52" t="s">
        <v>173</v>
      </c>
      <c r="B52" t="s">
        <v>456</v>
      </c>
      <c r="C52" s="1">
        <v>45430</v>
      </c>
      <c r="D52" s="2">
        <v>1.5972222222222224E-2</v>
      </c>
      <c r="E52" t="s">
        <v>2</v>
      </c>
      <c r="F52" t="s">
        <v>3</v>
      </c>
      <c r="G52" s="3">
        <v>18.809999999999999</v>
      </c>
      <c r="H52" s="3">
        <v>2.82</v>
      </c>
    </row>
    <row r="53" spans="1:8" x14ac:dyDescent="0.35">
      <c r="A53" t="s">
        <v>173</v>
      </c>
      <c r="B53" t="s">
        <v>457</v>
      </c>
      <c r="C53" s="1">
        <v>45430</v>
      </c>
      <c r="D53" s="2">
        <v>0.22916666666666666</v>
      </c>
      <c r="E53" t="s">
        <v>2</v>
      </c>
      <c r="F53" t="s">
        <v>3</v>
      </c>
      <c r="G53" s="3">
        <v>71.44</v>
      </c>
      <c r="H53" s="3">
        <v>10.7</v>
      </c>
    </row>
    <row r="54" spans="1:8" x14ac:dyDescent="0.35">
      <c r="A54" t="s">
        <v>173</v>
      </c>
      <c r="B54" t="s">
        <v>458</v>
      </c>
      <c r="C54" s="1">
        <v>45430</v>
      </c>
      <c r="D54" s="2">
        <v>0.99652777777777779</v>
      </c>
      <c r="E54" t="s">
        <v>2</v>
      </c>
      <c r="F54" t="s">
        <v>3</v>
      </c>
      <c r="G54" s="3">
        <v>26.96</v>
      </c>
      <c r="H54" s="3">
        <v>4.04</v>
      </c>
    </row>
    <row r="55" spans="1:8" x14ac:dyDescent="0.35">
      <c r="A55" t="s">
        <v>173</v>
      </c>
      <c r="B55" t="s">
        <v>459</v>
      </c>
      <c r="C55" s="1">
        <v>45431</v>
      </c>
      <c r="D55" s="2">
        <v>0.16597222222222222</v>
      </c>
      <c r="E55" t="s">
        <v>2</v>
      </c>
      <c r="F55" t="s">
        <v>3</v>
      </c>
      <c r="G55" s="3">
        <v>29.29</v>
      </c>
      <c r="H55" s="3">
        <v>4.3899999999999997</v>
      </c>
    </row>
    <row r="56" spans="1:8" x14ac:dyDescent="0.35">
      <c r="A56" t="s">
        <v>173</v>
      </c>
      <c r="B56" t="s">
        <v>460</v>
      </c>
      <c r="C56" s="1">
        <v>45431</v>
      </c>
      <c r="D56" s="2">
        <v>0.4145833333333333</v>
      </c>
      <c r="E56" t="s">
        <v>2</v>
      </c>
      <c r="F56" t="s">
        <v>3</v>
      </c>
      <c r="G56" s="3">
        <v>13.99</v>
      </c>
      <c r="H56" s="3">
        <v>2.1</v>
      </c>
    </row>
    <row r="57" spans="1:8" x14ac:dyDescent="0.35">
      <c r="A57" t="s">
        <v>173</v>
      </c>
      <c r="B57" t="s">
        <v>461</v>
      </c>
      <c r="C57" s="1">
        <v>45431</v>
      </c>
      <c r="D57" s="2">
        <v>0.88541666666666663</v>
      </c>
      <c r="E57" t="s">
        <v>2</v>
      </c>
      <c r="F57" t="s">
        <v>3</v>
      </c>
      <c r="G57" s="3">
        <v>45.35</v>
      </c>
      <c r="H57" s="3">
        <v>6.79</v>
      </c>
    </row>
    <row r="58" spans="1:8" x14ac:dyDescent="0.35">
      <c r="A58" t="s">
        <v>173</v>
      </c>
      <c r="B58" t="s">
        <v>462</v>
      </c>
      <c r="C58" s="1">
        <v>45433</v>
      </c>
      <c r="D58" s="2">
        <v>0.15486111111111112</v>
      </c>
      <c r="E58" t="s">
        <v>2</v>
      </c>
      <c r="F58" t="s">
        <v>3</v>
      </c>
      <c r="G58" s="3">
        <v>32.85</v>
      </c>
      <c r="H58" s="3">
        <v>4.92</v>
      </c>
    </row>
    <row r="59" spans="1:8" x14ac:dyDescent="0.35">
      <c r="A59" t="s">
        <v>173</v>
      </c>
      <c r="B59" t="s">
        <v>463</v>
      </c>
      <c r="C59" s="1">
        <v>45434</v>
      </c>
      <c r="D59" s="2">
        <v>0.98055555555555562</v>
      </c>
      <c r="E59" t="s">
        <v>2</v>
      </c>
      <c r="F59" t="s">
        <v>3</v>
      </c>
      <c r="G59" s="3">
        <v>28.53</v>
      </c>
      <c r="H59" s="3">
        <v>4.2699999999999996</v>
      </c>
    </row>
    <row r="60" spans="1:8" x14ac:dyDescent="0.35">
      <c r="A60" t="s">
        <v>173</v>
      </c>
      <c r="B60" t="s">
        <v>464</v>
      </c>
      <c r="C60" s="1">
        <v>45436</v>
      </c>
      <c r="D60" s="2">
        <v>0.22638888888888889</v>
      </c>
      <c r="E60" t="s">
        <v>2</v>
      </c>
      <c r="F60" t="s">
        <v>3</v>
      </c>
      <c r="G60" s="3">
        <v>11.4</v>
      </c>
      <c r="H60" s="3">
        <v>1.71</v>
      </c>
    </row>
    <row r="61" spans="1:8" x14ac:dyDescent="0.35">
      <c r="A61" t="s">
        <v>173</v>
      </c>
      <c r="B61" t="s">
        <v>465</v>
      </c>
      <c r="C61" s="1">
        <v>45438</v>
      </c>
      <c r="D61" s="2">
        <v>7.2916666666666671E-2</v>
      </c>
      <c r="E61" t="s">
        <v>2</v>
      </c>
      <c r="F61" t="s">
        <v>3</v>
      </c>
      <c r="G61" s="3">
        <v>37.619999999999997</v>
      </c>
      <c r="H61" s="3">
        <v>5.63</v>
      </c>
    </row>
    <row r="62" spans="1:8" x14ac:dyDescent="0.35">
      <c r="A62" t="s">
        <v>173</v>
      </c>
      <c r="B62" t="s">
        <v>466</v>
      </c>
      <c r="C62" s="1">
        <v>45438</v>
      </c>
      <c r="D62" s="2">
        <v>0.17777777777777778</v>
      </c>
      <c r="E62" t="s">
        <v>2</v>
      </c>
      <c r="F62" t="s">
        <v>3</v>
      </c>
      <c r="G62" s="3">
        <v>18.809999999999999</v>
      </c>
      <c r="H62" s="3">
        <v>2.82</v>
      </c>
    </row>
    <row r="63" spans="1:8" x14ac:dyDescent="0.35">
      <c r="A63" t="s">
        <v>173</v>
      </c>
      <c r="B63" t="s">
        <v>467</v>
      </c>
      <c r="C63" s="1">
        <v>45439</v>
      </c>
      <c r="D63" s="2">
        <v>0.14305555555555557</v>
      </c>
      <c r="E63" t="s">
        <v>2</v>
      </c>
      <c r="F63" t="s">
        <v>3</v>
      </c>
      <c r="G63" s="3">
        <v>18.809999999999999</v>
      </c>
      <c r="H63" s="3">
        <v>2.82</v>
      </c>
    </row>
    <row r="64" spans="1:8" ht="15" thickBot="1" x14ac:dyDescent="0.4">
      <c r="A64" s="4" t="s">
        <v>173</v>
      </c>
      <c r="B64" s="4" t="s">
        <v>468</v>
      </c>
      <c r="C64" s="6">
        <v>45440</v>
      </c>
      <c r="D64" s="7">
        <v>5.486111111111111E-2</v>
      </c>
      <c r="E64" s="4" t="s">
        <v>2</v>
      </c>
      <c r="F64" s="4" t="s">
        <v>3</v>
      </c>
      <c r="G64" s="5">
        <v>18.809999999999999</v>
      </c>
      <c r="H64" s="5">
        <v>2.82</v>
      </c>
    </row>
    <row r="65" spans="1:8" ht="15" x14ac:dyDescent="0.25">
      <c r="A65" t="s">
        <v>752</v>
      </c>
      <c r="G65" s="9">
        <f>SUM(G20:G64)</f>
        <v>1220.8199999999995</v>
      </c>
      <c r="H65" s="9">
        <f>SUM(H20:H64)</f>
        <v>182.85999999999993</v>
      </c>
    </row>
    <row r="68" spans="1:8" ht="15.75" thickBot="1" x14ac:dyDescent="0.3"/>
    <row r="69" spans="1:8" ht="15.75" thickBot="1" x14ac:dyDescent="0.3">
      <c r="A69" s="11" t="s">
        <v>411</v>
      </c>
      <c r="B69" s="12" t="s">
        <v>163</v>
      </c>
      <c r="C69" s="12" t="s">
        <v>165</v>
      </c>
      <c r="D69" s="12" t="s">
        <v>166</v>
      </c>
      <c r="E69" s="12" t="s">
        <v>164</v>
      </c>
      <c r="F69" s="12" t="s">
        <v>167</v>
      </c>
      <c r="G69" s="12" t="s">
        <v>412</v>
      </c>
      <c r="H69" s="13" t="s">
        <v>169</v>
      </c>
    </row>
    <row r="70" spans="1:8" x14ac:dyDescent="0.35">
      <c r="A70" t="s">
        <v>0</v>
      </c>
      <c r="B70" t="s">
        <v>469</v>
      </c>
      <c r="C70" s="1">
        <v>45413</v>
      </c>
      <c r="D70" s="2">
        <v>2.5694444444444447E-2</v>
      </c>
      <c r="E70" t="s">
        <v>2</v>
      </c>
      <c r="F70" t="s">
        <v>3</v>
      </c>
      <c r="G70" s="3">
        <v>24.7</v>
      </c>
      <c r="H70" s="3">
        <v>3.7</v>
      </c>
    </row>
    <row r="71" spans="1:8" x14ac:dyDescent="0.35">
      <c r="A71" t="s">
        <v>0</v>
      </c>
      <c r="B71" t="s">
        <v>470</v>
      </c>
      <c r="C71" s="1">
        <v>45413</v>
      </c>
      <c r="D71" s="2">
        <v>5.9027777777777783E-2</v>
      </c>
      <c r="E71" t="s">
        <v>2</v>
      </c>
      <c r="F71" t="s">
        <v>3</v>
      </c>
      <c r="G71" s="3">
        <v>13</v>
      </c>
      <c r="H71" s="3">
        <v>1.95</v>
      </c>
    </row>
    <row r="72" spans="1:8" x14ac:dyDescent="0.35">
      <c r="A72" t="s">
        <v>0</v>
      </c>
      <c r="B72" t="s">
        <v>471</v>
      </c>
      <c r="C72" s="1">
        <v>45414</v>
      </c>
      <c r="D72" s="2">
        <v>0.17361111111111113</v>
      </c>
      <c r="E72" t="s">
        <v>2</v>
      </c>
      <c r="F72" t="s">
        <v>3</v>
      </c>
      <c r="G72" s="3">
        <v>58.11</v>
      </c>
      <c r="H72" s="3">
        <v>8.6999999999999993</v>
      </c>
    </row>
    <row r="73" spans="1:8" x14ac:dyDescent="0.35">
      <c r="A73" t="s">
        <v>0</v>
      </c>
      <c r="B73" t="s">
        <v>472</v>
      </c>
      <c r="C73" s="1">
        <v>45414</v>
      </c>
      <c r="D73" s="2">
        <v>0.44236111111111115</v>
      </c>
      <c r="E73" t="s">
        <v>2</v>
      </c>
      <c r="F73" t="s">
        <v>3</v>
      </c>
      <c r="G73" s="3">
        <v>44.53</v>
      </c>
      <c r="H73" s="3">
        <v>6.67</v>
      </c>
    </row>
    <row r="74" spans="1:8" x14ac:dyDescent="0.35">
      <c r="A74" t="s">
        <v>0</v>
      </c>
      <c r="B74" t="s">
        <v>473</v>
      </c>
      <c r="C74" s="1">
        <v>45418</v>
      </c>
      <c r="D74" s="2">
        <v>0.10486111111111111</v>
      </c>
      <c r="E74" t="s">
        <v>2</v>
      </c>
      <c r="F74" t="s">
        <v>3</v>
      </c>
      <c r="G74" s="3">
        <v>29.9</v>
      </c>
      <c r="H74" s="3">
        <v>4.4800000000000004</v>
      </c>
    </row>
    <row r="75" spans="1:8" x14ac:dyDescent="0.35">
      <c r="A75" t="s">
        <v>0</v>
      </c>
      <c r="B75" t="s">
        <v>474</v>
      </c>
      <c r="C75" s="1">
        <v>45418</v>
      </c>
      <c r="D75" s="2">
        <v>0.91319444444444453</v>
      </c>
      <c r="E75" t="s">
        <v>180</v>
      </c>
      <c r="F75" t="s">
        <v>3</v>
      </c>
      <c r="G75" s="3">
        <v>0.5</v>
      </c>
      <c r="H75" s="3">
        <v>7.0000000000000007E-2</v>
      </c>
    </row>
    <row r="76" spans="1:8" x14ac:dyDescent="0.35">
      <c r="A76" t="s">
        <v>0</v>
      </c>
      <c r="B76" t="s">
        <v>475</v>
      </c>
      <c r="C76" s="1">
        <v>45418</v>
      </c>
      <c r="D76" s="2">
        <v>0.96666666666666667</v>
      </c>
      <c r="E76" t="s">
        <v>180</v>
      </c>
      <c r="F76" t="s">
        <v>3</v>
      </c>
      <c r="G76" s="3">
        <v>0.5</v>
      </c>
      <c r="H76" s="3">
        <v>7.0000000000000007E-2</v>
      </c>
    </row>
    <row r="77" spans="1:8" x14ac:dyDescent="0.35">
      <c r="A77" t="s">
        <v>0</v>
      </c>
      <c r="B77" t="s">
        <v>476</v>
      </c>
      <c r="C77" s="1">
        <v>45419</v>
      </c>
      <c r="D77" s="2">
        <v>5.486111111111111E-2</v>
      </c>
      <c r="E77" t="s">
        <v>180</v>
      </c>
      <c r="F77" t="s">
        <v>3</v>
      </c>
      <c r="G77" s="3">
        <v>0.5</v>
      </c>
      <c r="H77" s="3">
        <v>7.0000000000000007E-2</v>
      </c>
    </row>
    <row r="78" spans="1:8" x14ac:dyDescent="0.35">
      <c r="A78" t="s">
        <v>0</v>
      </c>
      <c r="B78" t="s">
        <v>477</v>
      </c>
      <c r="C78" s="1">
        <v>45419</v>
      </c>
      <c r="D78" s="2">
        <v>0.1125</v>
      </c>
      <c r="E78" t="s">
        <v>2</v>
      </c>
      <c r="F78" t="s">
        <v>3</v>
      </c>
      <c r="G78" s="3">
        <v>50.7</v>
      </c>
      <c r="H78" s="3">
        <v>7.59</v>
      </c>
    </row>
    <row r="79" spans="1:8" x14ac:dyDescent="0.35">
      <c r="A79" t="s">
        <v>0</v>
      </c>
      <c r="B79" t="s">
        <v>478</v>
      </c>
      <c r="C79" s="1">
        <v>45419</v>
      </c>
      <c r="D79" s="2">
        <v>0.4458333333333333</v>
      </c>
      <c r="E79" t="s">
        <v>2</v>
      </c>
      <c r="F79" t="s">
        <v>3</v>
      </c>
      <c r="G79" s="3">
        <v>22.67</v>
      </c>
      <c r="H79" s="3">
        <v>3.39</v>
      </c>
    </row>
    <row r="80" spans="1:8" x14ac:dyDescent="0.35">
      <c r="A80" t="s">
        <v>0</v>
      </c>
      <c r="B80" t="s">
        <v>479</v>
      </c>
      <c r="C80" s="1">
        <v>45419</v>
      </c>
      <c r="D80" s="2">
        <v>0.42708333333333331</v>
      </c>
      <c r="E80" t="s">
        <v>2</v>
      </c>
      <c r="F80" t="s">
        <v>3</v>
      </c>
      <c r="G80" s="3">
        <v>131.30000000000001</v>
      </c>
      <c r="H80" s="3">
        <v>19.66</v>
      </c>
    </row>
    <row r="81" spans="1:8" x14ac:dyDescent="0.35">
      <c r="A81" t="s">
        <v>0</v>
      </c>
      <c r="B81" t="s">
        <v>480</v>
      </c>
      <c r="C81" s="1">
        <v>45420</v>
      </c>
      <c r="D81" s="2">
        <v>0.18958333333333333</v>
      </c>
      <c r="E81" t="s">
        <v>2</v>
      </c>
      <c r="F81" t="s">
        <v>3</v>
      </c>
      <c r="G81" s="3">
        <v>29.9</v>
      </c>
      <c r="H81" s="3">
        <v>4.4800000000000004</v>
      </c>
    </row>
    <row r="82" spans="1:8" x14ac:dyDescent="0.35">
      <c r="A82" t="s">
        <v>0</v>
      </c>
      <c r="B82" t="s">
        <v>481</v>
      </c>
      <c r="C82" s="1">
        <v>45420</v>
      </c>
      <c r="D82" s="2">
        <v>0.44375000000000003</v>
      </c>
      <c r="E82" t="s">
        <v>2</v>
      </c>
      <c r="F82" t="s">
        <v>3</v>
      </c>
      <c r="G82" s="3">
        <v>16.899999999999999</v>
      </c>
      <c r="H82" s="3">
        <v>2.5299999999999998</v>
      </c>
    </row>
    <row r="83" spans="1:8" x14ac:dyDescent="0.35">
      <c r="A83" t="s">
        <v>0</v>
      </c>
      <c r="B83" t="s">
        <v>482</v>
      </c>
      <c r="C83" s="1">
        <v>45428</v>
      </c>
      <c r="D83" s="2">
        <v>0.45069444444444445</v>
      </c>
      <c r="E83" t="s">
        <v>2</v>
      </c>
      <c r="F83" t="s">
        <v>3</v>
      </c>
      <c r="G83" s="3">
        <v>32.5</v>
      </c>
      <c r="H83" s="3">
        <v>4.87</v>
      </c>
    </row>
    <row r="84" spans="1:8" x14ac:dyDescent="0.35">
      <c r="A84" t="s">
        <v>0</v>
      </c>
      <c r="B84" t="s">
        <v>483</v>
      </c>
      <c r="C84" s="1">
        <v>45429</v>
      </c>
      <c r="D84" s="2">
        <v>0.13055555555555556</v>
      </c>
      <c r="E84" t="s">
        <v>2</v>
      </c>
      <c r="F84" t="s">
        <v>3</v>
      </c>
      <c r="G84" s="3">
        <v>28.6</v>
      </c>
      <c r="H84" s="3">
        <v>4.28</v>
      </c>
    </row>
    <row r="85" spans="1:8" x14ac:dyDescent="0.35">
      <c r="A85" t="s">
        <v>0</v>
      </c>
      <c r="B85" t="s">
        <v>484</v>
      </c>
      <c r="C85" s="1">
        <v>45429</v>
      </c>
      <c r="D85" s="2">
        <v>0.16111111111111112</v>
      </c>
      <c r="E85" t="s">
        <v>2</v>
      </c>
      <c r="F85" t="s">
        <v>3</v>
      </c>
      <c r="G85" s="3">
        <v>28.6</v>
      </c>
      <c r="H85" s="3">
        <v>4.28</v>
      </c>
    </row>
    <row r="86" spans="1:8" x14ac:dyDescent="0.35">
      <c r="A86" t="s">
        <v>0</v>
      </c>
      <c r="B86" t="s">
        <v>485</v>
      </c>
      <c r="C86" s="1">
        <v>45430</v>
      </c>
      <c r="D86" s="2">
        <v>0.39999999999999997</v>
      </c>
      <c r="E86" t="s">
        <v>2</v>
      </c>
      <c r="F86" t="s">
        <v>3</v>
      </c>
      <c r="G86" s="3">
        <v>22.67</v>
      </c>
      <c r="H86" s="3">
        <v>3.39</v>
      </c>
    </row>
    <row r="87" spans="1:8" x14ac:dyDescent="0.35">
      <c r="A87" t="s">
        <v>0</v>
      </c>
      <c r="B87" t="s">
        <v>486</v>
      </c>
      <c r="C87" s="1">
        <v>45432</v>
      </c>
      <c r="D87" s="2">
        <v>2.7777777777777776E-2</v>
      </c>
      <c r="E87" t="s">
        <v>2</v>
      </c>
      <c r="F87" t="s">
        <v>3</v>
      </c>
      <c r="G87" s="3">
        <v>27.3</v>
      </c>
      <c r="H87" s="3">
        <v>4.09</v>
      </c>
    </row>
    <row r="88" spans="1:8" x14ac:dyDescent="0.35">
      <c r="A88" t="s">
        <v>0</v>
      </c>
      <c r="B88" t="s">
        <v>487</v>
      </c>
      <c r="C88" s="1">
        <v>45432</v>
      </c>
      <c r="D88" s="2">
        <v>7.9166666666666663E-2</v>
      </c>
      <c r="E88" t="s">
        <v>2</v>
      </c>
      <c r="F88" t="s">
        <v>3</v>
      </c>
      <c r="G88" s="3">
        <v>20.8</v>
      </c>
      <c r="H88" s="3">
        <v>3.11</v>
      </c>
    </row>
    <row r="89" spans="1:8" x14ac:dyDescent="0.35">
      <c r="A89" t="s">
        <v>0</v>
      </c>
      <c r="B89" t="s">
        <v>488</v>
      </c>
      <c r="C89" s="1">
        <v>45432</v>
      </c>
      <c r="D89" s="2">
        <v>0.72291666666666676</v>
      </c>
      <c r="E89" t="s">
        <v>2</v>
      </c>
      <c r="F89" t="s">
        <v>3</v>
      </c>
      <c r="G89" s="3">
        <v>36.4</v>
      </c>
      <c r="H89" s="3">
        <v>5.45</v>
      </c>
    </row>
    <row r="90" spans="1:8" x14ac:dyDescent="0.35">
      <c r="A90" t="s">
        <v>0</v>
      </c>
      <c r="B90" t="s">
        <v>489</v>
      </c>
      <c r="C90" s="1">
        <v>45438</v>
      </c>
      <c r="D90" s="2">
        <v>7.8472222222222221E-2</v>
      </c>
      <c r="E90" t="s">
        <v>2</v>
      </c>
      <c r="F90" t="s">
        <v>3</v>
      </c>
      <c r="G90" s="3">
        <v>71.8</v>
      </c>
      <c r="H90" s="3">
        <v>10.75</v>
      </c>
    </row>
    <row r="91" spans="1:8" x14ac:dyDescent="0.35">
      <c r="A91" t="s">
        <v>0</v>
      </c>
      <c r="B91" t="s">
        <v>490</v>
      </c>
      <c r="C91" s="1">
        <v>45438</v>
      </c>
      <c r="D91" s="2">
        <v>0.12847222222222224</v>
      </c>
      <c r="E91" t="s">
        <v>180</v>
      </c>
      <c r="F91" t="s">
        <v>3</v>
      </c>
      <c r="G91" s="3">
        <v>0.5</v>
      </c>
      <c r="H91" s="3">
        <v>7.0000000000000007E-2</v>
      </c>
    </row>
    <row r="92" spans="1:8" x14ac:dyDescent="0.35">
      <c r="A92" t="s">
        <v>0</v>
      </c>
      <c r="B92" t="s">
        <v>491</v>
      </c>
      <c r="C92" s="1">
        <v>45440</v>
      </c>
      <c r="D92" s="2">
        <v>8.1944444444444445E-2</v>
      </c>
      <c r="E92" t="s">
        <v>2</v>
      </c>
      <c r="F92" t="s">
        <v>3</v>
      </c>
      <c r="G92" s="3">
        <v>26.88</v>
      </c>
      <c r="H92" s="3">
        <v>4.03</v>
      </c>
    </row>
    <row r="93" spans="1:8" x14ac:dyDescent="0.35">
      <c r="A93" t="s">
        <v>0</v>
      </c>
      <c r="B93" t="s">
        <v>492</v>
      </c>
      <c r="C93" s="1">
        <v>45441</v>
      </c>
      <c r="D93" s="2">
        <v>0.18333333333333335</v>
      </c>
      <c r="E93" t="s">
        <v>2</v>
      </c>
      <c r="F93" t="s">
        <v>3</v>
      </c>
      <c r="G93" s="3">
        <v>79.63</v>
      </c>
      <c r="H93" s="3">
        <v>11.92</v>
      </c>
    </row>
    <row r="94" spans="1:8" x14ac:dyDescent="0.35">
      <c r="A94" t="s">
        <v>0</v>
      </c>
      <c r="B94" t="s">
        <v>493</v>
      </c>
      <c r="C94" s="1">
        <v>45441</v>
      </c>
      <c r="D94" s="2">
        <v>0.92361111111111116</v>
      </c>
      <c r="E94" t="s">
        <v>180</v>
      </c>
      <c r="F94" t="s">
        <v>3</v>
      </c>
      <c r="G94" s="3">
        <v>0.5</v>
      </c>
      <c r="H94" s="3">
        <v>7.0000000000000007E-2</v>
      </c>
    </row>
    <row r="95" spans="1:8" x14ac:dyDescent="0.35">
      <c r="A95" t="s">
        <v>0</v>
      </c>
      <c r="B95" t="s">
        <v>494</v>
      </c>
      <c r="C95" s="1">
        <v>45442</v>
      </c>
      <c r="D95" s="2">
        <v>0.15486111111111112</v>
      </c>
      <c r="E95" t="s">
        <v>2</v>
      </c>
      <c r="F95" t="s">
        <v>3</v>
      </c>
      <c r="G95" s="3">
        <v>22.1</v>
      </c>
      <c r="H95" s="3">
        <v>3.31</v>
      </c>
    </row>
    <row r="96" spans="1:8" ht="15" thickBot="1" x14ac:dyDescent="0.4">
      <c r="A96" s="4" t="s">
        <v>0</v>
      </c>
      <c r="B96" s="4" t="s">
        <v>495</v>
      </c>
      <c r="C96" s="6">
        <v>45443</v>
      </c>
      <c r="D96" s="7">
        <v>2.5694444444444447E-2</v>
      </c>
      <c r="E96" s="4" t="s">
        <v>2</v>
      </c>
      <c r="F96" s="4" t="s">
        <v>3</v>
      </c>
      <c r="G96" s="5">
        <v>19.5</v>
      </c>
      <c r="H96" s="5">
        <v>2.92</v>
      </c>
    </row>
    <row r="97" spans="1:8" ht="15" x14ac:dyDescent="0.25">
      <c r="A97" t="s">
        <v>752</v>
      </c>
      <c r="G97" s="9">
        <f>SUM(G70:G96)</f>
        <v>840.98999999999978</v>
      </c>
      <c r="H97" s="9">
        <f>SUM(H70:H96)</f>
        <v>125.9</v>
      </c>
    </row>
    <row r="100" spans="1:8" ht="15.75" thickBot="1" x14ac:dyDescent="0.3"/>
    <row r="101" spans="1:8" ht="15.75" thickBot="1" x14ac:dyDescent="0.3">
      <c r="A101" s="11" t="s">
        <v>411</v>
      </c>
      <c r="B101" s="12" t="s">
        <v>163</v>
      </c>
      <c r="C101" s="12" t="s">
        <v>165</v>
      </c>
      <c r="D101" s="12" t="s">
        <v>166</v>
      </c>
      <c r="E101" s="12" t="s">
        <v>164</v>
      </c>
      <c r="F101" s="12" t="s">
        <v>167</v>
      </c>
      <c r="G101" s="12" t="s">
        <v>412</v>
      </c>
      <c r="H101" s="13" t="s">
        <v>169</v>
      </c>
    </row>
    <row r="102" spans="1:8" ht="15" x14ac:dyDescent="0.25">
      <c r="A102" t="s">
        <v>496</v>
      </c>
      <c r="B102" t="s">
        <v>497</v>
      </c>
      <c r="C102" s="1">
        <v>45417</v>
      </c>
      <c r="D102" s="2">
        <v>3.888888888888889E-2</v>
      </c>
      <c r="E102" t="s">
        <v>2</v>
      </c>
      <c r="F102" t="s">
        <v>3</v>
      </c>
      <c r="G102" s="3">
        <v>23.45</v>
      </c>
      <c r="H102" s="3">
        <v>3.51</v>
      </c>
    </row>
    <row r="103" spans="1:8" ht="15" x14ac:dyDescent="0.25">
      <c r="A103" t="s">
        <v>496</v>
      </c>
      <c r="B103" t="s">
        <v>498</v>
      </c>
      <c r="C103" s="1">
        <v>45422</v>
      </c>
      <c r="D103" s="2">
        <v>0.34583333333333338</v>
      </c>
      <c r="E103" t="s">
        <v>2</v>
      </c>
      <c r="F103" t="s">
        <v>3</v>
      </c>
      <c r="G103" s="3">
        <v>55.04</v>
      </c>
      <c r="H103" s="3">
        <v>8.24</v>
      </c>
    </row>
    <row r="104" spans="1:8" ht="15" x14ac:dyDescent="0.25">
      <c r="A104" t="s">
        <v>496</v>
      </c>
      <c r="B104" t="s">
        <v>499</v>
      </c>
      <c r="C104" s="1">
        <v>45430</v>
      </c>
      <c r="D104" s="2">
        <v>0.45763888888888887</v>
      </c>
      <c r="E104" t="s">
        <v>2</v>
      </c>
      <c r="F104" t="s">
        <v>3</v>
      </c>
      <c r="G104" s="3">
        <v>6.06</v>
      </c>
      <c r="H104" s="3">
        <v>0.91</v>
      </c>
    </row>
    <row r="105" spans="1:8" ht="15" x14ac:dyDescent="0.25">
      <c r="A105" t="s">
        <v>496</v>
      </c>
      <c r="B105" t="s">
        <v>500</v>
      </c>
      <c r="C105" s="1">
        <v>45432</v>
      </c>
      <c r="D105" s="2">
        <v>3.0555555555555555E-2</v>
      </c>
      <c r="E105" t="s">
        <v>2</v>
      </c>
      <c r="F105" t="s">
        <v>3</v>
      </c>
      <c r="G105" s="3">
        <v>35.35</v>
      </c>
      <c r="H105" s="3">
        <v>5.29</v>
      </c>
    </row>
    <row r="106" spans="1:8" ht="15" x14ac:dyDescent="0.25">
      <c r="A106" t="s">
        <v>496</v>
      </c>
      <c r="B106" t="s">
        <v>501</v>
      </c>
      <c r="C106" s="1">
        <v>45439</v>
      </c>
      <c r="D106" s="2">
        <v>0.13402777777777777</v>
      </c>
      <c r="E106" t="s">
        <v>2</v>
      </c>
      <c r="F106" t="s">
        <v>3</v>
      </c>
      <c r="G106" s="3">
        <v>17.899999999999999</v>
      </c>
      <c r="H106" s="3">
        <v>2.68</v>
      </c>
    </row>
    <row r="107" spans="1:8" ht="15" x14ac:dyDescent="0.25">
      <c r="A107" t="s">
        <v>496</v>
      </c>
      <c r="B107" t="s">
        <v>502</v>
      </c>
      <c r="C107" s="1">
        <v>45441</v>
      </c>
      <c r="D107" s="2">
        <v>0.10694444444444444</v>
      </c>
      <c r="E107" t="s">
        <v>2</v>
      </c>
      <c r="F107" t="s">
        <v>3</v>
      </c>
      <c r="G107" s="3">
        <v>14.99</v>
      </c>
      <c r="H107" s="3">
        <v>2.2400000000000002</v>
      </c>
    </row>
    <row r="108" spans="1:8" ht="15.75" thickBot="1" x14ac:dyDescent="0.3">
      <c r="A108" s="4" t="s">
        <v>496</v>
      </c>
      <c r="B108" s="4" t="s">
        <v>503</v>
      </c>
      <c r="C108" s="6">
        <v>45442</v>
      </c>
      <c r="D108" s="7">
        <v>0.24583333333333335</v>
      </c>
      <c r="E108" s="4" t="s">
        <v>2</v>
      </c>
      <c r="F108" s="4" t="s">
        <v>3</v>
      </c>
      <c r="G108" s="5">
        <v>34.79</v>
      </c>
      <c r="H108" s="5">
        <v>5.21</v>
      </c>
    </row>
    <row r="109" spans="1:8" ht="15" x14ac:dyDescent="0.25">
      <c r="A109" t="s">
        <v>752</v>
      </c>
      <c r="G109" s="9">
        <f>SUM(G102:G108)</f>
        <v>187.58</v>
      </c>
      <c r="H109" s="9">
        <f>SUM(H102:H108)</f>
        <v>28.08</v>
      </c>
    </row>
    <row r="111" spans="1:8" ht="15.75" thickBot="1" x14ac:dyDescent="0.3"/>
    <row r="112" spans="1:8" ht="15.75" thickBot="1" x14ac:dyDescent="0.3">
      <c r="A112" s="11" t="s">
        <v>411</v>
      </c>
      <c r="B112" s="12" t="s">
        <v>163</v>
      </c>
      <c r="C112" s="12" t="s">
        <v>165</v>
      </c>
      <c r="D112" s="12" t="s">
        <v>166</v>
      </c>
      <c r="E112" s="12" t="s">
        <v>164</v>
      </c>
      <c r="F112" s="12" t="s">
        <v>167</v>
      </c>
      <c r="G112" s="12" t="s">
        <v>412</v>
      </c>
      <c r="H112" s="13" t="s">
        <v>169</v>
      </c>
    </row>
    <row r="113" spans="1:8" x14ac:dyDescent="0.35">
      <c r="A113" t="s">
        <v>33</v>
      </c>
      <c r="B113" t="s">
        <v>504</v>
      </c>
      <c r="C113" s="1">
        <v>45413</v>
      </c>
      <c r="D113" s="2">
        <v>0.18541666666666667</v>
      </c>
      <c r="E113" t="s">
        <v>2</v>
      </c>
      <c r="F113" t="s">
        <v>3</v>
      </c>
      <c r="G113" s="3">
        <v>16.29</v>
      </c>
      <c r="H113" s="3">
        <v>2.44</v>
      </c>
    </row>
    <row r="114" spans="1:8" x14ac:dyDescent="0.35">
      <c r="A114" t="s">
        <v>33</v>
      </c>
      <c r="B114" t="s">
        <v>505</v>
      </c>
      <c r="C114" s="1">
        <v>45414</v>
      </c>
      <c r="D114" s="2">
        <v>0.75138888888888899</v>
      </c>
      <c r="E114" t="s">
        <v>2</v>
      </c>
      <c r="F114" t="s">
        <v>3</v>
      </c>
      <c r="G114" s="3">
        <v>11.69</v>
      </c>
      <c r="H114" s="3">
        <v>1.75</v>
      </c>
    </row>
    <row r="115" spans="1:8" x14ac:dyDescent="0.35">
      <c r="A115" t="s">
        <v>33</v>
      </c>
      <c r="B115" t="s">
        <v>506</v>
      </c>
      <c r="C115" s="1">
        <v>45416</v>
      </c>
      <c r="D115" s="2">
        <v>0.20347222222222219</v>
      </c>
      <c r="E115" t="s">
        <v>2</v>
      </c>
      <c r="F115" t="s">
        <v>3</v>
      </c>
      <c r="G115" s="3">
        <v>16.61</v>
      </c>
      <c r="H115" s="3">
        <v>2.4900000000000002</v>
      </c>
    </row>
    <row r="116" spans="1:8" x14ac:dyDescent="0.35">
      <c r="A116" t="s">
        <v>33</v>
      </c>
      <c r="B116" t="s">
        <v>507</v>
      </c>
      <c r="C116" s="1">
        <v>45418</v>
      </c>
      <c r="D116" s="2">
        <v>0.9145833333333333</v>
      </c>
      <c r="E116" t="s">
        <v>180</v>
      </c>
      <c r="F116" t="s">
        <v>3</v>
      </c>
      <c r="G116" s="3">
        <v>0.5</v>
      </c>
      <c r="H116" s="3">
        <v>7.0000000000000007E-2</v>
      </c>
    </row>
    <row r="117" spans="1:8" x14ac:dyDescent="0.35">
      <c r="A117" t="s">
        <v>33</v>
      </c>
      <c r="B117" t="s">
        <v>508</v>
      </c>
      <c r="C117" s="1">
        <v>45423</v>
      </c>
      <c r="D117" s="2">
        <v>0.16944444444444443</v>
      </c>
      <c r="E117" t="s">
        <v>2</v>
      </c>
      <c r="F117" t="s">
        <v>3</v>
      </c>
      <c r="G117" s="3">
        <v>33.82</v>
      </c>
      <c r="H117" s="3">
        <v>5.0599999999999996</v>
      </c>
    </row>
    <row r="118" spans="1:8" x14ac:dyDescent="0.35">
      <c r="A118" t="s">
        <v>33</v>
      </c>
      <c r="B118" t="s">
        <v>509</v>
      </c>
      <c r="C118" s="1">
        <v>45424</v>
      </c>
      <c r="D118" s="2">
        <v>3.1944444444444449E-2</v>
      </c>
      <c r="E118" t="s">
        <v>2</v>
      </c>
      <c r="F118" t="s">
        <v>3</v>
      </c>
      <c r="G118" s="3">
        <v>28.34</v>
      </c>
      <c r="H118" s="3">
        <v>4.24</v>
      </c>
    </row>
    <row r="119" spans="1:8" x14ac:dyDescent="0.35">
      <c r="A119" t="s">
        <v>33</v>
      </c>
      <c r="B119" t="s">
        <v>510</v>
      </c>
      <c r="C119" s="1">
        <v>45429</v>
      </c>
      <c r="D119" s="2">
        <v>0.57986111111111105</v>
      </c>
      <c r="E119" t="s">
        <v>2</v>
      </c>
      <c r="F119" t="s">
        <v>3</v>
      </c>
      <c r="G119" s="3">
        <v>13.69</v>
      </c>
      <c r="H119" s="3">
        <v>2.0499999999999998</v>
      </c>
    </row>
    <row r="120" spans="1:8" x14ac:dyDescent="0.35">
      <c r="A120" t="s">
        <v>33</v>
      </c>
      <c r="B120" t="s">
        <v>511</v>
      </c>
      <c r="C120" s="1">
        <v>45431</v>
      </c>
      <c r="D120" s="2">
        <v>0.13263888888888889</v>
      </c>
      <c r="E120" t="s">
        <v>2</v>
      </c>
      <c r="F120" t="s">
        <v>3</v>
      </c>
      <c r="G120" s="3">
        <v>14.85</v>
      </c>
      <c r="H120" s="3">
        <v>2.2200000000000002</v>
      </c>
    </row>
    <row r="121" spans="1:8" x14ac:dyDescent="0.35">
      <c r="A121" t="s">
        <v>33</v>
      </c>
      <c r="B121" t="s">
        <v>512</v>
      </c>
      <c r="C121" s="1">
        <v>45434</v>
      </c>
      <c r="D121" s="2">
        <v>0.89861111111111114</v>
      </c>
      <c r="E121" t="s">
        <v>2</v>
      </c>
      <c r="F121" t="s">
        <v>3</v>
      </c>
      <c r="G121" s="3">
        <v>18.239999999999998</v>
      </c>
      <c r="H121" s="3">
        <v>2.73</v>
      </c>
    </row>
    <row r="122" spans="1:8" x14ac:dyDescent="0.35">
      <c r="A122" t="s">
        <v>33</v>
      </c>
      <c r="B122" t="s">
        <v>513</v>
      </c>
      <c r="C122" s="1">
        <v>45435</v>
      </c>
      <c r="D122" s="2">
        <v>9.9999999999999992E-2</v>
      </c>
      <c r="E122" t="s">
        <v>2</v>
      </c>
      <c r="F122" t="s">
        <v>3</v>
      </c>
      <c r="G122" s="3">
        <v>22.76</v>
      </c>
      <c r="H122" s="3">
        <v>3.41</v>
      </c>
    </row>
    <row r="123" spans="1:8" x14ac:dyDescent="0.35">
      <c r="A123" t="s">
        <v>33</v>
      </c>
      <c r="B123" t="s">
        <v>514</v>
      </c>
      <c r="C123" s="1">
        <v>45435</v>
      </c>
      <c r="D123" s="2">
        <v>0.75624999999999998</v>
      </c>
      <c r="E123" t="s">
        <v>2</v>
      </c>
      <c r="F123" t="s">
        <v>3</v>
      </c>
      <c r="G123" s="3">
        <v>10.44</v>
      </c>
      <c r="H123" s="3">
        <v>1.56</v>
      </c>
    </row>
    <row r="124" spans="1:8" x14ac:dyDescent="0.35">
      <c r="A124" t="s">
        <v>33</v>
      </c>
      <c r="B124" t="s">
        <v>515</v>
      </c>
      <c r="C124" s="1">
        <v>45436</v>
      </c>
      <c r="D124" s="2">
        <v>0.12708333333333333</v>
      </c>
      <c r="E124" t="s">
        <v>180</v>
      </c>
      <c r="F124" t="s">
        <v>3</v>
      </c>
      <c r="G124" s="3">
        <v>1</v>
      </c>
      <c r="H124" s="3">
        <v>0.15</v>
      </c>
    </row>
    <row r="125" spans="1:8" x14ac:dyDescent="0.35">
      <c r="A125" t="s">
        <v>33</v>
      </c>
      <c r="B125" t="s">
        <v>516</v>
      </c>
      <c r="C125" s="1">
        <v>45437</v>
      </c>
      <c r="D125" s="2">
        <v>6.2499999999999995E-3</v>
      </c>
      <c r="E125" t="s">
        <v>2</v>
      </c>
      <c r="F125" t="s">
        <v>3</v>
      </c>
      <c r="G125" s="3">
        <v>29.03</v>
      </c>
      <c r="H125" s="3">
        <v>4.3499999999999996</v>
      </c>
    </row>
    <row r="126" spans="1:8" x14ac:dyDescent="0.35">
      <c r="A126" t="s">
        <v>33</v>
      </c>
      <c r="B126" t="s">
        <v>517</v>
      </c>
      <c r="C126" s="1">
        <v>45437</v>
      </c>
      <c r="D126" s="2">
        <v>0.23124999999999998</v>
      </c>
      <c r="E126" t="s">
        <v>2</v>
      </c>
      <c r="F126" t="s">
        <v>3</v>
      </c>
      <c r="G126" s="3">
        <v>19.2</v>
      </c>
      <c r="H126" s="3">
        <v>2.88</v>
      </c>
    </row>
    <row r="127" spans="1:8" x14ac:dyDescent="0.35">
      <c r="A127" t="s">
        <v>33</v>
      </c>
      <c r="B127" t="s">
        <v>518</v>
      </c>
      <c r="C127" s="1">
        <v>45437</v>
      </c>
      <c r="D127" s="2">
        <v>0.58263888888888882</v>
      </c>
      <c r="E127" t="s">
        <v>2</v>
      </c>
      <c r="F127" t="s">
        <v>3</v>
      </c>
      <c r="G127" s="3">
        <v>37.6</v>
      </c>
      <c r="H127" s="3">
        <v>5.63</v>
      </c>
    </row>
    <row r="128" spans="1:8" x14ac:dyDescent="0.35">
      <c r="A128" t="s">
        <v>33</v>
      </c>
      <c r="B128" t="s">
        <v>519</v>
      </c>
      <c r="C128" s="1">
        <v>45438</v>
      </c>
      <c r="D128" s="2">
        <v>0.19513888888888889</v>
      </c>
      <c r="E128" t="s">
        <v>2</v>
      </c>
      <c r="F128" t="s">
        <v>3</v>
      </c>
      <c r="G128" s="3">
        <v>31.61</v>
      </c>
      <c r="H128" s="3">
        <v>4.7300000000000004</v>
      </c>
    </row>
    <row r="129" spans="1:8" x14ac:dyDescent="0.35">
      <c r="A129" t="s">
        <v>33</v>
      </c>
      <c r="B129" t="s">
        <v>520</v>
      </c>
      <c r="C129" s="1">
        <v>45440</v>
      </c>
      <c r="D129" s="2">
        <v>0.46319444444444446</v>
      </c>
      <c r="E129" t="s">
        <v>2</v>
      </c>
      <c r="F129" t="s">
        <v>3</v>
      </c>
      <c r="G129" s="3">
        <v>18.18</v>
      </c>
      <c r="H129" s="3">
        <v>2.72</v>
      </c>
    </row>
    <row r="130" spans="1:8" ht="15" thickBot="1" x14ac:dyDescent="0.4">
      <c r="A130" s="4" t="s">
        <v>33</v>
      </c>
      <c r="B130" s="4" t="s">
        <v>521</v>
      </c>
      <c r="C130" s="6">
        <v>45441</v>
      </c>
      <c r="D130" s="7">
        <v>0.25069444444444444</v>
      </c>
      <c r="E130" s="4" t="s">
        <v>2</v>
      </c>
      <c r="F130" s="4" t="s">
        <v>3</v>
      </c>
      <c r="G130" s="5">
        <v>30.86</v>
      </c>
      <c r="H130" s="5">
        <v>4.62</v>
      </c>
    </row>
    <row r="131" spans="1:8" ht="15" x14ac:dyDescent="0.25">
      <c r="A131" t="s">
        <v>752</v>
      </c>
      <c r="G131" s="9">
        <f>SUM(G113:G130)</f>
        <v>354.71000000000004</v>
      </c>
      <c r="H131" s="9">
        <f>SUM(H113:H130)</f>
        <v>53.1</v>
      </c>
    </row>
    <row r="133" spans="1:8" ht="15.75" thickBot="1" x14ac:dyDescent="0.3"/>
    <row r="134" spans="1:8" ht="15.75" thickBot="1" x14ac:dyDescent="0.3">
      <c r="A134" s="11" t="s">
        <v>411</v>
      </c>
      <c r="B134" s="12" t="s">
        <v>163</v>
      </c>
      <c r="C134" s="12" t="s">
        <v>165</v>
      </c>
      <c r="D134" s="12" t="s">
        <v>166</v>
      </c>
      <c r="E134" s="12" t="s">
        <v>164</v>
      </c>
      <c r="F134" s="12" t="s">
        <v>167</v>
      </c>
      <c r="G134" s="12" t="s">
        <v>412</v>
      </c>
      <c r="H134" s="13" t="s">
        <v>169</v>
      </c>
    </row>
    <row r="135" spans="1:8" x14ac:dyDescent="0.35">
      <c r="A135" t="s">
        <v>246</v>
      </c>
      <c r="B135" t="s">
        <v>522</v>
      </c>
      <c r="C135" s="1">
        <v>45413</v>
      </c>
      <c r="D135" s="2">
        <v>0.46249999999999997</v>
      </c>
      <c r="E135" t="s">
        <v>2</v>
      </c>
      <c r="F135" t="s">
        <v>3</v>
      </c>
      <c r="G135" s="3">
        <v>9.06</v>
      </c>
      <c r="H135" s="3">
        <v>1.36</v>
      </c>
    </row>
    <row r="136" spans="1:8" x14ac:dyDescent="0.35">
      <c r="A136" t="s">
        <v>246</v>
      </c>
      <c r="B136" t="s">
        <v>523</v>
      </c>
      <c r="C136" s="1">
        <v>45416</v>
      </c>
      <c r="D136" s="2">
        <v>0.50972222222222219</v>
      </c>
      <c r="E136" t="s">
        <v>2</v>
      </c>
      <c r="F136" t="s">
        <v>3</v>
      </c>
      <c r="G136" s="3">
        <v>18.12</v>
      </c>
      <c r="H136" s="3">
        <v>2.71</v>
      </c>
    </row>
    <row r="137" spans="1:8" x14ac:dyDescent="0.35">
      <c r="A137" t="s">
        <v>246</v>
      </c>
      <c r="B137" t="s">
        <v>524</v>
      </c>
      <c r="C137" s="1">
        <v>45418</v>
      </c>
      <c r="D137" s="2">
        <v>4.8611111111111112E-2</v>
      </c>
      <c r="E137" t="s">
        <v>2</v>
      </c>
      <c r="F137" t="s">
        <v>58</v>
      </c>
      <c r="G137" s="3">
        <v>8.14</v>
      </c>
      <c r="H137" s="3">
        <v>1.22</v>
      </c>
    </row>
    <row r="138" spans="1:8" x14ac:dyDescent="0.35">
      <c r="A138" t="s">
        <v>246</v>
      </c>
      <c r="B138" t="s">
        <v>525</v>
      </c>
      <c r="C138" s="1">
        <v>45419</v>
      </c>
      <c r="D138" s="2">
        <v>0.80555555555555547</v>
      </c>
      <c r="E138" t="s">
        <v>2</v>
      </c>
      <c r="F138" t="s">
        <v>3</v>
      </c>
      <c r="G138" s="3">
        <v>8.14</v>
      </c>
      <c r="H138" s="3">
        <v>1.22</v>
      </c>
    </row>
    <row r="139" spans="1:8" x14ac:dyDescent="0.35">
      <c r="A139" t="s">
        <v>246</v>
      </c>
      <c r="B139" t="s">
        <v>526</v>
      </c>
      <c r="C139" s="1">
        <v>45419</v>
      </c>
      <c r="D139" s="2">
        <v>0.87361111111111101</v>
      </c>
      <c r="E139" t="s">
        <v>2</v>
      </c>
      <c r="F139" t="s">
        <v>3</v>
      </c>
      <c r="G139" s="3">
        <v>17.89</v>
      </c>
      <c r="H139" s="3">
        <v>2.68</v>
      </c>
    </row>
    <row r="140" spans="1:8" x14ac:dyDescent="0.35">
      <c r="A140" t="s">
        <v>246</v>
      </c>
      <c r="B140" t="s">
        <v>527</v>
      </c>
      <c r="C140" s="1">
        <v>45419</v>
      </c>
      <c r="D140" s="2">
        <v>0.98819444444444438</v>
      </c>
      <c r="E140" t="s">
        <v>2</v>
      </c>
      <c r="F140" t="s">
        <v>3</v>
      </c>
      <c r="G140" s="3">
        <v>8.07</v>
      </c>
      <c r="H140" s="3">
        <v>1.21</v>
      </c>
    </row>
    <row r="141" spans="1:8" x14ac:dyDescent="0.35">
      <c r="A141" t="s">
        <v>246</v>
      </c>
      <c r="B141" t="s">
        <v>528</v>
      </c>
      <c r="C141" s="1">
        <v>45421</v>
      </c>
      <c r="D141" s="2">
        <v>9.9999999999999992E-2</v>
      </c>
      <c r="E141" t="s">
        <v>2</v>
      </c>
      <c r="F141" t="s">
        <v>3</v>
      </c>
      <c r="G141" s="3">
        <v>8.14</v>
      </c>
      <c r="H141" s="3">
        <v>1.22</v>
      </c>
    </row>
    <row r="142" spans="1:8" x14ac:dyDescent="0.35">
      <c r="A142" t="s">
        <v>246</v>
      </c>
      <c r="B142" t="s">
        <v>529</v>
      </c>
      <c r="C142" s="1">
        <v>45422</v>
      </c>
      <c r="D142" s="2">
        <v>4.3055555555555562E-2</v>
      </c>
      <c r="E142" t="s">
        <v>2</v>
      </c>
      <c r="F142" t="s">
        <v>3</v>
      </c>
      <c r="G142" s="3">
        <v>17.28</v>
      </c>
      <c r="H142" s="3">
        <v>2.59</v>
      </c>
    </row>
    <row r="143" spans="1:8" x14ac:dyDescent="0.35">
      <c r="A143" t="s">
        <v>246</v>
      </c>
      <c r="B143" t="s">
        <v>530</v>
      </c>
      <c r="C143" s="1">
        <v>45426</v>
      </c>
      <c r="D143" s="2">
        <v>0.77430555555555547</v>
      </c>
      <c r="E143" t="s">
        <v>2</v>
      </c>
      <c r="F143" t="s">
        <v>3</v>
      </c>
      <c r="G143" s="3">
        <v>16.28</v>
      </c>
      <c r="H143" s="3">
        <v>2.44</v>
      </c>
    </row>
    <row r="144" spans="1:8" x14ac:dyDescent="0.35">
      <c r="A144" t="s">
        <v>246</v>
      </c>
      <c r="B144" t="s">
        <v>531</v>
      </c>
      <c r="C144" s="1">
        <v>45428</v>
      </c>
      <c r="D144" s="2">
        <v>0.20555555555555557</v>
      </c>
      <c r="E144" t="s">
        <v>2</v>
      </c>
      <c r="F144" t="s">
        <v>3</v>
      </c>
      <c r="G144" s="3">
        <v>54.89</v>
      </c>
      <c r="H144" s="3">
        <v>8.2200000000000006</v>
      </c>
    </row>
    <row r="145" spans="1:8" x14ac:dyDescent="0.35">
      <c r="A145" t="s">
        <v>246</v>
      </c>
      <c r="B145" t="s">
        <v>532</v>
      </c>
      <c r="C145" s="1">
        <v>45431</v>
      </c>
      <c r="D145" s="2">
        <v>0.16944444444444443</v>
      </c>
      <c r="E145" t="s">
        <v>2</v>
      </c>
      <c r="F145" t="s">
        <v>3</v>
      </c>
      <c r="G145" s="3">
        <v>23.13</v>
      </c>
      <c r="H145" s="3">
        <v>3.46</v>
      </c>
    </row>
    <row r="146" spans="1:8" x14ac:dyDescent="0.35">
      <c r="A146" t="s">
        <v>246</v>
      </c>
      <c r="B146" t="s">
        <v>533</v>
      </c>
      <c r="C146" s="1">
        <v>45433</v>
      </c>
      <c r="D146" s="2">
        <v>0.14861111111111111</v>
      </c>
      <c r="E146" t="s">
        <v>2</v>
      </c>
      <c r="F146" t="s">
        <v>3</v>
      </c>
      <c r="G146" s="3">
        <v>8.14</v>
      </c>
      <c r="H146" s="3">
        <v>1.22</v>
      </c>
    </row>
    <row r="147" spans="1:8" x14ac:dyDescent="0.35">
      <c r="A147" t="s">
        <v>246</v>
      </c>
      <c r="B147" t="s">
        <v>534</v>
      </c>
      <c r="C147" s="1">
        <v>45433</v>
      </c>
      <c r="D147" s="2">
        <v>0.16874999999999998</v>
      </c>
      <c r="E147" t="s">
        <v>2</v>
      </c>
      <c r="F147" t="s">
        <v>3</v>
      </c>
      <c r="G147" s="3">
        <v>30.32</v>
      </c>
      <c r="H147" s="3">
        <v>4.54</v>
      </c>
    </row>
    <row r="148" spans="1:8" x14ac:dyDescent="0.35">
      <c r="A148" t="s">
        <v>246</v>
      </c>
      <c r="B148" t="s">
        <v>535</v>
      </c>
      <c r="C148" s="1">
        <v>45436</v>
      </c>
      <c r="D148" s="2">
        <v>9.2361111111111116E-2</v>
      </c>
      <c r="E148" t="s">
        <v>2</v>
      </c>
      <c r="F148" t="s">
        <v>3</v>
      </c>
      <c r="G148" s="3">
        <v>16.3</v>
      </c>
      <c r="H148" s="3">
        <v>2.44</v>
      </c>
    </row>
    <row r="149" spans="1:8" x14ac:dyDescent="0.35">
      <c r="A149" t="s">
        <v>246</v>
      </c>
      <c r="B149" t="s">
        <v>536</v>
      </c>
      <c r="C149" s="1">
        <v>45436</v>
      </c>
      <c r="D149" s="2">
        <v>0.96736111111111101</v>
      </c>
      <c r="E149" t="s">
        <v>2</v>
      </c>
      <c r="F149" t="s">
        <v>3</v>
      </c>
      <c r="G149" s="3">
        <v>28.21</v>
      </c>
      <c r="H149" s="3">
        <v>4.22</v>
      </c>
    </row>
    <row r="150" spans="1:8" x14ac:dyDescent="0.35">
      <c r="A150" t="s">
        <v>246</v>
      </c>
      <c r="B150" t="s">
        <v>537</v>
      </c>
      <c r="C150" s="1">
        <v>45437</v>
      </c>
      <c r="D150" s="2">
        <v>0.79652777777777783</v>
      </c>
      <c r="E150" t="s">
        <v>2</v>
      </c>
      <c r="F150" t="s">
        <v>3</v>
      </c>
      <c r="G150" s="3">
        <v>90.43</v>
      </c>
      <c r="H150" s="3">
        <v>13.54</v>
      </c>
    </row>
    <row r="151" spans="1:8" x14ac:dyDescent="0.35">
      <c r="A151" t="s">
        <v>246</v>
      </c>
      <c r="B151" t="s">
        <v>538</v>
      </c>
      <c r="C151" s="1">
        <v>45439</v>
      </c>
      <c r="D151" s="2">
        <v>0.96111111111111114</v>
      </c>
      <c r="E151" t="s">
        <v>2</v>
      </c>
      <c r="F151" t="s">
        <v>3</v>
      </c>
      <c r="G151" s="3">
        <v>30.87</v>
      </c>
      <c r="H151" s="3">
        <v>4.62</v>
      </c>
    </row>
    <row r="152" spans="1:8" x14ac:dyDescent="0.35">
      <c r="A152" t="s">
        <v>246</v>
      </c>
      <c r="B152" t="s">
        <v>539</v>
      </c>
      <c r="C152" s="1">
        <v>45439</v>
      </c>
      <c r="D152" s="2">
        <v>0.96736111111111101</v>
      </c>
      <c r="E152" t="s">
        <v>2</v>
      </c>
      <c r="F152" t="s">
        <v>3</v>
      </c>
      <c r="G152" s="3">
        <v>18.239999999999998</v>
      </c>
      <c r="H152" s="3">
        <v>2.73</v>
      </c>
    </row>
    <row r="153" spans="1:8" x14ac:dyDescent="0.35">
      <c r="A153" t="s">
        <v>246</v>
      </c>
      <c r="B153" t="s">
        <v>540</v>
      </c>
      <c r="C153" s="1">
        <v>45440</v>
      </c>
      <c r="D153" s="2">
        <v>0.63263888888888886</v>
      </c>
      <c r="E153" t="s">
        <v>2</v>
      </c>
      <c r="F153" t="s">
        <v>3</v>
      </c>
      <c r="G153" s="3">
        <v>8.15</v>
      </c>
      <c r="H153" s="3">
        <v>1.22</v>
      </c>
    </row>
    <row r="154" spans="1:8" x14ac:dyDescent="0.35">
      <c r="A154" t="s">
        <v>246</v>
      </c>
      <c r="B154" t="s">
        <v>541</v>
      </c>
      <c r="C154" s="1">
        <v>45441</v>
      </c>
      <c r="D154" s="2">
        <v>7.0833333333333331E-2</v>
      </c>
      <c r="E154" t="s">
        <v>2</v>
      </c>
      <c r="F154" t="s">
        <v>3</v>
      </c>
      <c r="G154" s="3">
        <v>14.21</v>
      </c>
      <c r="H154" s="3">
        <v>2.13</v>
      </c>
    </row>
    <row r="155" spans="1:8" ht="15" thickBot="1" x14ac:dyDescent="0.4">
      <c r="A155" s="4" t="s">
        <v>246</v>
      </c>
      <c r="B155" s="4" t="s">
        <v>542</v>
      </c>
      <c r="C155" s="6">
        <v>45443</v>
      </c>
      <c r="D155" s="7">
        <v>2.8472222222222222E-2</v>
      </c>
      <c r="E155" s="4" t="s">
        <v>2</v>
      </c>
      <c r="F155" s="4" t="s">
        <v>3</v>
      </c>
      <c r="G155" s="5">
        <v>20.88</v>
      </c>
      <c r="H155" s="5">
        <v>3.13</v>
      </c>
    </row>
    <row r="156" spans="1:8" ht="15" x14ac:dyDescent="0.25">
      <c r="A156" t="s">
        <v>752</v>
      </c>
      <c r="G156" s="9">
        <f>SUM(G135:G155)</f>
        <v>454.88999999999993</v>
      </c>
      <c r="H156" s="9">
        <f>SUM(H135:H155)</f>
        <v>68.119999999999976</v>
      </c>
    </row>
    <row r="158" spans="1:8" ht="15.75" thickBot="1" x14ac:dyDescent="0.3"/>
    <row r="159" spans="1:8" ht="15.75" thickBot="1" x14ac:dyDescent="0.3">
      <c r="A159" s="11" t="s">
        <v>411</v>
      </c>
      <c r="B159" s="12" t="s">
        <v>163</v>
      </c>
      <c r="C159" s="12" t="s">
        <v>165</v>
      </c>
      <c r="D159" s="12" t="s">
        <v>166</v>
      </c>
      <c r="E159" s="12" t="s">
        <v>164</v>
      </c>
      <c r="F159" s="12" t="s">
        <v>167</v>
      </c>
      <c r="G159" s="12" t="s">
        <v>412</v>
      </c>
      <c r="H159" s="13" t="s">
        <v>169</v>
      </c>
    </row>
    <row r="160" spans="1:8" ht="15" x14ac:dyDescent="0.25">
      <c r="A160" t="s">
        <v>543</v>
      </c>
      <c r="B160" t="s">
        <v>544</v>
      </c>
      <c r="C160" s="1">
        <v>45413</v>
      </c>
      <c r="D160" s="2">
        <v>0.8930555555555556</v>
      </c>
      <c r="E160" t="s">
        <v>2</v>
      </c>
      <c r="F160" t="s">
        <v>3</v>
      </c>
      <c r="G160" s="3">
        <v>30.2</v>
      </c>
      <c r="H160" s="3">
        <v>4.5199999999999996</v>
      </c>
    </row>
    <row r="161" spans="1:8" ht="15" x14ac:dyDescent="0.25">
      <c r="A161" t="s">
        <v>543</v>
      </c>
      <c r="B161" t="s">
        <v>545</v>
      </c>
      <c r="C161" s="1">
        <v>45418</v>
      </c>
      <c r="D161" s="2">
        <v>0.87916666666666676</v>
      </c>
      <c r="E161" t="s">
        <v>2</v>
      </c>
      <c r="F161" t="s">
        <v>3</v>
      </c>
      <c r="G161" s="3">
        <v>45.41</v>
      </c>
      <c r="H161" s="3">
        <v>6.8</v>
      </c>
    </row>
    <row r="162" spans="1:8" ht="15" x14ac:dyDescent="0.25">
      <c r="A162" t="s">
        <v>543</v>
      </c>
      <c r="B162" t="s">
        <v>546</v>
      </c>
      <c r="C162" s="1">
        <v>45419</v>
      </c>
      <c r="D162" s="2">
        <v>0.14444444444444446</v>
      </c>
      <c r="E162" t="s">
        <v>2</v>
      </c>
      <c r="F162" t="s">
        <v>3</v>
      </c>
      <c r="G162" s="3">
        <v>17.239999999999998</v>
      </c>
      <c r="H162" s="3">
        <v>2.58</v>
      </c>
    </row>
    <row r="163" spans="1:8" ht="15" x14ac:dyDescent="0.25">
      <c r="A163" t="s">
        <v>543</v>
      </c>
      <c r="B163" t="s">
        <v>547</v>
      </c>
      <c r="C163" s="1">
        <v>45420</v>
      </c>
      <c r="D163" s="2">
        <v>8.4722222222222213E-2</v>
      </c>
      <c r="E163" t="s">
        <v>180</v>
      </c>
      <c r="F163" t="s">
        <v>3</v>
      </c>
      <c r="G163" s="3">
        <v>36.909999999999997</v>
      </c>
      <c r="H163" s="3">
        <v>5.53</v>
      </c>
    </row>
    <row r="164" spans="1:8" ht="15" x14ac:dyDescent="0.25">
      <c r="A164" t="s">
        <v>543</v>
      </c>
      <c r="B164" t="s">
        <v>548</v>
      </c>
      <c r="C164" s="1">
        <v>45420</v>
      </c>
      <c r="D164" s="2">
        <v>0.99375000000000002</v>
      </c>
      <c r="E164" t="s">
        <v>2</v>
      </c>
      <c r="F164" t="s">
        <v>3</v>
      </c>
      <c r="G164" s="3">
        <v>35</v>
      </c>
      <c r="H164" s="3">
        <v>5.24</v>
      </c>
    </row>
    <row r="165" spans="1:8" ht="15" x14ac:dyDescent="0.25">
      <c r="A165" t="s">
        <v>543</v>
      </c>
      <c r="B165" t="s">
        <v>549</v>
      </c>
      <c r="C165" s="1">
        <v>45423</v>
      </c>
      <c r="D165" s="2">
        <v>0.86736111111111114</v>
      </c>
      <c r="E165" t="s">
        <v>2</v>
      </c>
      <c r="F165" t="s">
        <v>3</v>
      </c>
      <c r="G165" s="3">
        <v>64.22</v>
      </c>
      <c r="H165" s="3">
        <v>9.6199999999999992</v>
      </c>
    </row>
    <row r="166" spans="1:8" ht="15" x14ac:dyDescent="0.25">
      <c r="A166" t="s">
        <v>543</v>
      </c>
      <c r="B166" t="s">
        <v>550</v>
      </c>
      <c r="C166" s="1">
        <v>45424</v>
      </c>
      <c r="D166" s="2">
        <v>1.3888888888888888E-2</v>
      </c>
      <c r="E166" t="s">
        <v>2</v>
      </c>
      <c r="F166" t="s">
        <v>3</v>
      </c>
      <c r="G166" s="3">
        <v>17.309999999999999</v>
      </c>
      <c r="H166" s="3">
        <v>2.59</v>
      </c>
    </row>
    <row r="167" spans="1:8" ht="15" x14ac:dyDescent="0.25">
      <c r="A167" t="s">
        <v>543</v>
      </c>
      <c r="B167" t="s">
        <v>551</v>
      </c>
      <c r="C167" s="1">
        <v>45424</v>
      </c>
      <c r="D167" s="2">
        <v>2.2916666666666669E-2</v>
      </c>
      <c r="E167" t="s">
        <v>2</v>
      </c>
      <c r="F167" t="s">
        <v>3</v>
      </c>
      <c r="G167" s="3">
        <v>37.24</v>
      </c>
      <c r="H167" s="3">
        <v>5.58</v>
      </c>
    </row>
    <row r="168" spans="1:8" ht="15" x14ac:dyDescent="0.25">
      <c r="A168" t="s">
        <v>543</v>
      </c>
      <c r="B168" t="s">
        <v>552</v>
      </c>
      <c r="C168" s="1">
        <v>45424</v>
      </c>
      <c r="D168" s="2">
        <v>7.9861111111111105E-2</v>
      </c>
      <c r="E168" t="s">
        <v>2</v>
      </c>
      <c r="F168" t="s">
        <v>3</v>
      </c>
      <c r="G168" s="3">
        <v>6.06</v>
      </c>
      <c r="H168" s="3">
        <v>0.91</v>
      </c>
    </row>
    <row r="169" spans="1:8" ht="15" x14ac:dyDescent="0.25">
      <c r="A169" t="s">
        <v>543</v>
      </c>
      <c r="B169" t="s">
        <v>553</v>
      </c>
      <c r="C169" s="1">
        <v>45424</v>
      </c>
      <c r="D169" s="2">
        <v>0.4993055555555555</v>
      </c>
      <c r="E169" t="s">
        <v>2</v>
      </c>
      <c r="F169" t="s">
        <v>3</v>
      </c>
      <c r="G169" s="3">
        <v>17.89</v>
      </c>
      <c r="H169" s="3">
        <v>2.68</v>
      </c>
    </row>
    <row r="170" spans="1:8" ht="15" x14ac:dyDescent="0.25">
      <c r="A170" t="s">
        <v>543</v>
      </c>
      <c r="B170" t="s">
        <v>554</v>
      </c>
      <c r="C170" s="1">
        <v>45425</v>
      </c>
      <c r="D170" s="2">
        <v>0.93055555555555547</v>
      </c>
      <c r="E170" t="s">
        <v>2</v>
      </c>
      <c r="F170" t="s">
        <v>3</v>
      </c>
      <c r="G170" s="3">
        <v>23.95</v>
      </c>
      <c r="H170" s="3">
        <v>3.59</v>
      </c>
    </row>
    <row r="171" spans="1:8" ht="15" x14ac:dyDescent="0.25">
      <c r="A171" t="s">
        <v>543</v>
      </c>
      <c r="B171" t="s">
        <v>555</v>
      </c>
      <c r="C171" s="1">
        <v>45426</v>
      </c>
      <c r="D171" s="2">
        <v>0.93541666666666667</v>
      </c>
      <c r="E171" t="s">
        <v>2</v>
      </c>
      <c r="F171" t="s">
        <v>3</v>
      </c>
      <c r="G171" s="3">
        <v>32.229999999999997</v>
      </c>
      <c r="H171" s="3">
        <v>4.83</v>
      </c>
    </row>
    <row r="172" spans="1:8" ht="15" x14ac:dyDescent="0.25">
      <c r="A172" t="s">
        <v>543</v>
      </c>
      <c r="B172" t="s">
        <v>556</v>
      </c>
      <c r="C172" s="1">
        <v>45426</v>
      </c>
      <c r="D172" s="2">
        <v>0.93680555555555556</v>
      </c>
      <c r="E172" t="s">
        <v>2</v>
      </c>
      <c r="F172" t="s">
        <v>3</v>
      </c>
      <c r="G172" s="3">
        <v>12.12</v>
      </c>
      <c r="H172" s="3">
        <v>1.81</v>
      </c>
    </row>
    <row r="173" spans="1:8" ht="15" x14ac:dyDescent="0.25">
      <c r="A173" t="s">
        <v>543</v>
      </c>
      <c r="B173" t="s">
        <v>557</v>
      </c>
      <c r="C173" s="1">
        <v>45426</v>
      </c>
      <c r="D173" s="2">
        <v>0.96944444444444444</v>
      </c>
      <c r="E173" t="s">
        <v>2</v>
      </c>
      <c r="F173" t="s">
        <v>3</v>
      </c>
      <c r="G173" s="3">
        <v>75.7</v>
      </c>
      <c r="H173" s="3">
        <v>11.34</v>
      </c>
    </row>
    <row r="174" spans="1:8" ht="15" x14ac:dyDescent="0.25">
      <c r="A174" t="s">
        <v>543</v>
      </c>
      <c r="B174" t="s">
        <v>558</v>
      </c>
      <c r="C174" s="1">
        <v>45427</v>
      </c>
      <c r="D174" s="2">
        <v>0.16250000000000001</v>
      </c>
      <c r="E174" t="s">
        <v>2</v>
      </c>
      <c r="F174" t="s">
        <v>3</v>
      </c>
      <c r="G174" s="3">
        <v>47.94</v>
      </c>
      <c r="H174" s="3">
        <v>7.18</v>
      </c>
    </row>
    <row r="175" spans="1:8" ht="15" x14ac:dyDescent="0.25">
      <c r="A175" t="s">
        <v>543</v>
      </c>
      <c r="B175" t="s">
        <v>559</v>
      </c>
      <c r="C175" s="1">
        <v>45427</v>
      </c>
      <c r="D175" s="2">
        <v>0.74722222222222223</v>
      </c>
      <c r="E175" t="s">
        <v>2</v>
      </c>
      <c r="F175" t="s">
        <v>3</v>
      </c>
      <c r="G175" s="3">
        <v>57.41</v>
      </c>
      <c r="H175" s="3">
        <v>8.6</v>
      </c>
    </row>
    <row r="176" spans="1:8" ht="15" x14ac:dyDescent="0.25">
      <c r="A176" t="s">
        <v>543</v>
      </c>
      <c r="B176" t="s">
        <v>560</v>
      </c>
      <c r="C176" s="1">
        <v>45427</v>
      </c>
      <c r="D176" s="2">
        <v>0.9375</v>
      </c>
      <c r="E176" t="s">
        <v>2</v>
      </c>
      <c r="F176" t="s">
        <v>3</v>
      </c>
      <c r="G176" s="3">
        <v>35.78</v>
      </c>
      <c r="H176" s="3">
        <v>5.36</v>
      </c>
    </row>
    <row r="177" spans="1:8" ht="15" x14ac:dyDescent="0.25">
      <c r="A177" t="s">
        <v>543</v>
      </c>
      <c r="B177" t="s">
        <v>561</v>
      </c>
      <c r="C177" s="1">
        <v>45427</v>
      </c>
      <c r="D177" s="2">
        <v>0.97916666666666663</v>
      </c>
      <c r="E177" t="s">
        <v>2</v>
      </c>
      <c r="F177" t="s">
        <v>3</v>
      </c>
      <c r="G177" s="3">
        <v>17.89</v>
      </c>
      <c r="H177" s="3">
        <v>2.68</v>
      </c>
    </row>
    <row r="178" spans="1:8" ht="15" x14ac:dyDescent="0.25">
      <c r="A178" t="s">
        <v>543</v>
      </c>
      <c r="B178" t="s">
        <v>562</v>
      </c>
      <c r="C178" s="1">
        <v>45428</v>
      </c>
      <c r="D178" s="2">
        <v>4.3055555555555562E-2</v>
      </c>
      <c r="E178" t="s">
        <v>2</v>
      </c>
      <c r="F178" t="s">
        <v>3</v>
      </c>
      <c r="G178" s="3">
        <v>37.78</v>
      </c>
      <c r="H178" s="3">
        <v>5.66</v>
      </c>
    </row>
    <row r="179" spans="1:8" ht="15" x14ac:dyDescent="0.25">
      <c r="A179" t="s">
        <v>543</v>
      </c>
      <c r="B179" t="s">
        <v>563</v>
      </c>
      <c r="C179" s="1">
        <v>45428</v>
      </c>
      <c r="D179" s="2">
        <v>0.1076388888888889</v>
      </c>
      <c r="E179" t="s">
        <v>2</v>
      </c>
      <c r="F179" t="s">
        <v>3</v>
      </c>
      <c r="G179" s="3">
        <v>25.69</v>
      </c>
      <c r="H179" s="3">
        <v>3.85</v>
      </c>
    </row>
    <row r="180" spans="1:8" ht="15" x14ac:dyDescent="0.25">
      <c r="A180" t="s">
        <v>543</v>
      </c>
      <c r="B180" t="s">
        <v>564</v>
      </c>
      <c r="C180" s="1">
        <v>45428</v>
      </c>
      <c r="D180" s="2">
        <v>0.45694444444444443</v>
      </c>
      <c r="E180" t="s">
        <v>2</v>
      </c>
      <c r="F180" t="s">
        <v>3</v>
      </c>
      <c r="G180" s="3">
        <v>54.4</v>
      </c>
      <c r="H180" s="3">
        <v>8.15</v>
      </c>
    </row>
    <row r="181" spans="1:8" ht="15" x14ac:dyDescent="0.25">
      <c r="A181" t="s">
        <v>543</v>
      </c>
      <c r="B181" t="s">
        <v>565</v>
      </c>
      <c r="C181" s="1">
        <v>45429</v>
      </c>
      <c r="D181" s="2">
        <v>0.28055555555555556</v>
      </c>
      <c r="E181" t="s">
        <v>2</v>
      </c>
      <c r="F181" t="s">
        <v>3</v>
      </c>
      <c r="G181" s="3">
        <v>23.3</v>
      </c>
      <c r="H181" s="3">
        <v>3.49</v>
      </c>
    </row>
    <row r="182" spans="1:8" ht="15" x14ac:dyDescent="0.25">
      <c r="A182" t="s">
        <v>543</v>
      </c>
      <c r="B182" t="s">
        <v>566</v>
      </c>
      <c r="C182" s="1">
        <v>45429</v>
      </c>
      <c r="D182" s="2">
        <v>0.30208333333333331</v>
      </c>
      <c r="E182" t="s">
        <v>2</v>
      </c>
      <c r="F182" t="s">
        <v>3</v>
      </c>
      <c r="G182" s="3">
        <v>12.12</v>
      </c>
      <c r="H182" s="3">
        <v>1.81</v>
      </c>
    </row>
    <row r="183" spans="1:8" ht="15" x14ac:dyDescent="0.25">
      <c r="A183" t="s">
        <v>543</v>
      </c>
      <c r="B183" t="s">
        <v>567</v>
      </c>
      <c r="C183" s="1">
        <v>45429</v>
      </c>
      <c r="D183" s="2">
        <v>0.89583333333333337</v>
      </c>
      <c r="E183" t="s">
        <v>2</v>
      </c>
      <c r="F183" t="s">
        <v>3</v>
      </c>
      <c r="G183" s="3">
        <v>23.95</v>
      </c>
      <c r="H183" s="3">
        <v>3.59</v>
      </c>
    </row>
    <row r="184" spans="1:8" ht="15" x14ac:dyDescent="0.25">
      <c r="A184" t="s">
        <v>543</v>
      </c>
      <c r="B184" t="s">
        <v>568</v>
      </c>
      <c r="C184" s="1">
        <v>45430</v>
      </c>
      <c r="D184" s="2">
        <v>0.1423611111111111</v>
      </c>
      <c r="E184" t="s">
        <v>2</v>
      </c>
      <c r="F184" t="s">
        <v>3</v>
      </c>
      <c r="G184" s="3">
        <v>68.72</v>
      </c>
      <c r="H184" s="3">
        <v>10.29</v>
      </c>
    </row>
    <row r="185" spans="1:8" ht="15" x14ac:dyDescent="0.25">
      <c r="A185" t="s">
        <v>543</v>
      </c>
      <c r="B185" t="s">
        <v>569</v>
      </c>
      <c r="C185" s="1">
        <v>45430</v>
      </c>
      <c r="D185" s="2">
        <v>0.23611111111111113</v>
      </c>
      <c r="E185" t="s">
        <v>2</v>
      </c>
      <c r="F185" t="s">
        <v>3</v>
      </c>
      <c r="G185" s="3">
        <v>87.4</v>
      </c>
      <c r="H185" s="3">
        <v>13.09</v>
      </c>
    </row>
    <row r="186" spans="1:8" ht="15" x14ac:dyDescent="0.25">
      <c r="A186" t="s">
        <v>543</v>
      </c>
      <c r="B186" t="s">
        <v>570</v>
      </c>
      <c r="C186" s="1">
        <v>45430</v>
      </c>
      <c r="D186" s="2">
        <v>0.875</v>
      </c>
      <c r="E186" t="s">
        <v>2</v>
      </c>
      <c r="F186" t="s">
        <v>3</v>
      </c>
      <c r="G186" s="3">
        <v>24.74</v>
      </c>
      <c r="H186" s="3">
        <v>3.7</v>
      </c>
    </row>
    <row r="187" spans="1:8" ht="15" x14ac:dyDescent="0.25">
      <c r="A187" t="s">
        <v>543</v>
      </c>
      <c r="B187" t="s">
        <v>571</v>
      </c>
      <c r="C187" s="1">
        <v>45430</v>
      </c>
      <c r="D187" s="2">
        <v>0.88402777777777775</v>
      </c>
      <c r="E187" t="s">
        <v>2</v>
      </c>
      <c r="F187" t="s">
        <v>3</v>
      </c>
      <c r="G187" s="3">
        <v>23.3</v>
      </c>
      <c r="H187" s="3">
        <v>3.49</v>
      </c>
    </row>
    <row r="188" spans="1:8" ht="15" x14ac:dyDescent="0.25">
      <c r="A188" t="s">
        <v>543</v>
      </c>
      <c r="B188" t="s">
        <v>572</v>
      </c>
      <c r="C188" s="1">
        <v>45430</v>
      </c>
      <c r="D188" s="2">
        <v>0.89236111111111116</v>
      </c>
      <c r="E188" t="s">
        <v>2</v>
      </c>
      <c r="F188" t="s">
        <v>58</v>
      </c>
      <c r="G188" s="3">
        <v>68.959999999999994</v>
      </c>
      <c r="H188" s="3">
        <v>10.33</v>
      </c>
    </row>
    <row r="189" spans="1:8" ht="15" x14ac:dyDescent="0.25">
      <c r="A189" t="s">
        <v>543</v>
      </c>
      <c r="B189" t="s">
        <v>573</v>
      </c>
      <c r="C189" s="1">
        <v>45431</v>
      </c>
      <c r="D189" s="2">
        <v>1.5277777777777777E-2</v>
      </c>
      <c r="E189" t="s">
        <v>2</v>
      </c>
      <c r="F189" t="s">
        <v>3</v>
      </c>
      <c r="G189" s="3">
        <v>9.64</v>
      </c>
      <c r="H189" s="3">
        <v>1.44</v>
      </c>
    </row>
    <row r="190" spans="1:8" ht="15" x14ac:dyDescent="0.25">
      <c r="A190" t="s">
        <v>543</v>
      </c>
      <c r="B190" t="s">
        <v>574</v>
      </c>
      <c r="C190" s="1">
        <v>45431</v>
      </c>
      <c r="D190" s="2">
        <v>2.2916666666666669E-2</v>
      </c>
      <c r="E190" t="s">
        <v>2</v>
      </c>
      <c r="F190" t="s">
        <v>3</v>
      </c>
      <c r="G190" s="3">
        <v>63.18</v>
      </c>
      <c r="H190" s="3">
        <v>9.4600000000000009</v>
      </c>
    </row>
    <row r="191" spans="1:8" ht="15" x14ac:dyDescent="0.25">
      <c r="A191" t="s">
        <v>543</v>
      </c>
      <c r="B191" t="s">
        <v>575</v>
      </c>
      <c r="C191" s="1">
        <v>45431</v>
      </c>
      <c r="D191" s="2">
        <v>0.79652777777777783</v>
      </c>
      <c r="E191" t="s">
        <v>2</v>
      </c>
      <c r="F191" t="s">
        <v>3</v>
      </c>
      <c r="G191" s="3">
        <v>6.06</v>
      </c>
      <c r="H191" s="3">
        <v>0.91</v>
      </c>
    </row>
    <row r="192" spans="1:8" ht="15" x14ac:dyDescent="0.25">
      <c r="A192" t="s">
        <v>543</v>
      </c>
      <c r="B192" t="s">
        <v>576</v>
      </c>
      <c r="C192" s="1">
        <v>45431</v>
      </c>
      <c r="D192" s="2">
        <v>0.9458333333333333</v>
      </c>
      <c r="E192" t="s">
        <v>2</v>
      </c>
      <c r="F192" t="s">
        <v>3</v>
      </c>
      <c r="G192" s="3">
        <v>14.99</v>
      </c>
      <c r="H192" s="3">
        <v>2.2400000000000002</v>
      </c>
    </row>
    <row r="193" spans="1:8" ht="15" x14ac:dyDescent="0.25">
      <c r="A193" t="s">
        <v>543</v>
      </c>
      <c r="B193" t="s">
        <v>577</v>
      </c>
      <c r="C193" s="1">
        <v>45431</v>
      </c>
      <c r="D193" s="2">
        <v>0.9590277777777777</v>
      </c>
      <c r="E193" t="s">
        <v>2</v>
      </c>
      <c r="F193" t="s">
        <v>3</v>
      </c>
      <c r="G193" s="3">
        <v>17.07</v>
      </c>
      <c r="H193" s="3">
        <v>2.56</v>
      </c>
    </row>
    <row r="194" spans="1:8" ht="15" x14ac:dyDescent="0.25">
      <c r="A194" t="s">
        <v>543</v>
      </c>
      <c r="B194" t="s">
        <v>578</v>
      </c>
      <c r="C194" s="1">
        <v>45431</v>
      </c>
      <c r="D194" s="2">
        <v>0.97152777777777777</v>
      </c>
      <c r="E194" t="s">
        <v>2</v>
      </c>
      <c r="F194" t="s">
        <v>3</v>
      </c>
      <c r="G194" s="3">
        <v>27.14</v>
      </c>
      <c r="H194" s="3">
        <v>4.0599999999999996</v>
      </c>
    </row>
    <row r="195" spans="1:8" ht="15" x14ac:dyDescent="0.25">
      <c r="A195" t="s">
        <v>543</v>
      </c>
      <c r="B195" t="s">
        <v>579</v>
      </c>
      <c r="C195" s="1">
        <v>45432</v>
      </c>
      <c r="D195" s="2">
        <v>1.9444444444444445E-2</v>
      </c>
      <c r="E195" t="s">
        <v>2</v>
      </c>
      <c r="F195" t="s">
        <v>3</v>
      </c>
      <c r="G195" s="3">
        <v>17.93</v>
      </c>
      <c r="H195" s="3">
        <v>2.69</v>
      </c>
    </row>
    <row r="196" spans="1:8" ht="15" x14ac:dyDescent="0.25">
      <c r="A196" t="s">
        <v>543</v>
      </c>
      <c r="B196" t="s">
        <v>580</v>
      </c>
      <c r="C196" s="1">
        <v>45432</v>
      </c>
      <c r="D196" s="2">
        <v>0.18194444444444444</v>
      </c>
      <c r="E196" t="s">
        <v>2</v>
      </c>
      <c r="F196" t="s">
        <v>3</v>
      </c>
      <c r="G196" s="3">
        <v>17.89</v>
      </c>
      <c r="H196" s="3">
        <v>2.68</v>
      </c>
    </row>
    <row r="197" spans="1:8" ht="15" x14ac:dyDescent="0.25">
      <c r="A197" t="s">
        <v>543</v>
      </c>
      <c r="B197" t="s">
        <v>581</v>
      </c>
      <c r="C197" s="1">
        <v>45432</v>
      </c>
      <c r="D197" s="2">
        <v>0.67638888888888893</v>
      </c>
      <c r="E197" t="s">
        <v>2</v>
      </c>
      <c r="F197" t="s">
        <v>3</v>
      </c>
      <c r="G197" s="3">
        <v>25.09</v>
      </c>
      <c r="H197" s="3">
        <v>3.76</v>
      </c>
    </row>
    <row r="198" spans="1:8" ht="15" x14ac:dyDescent="0.25">
      <c r="A198" t="s">
        <v>543</v>
      </c>
      <c r="B198" t="s">
        <v>582</v>
      </c>
      <c r="C198" s="1">
        <v>45432</v>
      </c>
      <c r="D198" s="2">
        <v>0.70000000000000007</v>
      </c>
      <c r="E198" t="s">
        <v>2</v>
      </c>
      <c r="F198" t="s">
        <v>3</v>
      </c>
      <c r="G198" s="3">
        <v>17.89</v>
      </c>
      <c r="H198" s="3">
        <v>2.68</v>
      </c>
    </row>
    <row r="199" spans="1:8" ht="15" x14ac:dyDescent="0.25">
      <c r="A199" t="s">
        <v>543</v>
      </c>
      <c r="B199" t="s">
        <v>583</v>
      </c>
      <c r="C199" s="1">
        <v>45434</v>
      </c>
      <c r="D199" s="2">
        <v>0.3972222222222222</v>
      </c>
      <c r="E199" t="s">
        <v>2</v>
      </c>
      <c r="F199" t="s">
        <v>3</v>
      </c>
      <c r="G199" s="3">
        <v>20.82</v>
      </c>
      <c r="H199" s="3">
        <v>3.12</v>
      </c>
    </row>
    <row r="200" spans="1:8" ht="15" x14ac:dyDescent="0.25">
      <c r="A200" t="s">
        <v>543</v>
      </c>
      <c r="B200" t="s">
        <v>584</v>
      </c>
      <c r="C200" s="1">
        <v>45435</v>
      </c>
      <c r="D200" s="2">
        <v>2.9166666666666664E-2</v>
      </c>
      <c r="E200" t="s">
        <v>2</v>
      </c>
      <c r="F200" t="s">
        <v>3</v>
      </c>
      <c r="G200" s="3">
        <v>27.2</v>
      </c>
      <c r="H200" s="3">
        <v>4.07</v>
      </c>
    </row>
    <row r="201" spans="1:8" ht="15" x14ac:dyDescent="0.25">
      <c r="A201" t="s">
        <v>543</v>
      </c>
      <c r="B201" t="s">
        <v>585</v>
      </c>
      <c r="C201" s="1">
        <v>45435</v>
      </c>
      <c r="D201" s="2">
        <v>0.39861111111111108</v>
      </c>
      <c r="E201" t="s">
        <v>2</v>
      </c>
      <c r="F201" t="s">
        <v>3</v>
      </c>
      <c r="G201" s="3">
        <v>22.17</v>
      </c>
      <c r="H201" s="3">
        <v>3.32</v>
      </c>
    </row>
    <row r="202" spans="1:8" ht="15" x14ac:dyDescent="0.25">
      <c r="A202" t="s">
        <v>543</v>
      </c>
      <c r="B202" t="s">
        <v>586</v>
      </c>
      <c r="C202" s="1">
        <v>45435</v>
      </c>
      <c r="D202" s="2">
        <v>0.50624999999999998</v>
      </c>
      <c r="E202" t="s">
        <v>2</v>
      </c>
      <c r="F202" t="s">
        <v>3</v>
      </c>
      <c r="G202" s="3">
        <v>23.3</v>
      </c>
      <c r="H202" s="3">
        <v>3.49</v>
      </c>
    </row>
    <row r="203" spans="1:8" ht="15" x14ac:dyDescent="0.25">
      <c r="A203" t="s">
        <v>543</v>
      </c>
      <c r="B203" t="s">
        <v>587</v>
      </c>
      <c r="C203" s="1">
        <v>45438</v>
      </c>
      <c r="D203" s="2">
        <v>0.34027777777777773</v>
      </c>
      <c r="E203" t="s">
        <v>2</v>
      </c>
      <c r="F203" t="s">
        <v>3</v>
      </c>
      <c r="G203" s="3">
        <v>38.29</v>
      </c>
      <c r="H203" s="3">
        <v>5.73</v>
      </c>
    </row>
    <row r="204" spans="1:8" ht="15" x14ac:dyDescent="0.25">
      <c r="A204" t="s">
        <v>543</v>
      </c>
      <c r="B204" t="s">
        <v>588</v>
      </c>
      <c r="C204" s="1">
        <v>45438</v>
      </c>
      <c r="D204" s="2">
        <v>0.96597222222222223</v>
      </c>
      <c r="E204" t="s">
        <v>2</v>
      </c>
      <c r="F204" t="s">
        <v>3</v>
      </c>
      <c r="G204" s="3">
        <v>6.06</v>
      </c>
      <c r="H204" s="3">
        <v>0.91</v>
      </c>
    </row>
    <row r="205" spans="1:8" ht="15" x14ac:dyDescent="0.25">
      <c r="A205" t="s">
        <v>543</v>
      </c>
      <c r="B205" t="s">
        <v>589</v>
      </c>
      <c r="C205" s="1">
        <v>45438</v>
      </c>
      <c r="D205" s="2">
        <v>0.97916666666666663</v>
      </c>
      <c r="E205" t="s">
        <v>2</v>
      </c>
      <c r="F205" t="s">
        <v>3</v>
      </c>
      <c r="G205" s="3">
        <v>37.72</v>
      </c>
      <c r="H205" s="3">
        <v>5.65</v>
      </c>
    </row>
    <row r="206" spans="1:8" ht="15" x14ac:dyDescent="0.25">
      <c r="A206" t="s">
        <v>543</v>
      </c>
      <c r="B206" t="s">
        <v>590</v>
      </c>
      <c r="C206" s="1">
        <v>45439</v>
      </c>
      <c r="D206" s="2">
        <v>0.47361111111111115</v>
      </c>
      <c r="E206" t="s">
        <v>2</v>
      </c>
      <c r="F206" t="s">
        <v>3</v>
      </c>
      <c r="G206" s="3">
        <v>240.29</v>
      </c>
      <c r="H206" s="3">
        <v>35.979999999999997</v>
      </c>
    </row>
    <row r="207" spans="1:8" ht="15" x14ac:dyDescent="0.25">
      <c r="A207" t="s">
        <v>543</v>
      </c>
      <c r="B207" t="s">
        <v>591</v>
      </c>
      <c r="C207" s="1">
        <v>45439</v>
      </c>
      <c r="D207" s="2">
        <v>0.7944444444444444</v>
      </c>
      <c r="E207" t="s">
        <v>2</v>
      </c>
      <c r="F207" t="s">
        <v>3</v>
      </c>
      <c r="G207" s="3">
        <v>12.12</v>
      </c>
      <c r="H207" s="3">
        <v>1.81</v>
      </c>
    </row>
    <row r="208" spans="1:8" ht="15" x14ac:dyDescent="0.25">
      <c r="A208" t="s">
        <v>543</v>
      </c>
      <c r="B208" t="s">
        <v>592</v>
      </c>
      <c r="C208" s="1">
        <v>45440</v>
      </c>
      <c r="D208" s="2">
        <v>4.5138888888888888E-2</v>
      </c>
      <c r="E208" t="s">
        <v>2</v>
      </c>
      <c r="F208" t="s">
        <v>3</v>
      </c>
      <c r="G208" s="3">
        <v>17.89</v>
      </c>
      <c r="H208" s="3">
        <v>2.68</v>
      </c>
    </row>
    <row r="209" spans="1:8" ht="15" x14ac:dyDescent="0.25">
      <c r="A209" t="s">
        <v>543</v>
      </c>
      <c r="B209" t="s">
        <v>593</v>
      </c>
      <c r="C209" s="1">
        <v>45440</v>
      </c>
      <c r="D209" s="2">
        <v>0.14652777777777778</v>
      </c>
      <c r="E209" t="s">
        <v>2</v>
      </c>
      <c r="F209" t="s">
        <v>3</v>
      </c>
      <c r="G209" s="3">
        <v>23.3</v>
      </c>
      <c r="H209" s="3">
        <v>3.49</v>
      </c>
    </row>
    <row r="210" spans="1:8" ht="15" x14ac:dyDescent="0.25">
      <c r="A210" t="s">
        <v>543</v>
      </c>
      <c r="B210" t="s">
        <v>594</v>
      </c>
      <c r="C210" s="1">
        <v>45440</v>
      </c>
      <c r="D210" s="2">
        <v>0.4152777777777778</v>
      </c>
      <c r="E210" t="s">
        <v>2</v>
      </c>
      <c r="F210" t="s">
        <v>3</v>
      </c>
      <c r="G210" s="3">
        <v>17.89</v>
      </c>
      <c r="H210" s="3">
        <v>2.68</v>
      </c>
    </row>
    <row r="211" spans="1:8" ht="15" x14ac:dyDescent="0.25">
      <c r="A211" t="s">
        <v>543</v>
      </c>
      <c r="B211" t="s">
        <v>595</v>
      </c>
      <c r="C211" s="1">
        <v>45440</v>
      </c>
      <c r="D211" s="2">
        <v>0.98819444444444438</v>
      </c>
      <c r="E211" t="s">
        <v>2</v>
      </c>
      <c r="F211" t="s">
        <v>3</v>
      </c>
      <c r="G211" s="3">
        <v>17.89</v>
      </c>
      <c r="H211" s="3">
        <v>2.68</v>
      </c>
    </row>
    <row r="212" spans="1:8" ht="15" x14ac:dyDescent="0.25">
      <c r="A212" t="s">
        <v>543</v>
      </c>
      <c r="B212" t="s">
        <v>596</v>
      </c>
      <c r="C212" s="1">
        <v>45440</v>
      </c>
      <c r="D212" s="2">
        <v>0.99375000000000002</v>
      </c>
      <c r="E212" t="s">
        <v>2</v>
      </c>
      <c r="F212" t="s">
        <v>3</v>
      </c>
      <c r="G212" s="3">
        <v>23.95</v>
      </c>
      <c r="H212" s="3">
        <v>3.59</v>
      </c>
    </row>
    <row r="213" spans="1:8" ht="15" x14ac:dyDescent="0.25">
      <c r="A213" t="s">
        <v>543</v>
      </c>
      <c r="B213" t="s">
        <v>597</v>
      </c>
      <c r="C213" s="1">
        <v>45441</v>
      </c>
      <c r="D213" s="2">
        <v>0.57500000000000007</v>
      </c>
      <c r="E213" t="s">
        <v>2</v>
      </c>
      <c r="F213" t="s">
        <v>3</v>
      </c>
      <c r="G213" s="3">
        <v>19.28</v>
      </c>
      <c r="H213" s="3">
        <v>2.89</v>
      </c>
    </row>
    <row r="214" spans="1:8" ht="15" x14ac:dyDescent="0.25">
      <c r="A214" t="s">
        <v>543</v>
      </c>
      <c r="B214" t="s">
        <v>598</v>
      </c>
      <c r="C214" s="1">
        <v>45441</v>
      </c>
      <c r="D214" s="2">
        <v>0.8847222222222223</v>
      </c>
      <c r="E214" t="s">
        <v>2</v>
      </c>
      <c r="F214" t="s">
        <v>3</v>
      </c>
      <c r="G214" s="3">
        <v>12.12</v>
      </c>
      <c r="H214" s="3">
        <v>1.81</v>
      </c>
    </row>
    <row r="215" spans="1:8" ht="15" x14ac:dyDescent="0.25">
      <c r="A215" t="s">
        <v>543</v>
      </c>
      <c r="B215" t="s">
        <v>599</v>
      </c>
      <c r="C215" s="1">
        <v>45442</v>
      </c>
      <c r="D215" s="2">
        <v>2.5694444444444447E-2</v>
      </c>
      <c r="E215" t="s">
        <v>2</v>
      </c>
      <c r="F215" t="s">
        <v>3</v>
      </c>
      <c r="G215" s="3">
        <v>17.46</v>
      </c>
      <c r="H215" s="3">
        <v>2.61</v>
      </c>
    </row>
    <row r="216" spans="1:8" ht="15" x14ac:dyDescent="0.25">
      <c r="A216" t="s">
        <v>543</v>
      </c>
      <c r="B216" t="s">
        <v>600</v>
      </c>
      <c r="C216" s="1">
        <v>45442</v>
      </c>
      <c r="D216" s="2">
        <v>4.3055555555555562E-2</v>
      </c>
      <c r="E216" t="s">
        <v>2</v>
      </c>
      <c r="F216" t="s">
        <v>3</v>
      </c>
      <c r="G216" s="3">
        <v>32.229999999999997</v>
      </c>
      <c r="H216" s="3">
        <v>4.83</v>
      </c>
    </row>
    <row r="217" spans="1:8" ht="15" x14ac:dyDescent="0.25">
      <c r="A217" t="s">
        <v>543</v>
      </c>
      <c r="B217" t="s">
        <v>601</v>
      </c>
      <c r="C217" s="1">
        <v>45442</v>
      </c>
      <c r="D217" s="2">
        <v>0.62291666666666667</v>
      </c>
      <c r="E217" t="s">
        <v>2</v>
      </c>
      <c r="F217" t="s">
        <v>3</v>
      </c>
      <c r="G217" s="3">
        <v>24.63</v>
      </c>
      <c r="H217" s="3">
        <v>3.69</v>
      </c>
    </row>
    <row r="218" spans="1:8" ht="15" x14ac:dyDescent="0.25">
      <c r="A218" t="s">
        <v>543</v>
      </c>
      <c r="B218" t="s">
        <v>602</v>
      </c>
      <c r="C218" s="1">
        <v>45443</v>
      </c>
      <c r="D218" s="2">
        <v>0.34236111111111112</v>
      </c>
      <c r="E218" t="s">
        <v>2</v>
      </c>
      <c r="F218" t="s">
        <v>3</v>
      </c>
      <c r="G218" s="3">
        <v>32.78</v>
      </c>
      <c r="H218" s="3">
        <v>4.91</v>
      </c>
    </row>
    <row r="219" spans="1:8" ht="15.75" thickBot="1" x14ac:dyDescent="0.3">
      <c r="A219" s="4" t="s">
        <v>543</v>
      </c>
      <c r="B219" s="4" t="s">
        <v>603</v>
      </c>
      <c r="C219" s="6">
        <v>45443</v>
      </c>
      <c r="D219" s="7">
        <v>0.74097222222222225</v>
      </c>
      <c r="E219" s="4" t="s">
        <v>2</v>
      </c>
      <c r="F219" s="4" t="s">
        <v>3</v>
      </c>
      <c r="G219" s="5">
        <v>52.24</v>
      </c>
      <c r="H219" s="5">
        <v>7.82</v>
      </c>
    </row>
    <row r="220" spans="1:8" ht="15" x14ac:dyDescent="0.25">
      <c r="A220" t="s">
        <v>752</v>
      </c>
      <c r="G220" s="9">
        <f>SUM(G160:G219)</f>
        <v>1997.3700000000003</v>
      </c>
      <c r="H220" s="9">
        <f>SUM(H160:H219)</f>
        <v>299.13</v>
      </c>
    </row>
    <row r="222" spans="1:8" ht="15.75" thickBot="1" x14ac:dyDescent="0.3"/>
    <row r="223" spans="1:8" ht="15.75" thickBot="1" x14ac:dyDescent="0.3">
      <c r="A223" s="11" t="s">
        <v>411</v>
      </c>
      <c r="B223" s="12" t="s">
        <v>163</v>
      </c>
      <c r="C223" s="12" t="s">
        <v>165</v>
      </c>
      <c r="D223" s="12" t="s">
        <v>166</v>
      </c>
      <c r="E223" s="12" t="s">
        <v>164</v>
      </c>
      <c r="F223" s="12" t="s">
        <v>167</v>
      </c>
      <c r="G223" s="12" t="s">
        <v>412</v>
      </c>
      <c r="H223" s="13" t="s">
        <v>169</v>
      </c>
    </row>
    <row r="224" spans="1:8" x14ac:dyDescent="0.35">
      <c r="A224" t="s">
        <v>40</v>
      </c>
      <c r="B224" t="s">
        <v>604</v>
      </c>
      <c r="C224" s="1">
        <v>45413</v>
      </c>
      <c r="D224" s="2">
        <v>1.4583333333333332E-2</v>
      </c>
      <c r="E224" t="s">
        <v>2</v>
      </c>
      <c r="F224" t="s">
        <v>3</v>
      </c>
      <c r="G224" s="3">
        <v>30.31</v>
      </c>
      <c r="H224" s="3">
        <v>4.54</v>
      </c>
    </row>
    <row r="225" spans="1:8" x14ac:dyDescent="0.35">
      <c r="A225" t="s">
        <v>40</v>
      </c>
      <c r="B225" t="s">
        <v>605</v>
      </c>
      <c r="C225" s="1">
        <v>45413</v>
      </c>
      <c r="D225" s="2">
        <v>7.5694444444444439E-2</v>
      </c>
      <c r="E225" t="s">
        <v>2</v>
      </c>
      <c r="F225" t="s">
        <v>3</v>
      </c>
      <c r="G225" s="3">
        <v>24.24</v>
      </c>
      <c r="H225" s="3">
        <v>3.63</v>
      </c>
    </row>
    <row r="226" spans="1:8" x14ac:dyDescent="0.35">
      <c r="A226" t="s">
        <v>40</v>
      </c>
      <c r="B226" t="s">
        <v>606</v>
      </c>
      <c r="C226" s="1">
        <v>45413</v>
      </c>
      <c r="D226" s="2">
        <v>0.39166666666666666</v>
      </c>
      <c r="E226" t="s">
        <v>2</v>
      </c>
      <c r="F226" t="s">
        <v>3</v>
      </c>
      <c r="G226" s="3">
        <v>77.239999999999995</v>
      </c>
      <c r="H226" s="3">
        <v>11.56</v>
      </c>
    </row>
    <row r="227" spans="1:8" x14ac:dyDescent="0.35">
      <c r="A227" t="s">
        <v>40</v>
      </c>
      <c r="B227" t="s">
        <v>607</v>
      </c>
      <c r="C227" s="1">
        <v>45413</v>
      </c>
      <c r="D227" s="2">
        <v>0.69027777777777777</v>
      </c>
      <c r="E227" t="s">
        <v>2</v>
      </c>
      <c r="F227" t="s">
        <v>3</v>
      </c>
      <c r="G227" s="3">
        <v>48.15</v>
      </c>
      <c r="H227" s="3">
        <v>7.21</v>
      </c>
    </row>
    <row r="228" spans="1:8" x14ac:dyDescent="0.35">
      <c r="A228" t="s">
        <v>40</v>
      </c>
      <c r="B228" t="s">
        <v>608</v>
      </c>
      <c r="C228" s="1">
        <v>45413</v>
      </c>
      <c r="D228" s="2">
        <v>0.92222222222222217</v>
      </c>
      <c r="E228" t="s">
        <v>2</v>
      </c>
      <c r="F228" t="s">
        <v>3</v>
      </c>
      <c r="G228" s="3">
        <v>24.24</v>
      </c>
      <c r="H228" s="3">
        <v>3.63</v>
      </c>
    </row>
    <row r="229" spans="1:8" x14ac:dyDescent="0.35">
      <c r="A229" t="s">
        <v>40</v>
      </c>
      <c r="B229" t="s">
        <v>609</v>
      </c>
      <c r="C229" s="1">
        <v>45414</v>
      </c>
      <c r="D229" s="2">
        <v>0.16874999999999998</v>
      </c>
      <c r="E229" t="s">
        <v>2</v>
      </c>
      <c r="F229" t="s">
        <v>3</v>
      </c>
      <c r="G229" s="3">
        <v>15.79</v>
      </c>
      <c r="H229" s="3">
        <v>2.36</v>
      </c>
    </row>
    <row r="230" spans="1:8" x14ac:dyDescent="0.35">
      <c r="A230" t="s">
        <v>40</v>
      </c>
      <c r="B230" t="s">
        <v>610</v>
      </c>
      <c r="C230" s="1">
        <v>45414</v>
      </c>
      <c r="D230" s="2">
        <v>0.17777777777777778</v>
      </c>
      <c r="E230" t="s">
        <v>2</v>
      </c>
      <c r="F230" t="s">
        <v>3</v>
      </c>
      <c r="G230" s="3">
        <v>24.24</v>
      </c>
      <c r="H230" s="3">
        <v>3.63</v>
      </c>
    </row>
    <row r="231" spans="1:8" x14ac:dyDescent="0.35">
      <c r="A231" t="s">
        <v>40</v>
      </c>
      <c r="B231" t="s">
        <v>611</v>
      </c>
      <c r="C231" s="1">
        <v>45415</v>
      </c>
      <c r="D231" s="2">
        <v>9.7222222222222224E-2</v>
      </c>
      <c r="E231" t="s">
        <v>2</v>
      </c>
      <c r="F231" t="s">
        <v>3</v>
      </c>
      <c r="G231" s="3">
        <v>33.270000000000003</v>
      </c>
      <c r="H231" s="3">
        <v>4.9800000000000004</v>
      </c>
    </row>
    <row r="232" spans="1:8" x14ac:dyDescent="0.35">
      <c r="A232" t="s">
        <v>40</v>
      </c>
      <c r="B232" t="s">
        <v>612</v>
      </c>
      <c r="C232" s="1">
        <v>45415</v>
      </c>
      <c r="D232" s="2">
        <v>0.13402777777777777</v>
      </c>
      <c r="E232" t="s">
        <v>2</v>
      </c>
      <c r="F232" t="s">
        <v>3</v>
      </c>
      <c r="G232" s="3">
        <v>20.88</v>
      </c>
      <c r="H232" s="3">
        <v>3.13</v>
      </c>
    </row>
    <row r="233" spans="1:8" x14ac:dyDescent="0.35">
      <c r="A233" t="s">
        <v>40</v>
      </c>
      <c r="B233" t="s">
        <v>613</v>
      </c>
      <c r="C233" s="1">
        <v>45415</v>
      </c>
      <c r="D233" s="2">
        <v>0.34236111111111112</v>
      </c>
      <c r="E233" t="s">
        <v>2</v>
      </c>
      <c r="F233" t="s">
        <v>3</v>
      </c>
      <c r="G233" s="3">
        <v>8.15</v>
      </c>
      <c r="H233" s="3">
        <v>1.22</v>
      </c>
    </row>
    <row r="234" spans="1:8" x14ac:dyDescent="0.35">
      <c r="A234" t="s">
        <v>40</v>
      </c>
      <c r="B234" t="s">
        <v>614</v>
      </c>
      <c r="C234" s="1">
        <v>45415</v>
      </c>
      <c r="D234" s="2">
        <v>0.35555555555555557</v>
      </c>
      <c r="E234" t="s">
        <v>2</v>
      </c>
      <c r="F234" t="s">
        <v>3</v>
      </c>
      <c r="G234" s="3">
        <v>75.989999999999995</v>
      </c>
      <c r="H234" s="3">
        <v>11.38</v>
      </c>
    </row>
    <row r="235" spans="1:8" x14ac:dyDescent="0.35">
      <c r="A235" t="s">
        <v>40</v>
      </c>
      <c r="B235" t="s">
        <v>615</v>
      </c>
      <c r="C235" s="1">
        <v>45415</v>
      </c>
      <c r="D235" s="2">
        <v>0.51388888888888895</v>
      </c>
      <c r="E235" t="s">
        <v>2</v>
      </c>
      <c r="F235" t="s">
        <v>3</v>
      </c>
      <c r="G235" s="3">
        <v>26.07</v>
      </c>
      <c r="H235" s="3">
        <v>3.9</v>
      </c>
    </row>
    <row r="236" spans="1:8" x14ac:dyDescent="0.35">
      <c r="A236" t="s">
        <v>40</v>
      </c>
      <c r="B236" t="s">
        <v>616</v>
      </c>
      <c r="C236" s="1">
        <v>45415</v>
      </c>
      <c r="D236" s="2">
        <v>0.60416666666666663</v>
      </c>
      <c r="E236" t="s">
        <v>2</v>
      </c>
      <c r="F236" t="s">
        <v>3</v>
      </c>
      <c r="G236" s="3">
        <v>21.54</v>
      </c>
      <c r="H236" s="3">
        <v>3.23</v>
      </c>
    </row>
    <row r="237" spans="1:8" x14ac:dyDescent="0.35">
      <c r="A237" t="s">
        <v>40</v>
      </c>
      <c r="B237" t="s">
        <v>617</v>
      </c>
      <c r="C237" s="1">
        <v>45415</v>
      </c>
      <c r="D237" s="2">
        <v>0.9472222222222223</v>
      </c>
      <c r="E237" t="s">
        <v>2</v>
      </c>
      <c r="F237" t="s">
        <v>3</v>
      </c>
      <c r="G237" s="3">
        <v>15.64</v>
      </c>
      <c r="H237" s="3">
        <v>2.34</v>
      </c>
    </row>
    <row r="238" spans="1:8" x14ac:dyDescent="0.35">
      <c r="A238" t="s">
        <v>40</v>
      </c>
      <c r="B238" t="s">
        <v>618</v>
      </c>
      <c r="C238" s="1">
        <v>45416</v>
      </c>
      <c r="D238" s="2">
        <v>2.6388888888888889E-2</v>
      </c>
      <c r="E238" t="s">
        <v>2</v>
      </c>
      <c r="F238" t="s">
        <v>3</v>
      </c>
      <c r="G238" s="3">
        <v>22.04</v>
      </c>
      <c r="H238" s="3">
        <v>3.3</v>
      </c>
    </row>
    <row r="239" spans="1:8" x14ac:dyDescent="0.35">
      <c r="A239" t="s">
        <v>40</v>
      </c>
      <c r="B239" t="s">
        <v>619</v>
      </c>
      <c r="C239" s="1">
        <v>45416</v>
      </c>
      <c r="D239" s="2">
        <v>0.21944444444444444</v>
      </c>
      <c r="E239" t="s">
        <v>2</v>
      </c>
      <c r="F239" t="s">
        <v>3</v>
      </c>
      <c r="G239" s="3">
        <v>20.88</v>
      </c>
      <c r="H239" s="3">
        <v>3.13</v>
      </c>
    </row>
    <row r="240" spans="1:8" x14ac:dyDescent="0.35">
      <c r="A240" t="s">
        <v>40</v>
      </c>
      <c r="B240" t="s">
        <v>620</v>
      </c>
      <c r="C240" s="1">
        <v>45416</v>
      </c>
      <c r="D240" s="2">
        <v>0.77361111111111114</v>
      </c>
      <c r="E240" t="s">
        <v>2</v>
      </c>
      <c r="F240" t="s">
        <v>3</v>
      </c>
      <c r="G240" s="3">
        <v>41.76</v>
      </c>
      <c r="H240" s="3">
        <v>6.25</v>
      </c>
    </row>
    <row r="241" spans="1:8" x14ac:dyDescent="0.35">
      <c r="A241" t="s">
        <v>40</v>
      </c>
      <c r="B241" t="s">
        <v>621</v>
      </c>
      <c r="C241" s="1">
        <v>45416</v>
      </c>
      <c r="D241" s="2">
        <v>0.90902777777777777</v>
      </c>
      <c r="E241" t="s">
        <v>2</v>
      </c>
      <c r="F241" t="s">
        <v>3</v>
      </c>
      <c r="G241" s="3">
        <v>75.989999999999995</v>
      </c>
      <c r="H241" s="3">
        <v>11.38</v>
      </c>
    </row>
    <row r="242" spans="1:8" x14ac:dyDescent="0.35">
      <c r="A242" t="s">
        <v>40</v>
      </c>
      <c r="B242" t="s">
        <v>622</v>
      </c>
      <c r="C242" s="1">
        <v>45416</v>
      </c>
      <c r="D242" s="2">
        <v>0.93402777777777779</v>
      </c>
      <c r="E242" t="s">
        <v>2</v>
      </c>
      <c r="F242" t="s">
        <v>3</v>
      </c>
      <c r="G242" s="3">
        <v>20.88</v>
      </c>
      <c r="H242" s="3">
        <v>3.13</v>
      </c>
    </row>
    <row r="243" spans="1:8" x14ac:dyDescent="0.35">
      <c r="A243" t="s">
        <v>40</v>
      </c>
      <c r="B243" t="s">
        <v>623</v>
      </c>
      <c r="C243" s="1">
        <v>45417</v>
      </c>
      <c r="D243" s="2">
        <v>0.40277777777777773</v>
      </c>
      <c r="E243" t="s">
        <v>2</v>
      </c>
      <c r="F243" t="s">
        <v>3</v>
      </c>
      <c r="G243" s="3">
        <v>33.82</v>
      </c>
      <c r="H243" s="3">
        <v>5.0599999999999996</v>
      </c>
    </row>
    <row r="244" spans="1:8" x14ac:dyDescent="0.35">
      <c r="A244" t="s">
        <v>40</v>
      </c>
      <c r="B244" t="s">
        <v>624</v>
      </c>
      <c r="C244" s="1">
        <v>45417</v>
      </c>
      <c r="D244" s="2">
        <v>0.99444444444444446</v>
      </c>
      <c r="E244" t="s">
        <v>2</v>
      </c>
      <c r="F244" t="s">
        <v>3</v>
      </c>
      <c r="G244" s="3">
        <v>20.88</v>
      </c>
      <c r="H244" s="3">
        <v>3.13</v>
      </c>
    </row>
    <row r="245" spans="1:8" x14ac:dyDescent="0.35">
      <c r="A245" t="s">
        <v>40</v>
      </c>
      <c r="B245" t="s">
        <v>625</v>
      </c>
      <c r="C245" s="1">
        <v>45418</v>
      </c>
      <c r="D245" s="2">
        <v>0.20625000000000002</v>
      </c>
      <c r="E245" t="s">
        <v>2</v>
      </c>
      <c r="F245" t="s">
        <v>3</v>
      </c>
      <c r="G245" s="3">
        <v>18.59</v>
      </c>
      <c r="H245" s="3">
        <v>2.78</v>
      </c>
    </row>
    <row r="246" spans="1:8" x14ac:dyDescent="0.35">
      <c r="A246" t="s">
        <v>40</v>
      </c>
      <c r="B246" t="s">
        <v>626</v>
      </c>
      <c r="C246" s="1">
        <v>45418</v>
      </c>
      <c r="D246" s="2">
        <v>0.87361111111111101</v>
      </c>
      <c r="E246" t="s">
        <v>2</v>
      </c>
      <c r="F246" t="s">
        <v>3</v>
      </c>
      <c r="G246" s="3">
        <v>10.44</v>
      </c>
      <c r="H246" s="3">
        <v>1.56</v>
      </c>
    </row>
    <row r="247" spans="1:8" x14ac:dyDescent="0.35">
      <c r="A247" t="s">
        <v>40</v>
      </c>
      <c r="B247" t="s">
        <v>627</v>
      </c>
      <c r="C247" s="1">
        <v>45418</v>
      </c>
      <c r="D247" s="2">
        <v>0.96527777777777779</v>
      </c>
      <c r="E247" t="s">
        <v>180</v>
      </c>
      <c r="F247" t="s">
        <v>3</v>
      </c>
      <c r="G247" s="3">
        <v>0.5</v>
      </c>
      <c r="H247" s="3">
        <v>7.0000000000000007E-2</v>
      </c>
    </row>
    <row r="248" spans="1:8" x14ac:dyDescent="0.35">
      <c r="A248" t="s">
        <v>40</v>
      </c>
      <c r="B248" t="s">
        <v>628</v>
      </c>
      <c r="C248" s="1">
        <v>45419</v>
      </c>
      <c r="D248" s="2">
        <v>5.486111111111111E-2</v>
      </c>
      <c r="E248" t="s">
        <v>180</v>
      </c>
      <c r="F248" t="s">
        <v>3</v>
      </c>
      <c r="G248" s="3">
        <v>0.5</v>
      </c>
      <c r="H248" s="3">
        <v>7.0000000000000007E-2</v>
      </c>
    </row>
    <row r="249" spans="1:8" x14ac:dyDescent="0.35">
      <c r="A249" t="s">
        <v>40</v>
      </c>
      <c r="B249" t="s">
        <v>629</v>
      </c>
      <c r="C249" s="1">
        <v>45419</v>
      </c>
      <c r="D249" s="2">
        <v>3.5416666666666666E-2</v>
      </c>
      <c r="E249" t="s">
        <v>2</v>
      </c>
      <c r="F249" t="s">
        <v>3</v>
      </c>
      <c r="G249" s="3">
        <v>20.88</v>
      </c>
      <c r="H249" s="3">
        <v>3.13</v>
      </c>
    </row>
    <row r="250" spans="1:8" x14ac:dyDescent="0.35">
      <c r="A250" t="s">
        <v>40</v>
      </c>
      <c r="B250" t="s">
        <v>630</v>
      </c>
      <c r="C250" s="1">
        <v>45419</v>
      </c>
      <c r="D250" s="2">
        <v>0.38611111111111113</v>
      </c>
      <c r="E250" t="s">
        <v>180</v>
      </c>
      <c r="F250" t="s">
        <v>3</v>
      </c>
      <c r="G250" s="3">
        <v>0.5</v>
      </c>
      <c r="H250" s="3">
        <v>7.0000000000000007E-2</v>
      </c>
    </row>
    <row r="251" spans="1:8" x14ac:dyDescent="0.35">
      <c r="A251" t="s">
        <v>40</v>
      </c>
      <c r="B251" t="s">
        <v>631</v>
      </c>
      <c r="C251" s="1">
        <v>45420</v>
      </c>
      <c r="D251" s="2">
        <v>0.21319444444444444</v>
      </c>
      <c r="E251" t="s">
        <v>2</v>
      </c>
      <c r="F251" t="s">
        <v>3</v>
      </c>
      <c r="G251" s="3">
        <v>30.33</v>
      </c>
      <c r="H251" s="3">
        <v>4.54</v>
      </c>
    </row>
    <row r="252" spans="1:8" x14ac:dyDescent="0.35">
      <c r="A252" t="s">
        <v>40</v>
      </c>
      <c r="B252" t="s">
        <v>632</v>
      </c>
      <c r="C252" s="1">
        <v>45420</v>
      </c>
      <c r="D252" s="2">
        <v>0.58263888888888882</v>
      </c>
      <c r="E252" t="s">
        <v>180</v>
      </c>
      <c r="F252" t="s">
        <v>3</v>
      </c>
      <c r="G252" s="3">
        <v>0.5</v>
      </c>
      <c r="H252" s="3">
        <v>7.0000000000000007E-2</v>
      </c>
    </row>
    <row r="253" spans="1:8" x14ac:dyDescent="0.35">
      <c r="A253" t="s">
        <v>40</v>
      </c>
      <c r="B253" t="s">
        <v>633</v>
      </c>
      <c r="C253" s="1">
        <v>45420</v>
      </c>
      <c r="D253" s="2">
        <v>0.58333333333333337</v>
      </c>
      <c r="E253" t="s">
        <v>180</v>
      </c>
      <c r="F253" t="s">
        <v>3</v>
      </c>
      <c r="G253" s="3">
        <v>0.5</v>
      </c>
      <c r="H253" s="3">
        <v>7.0000000000000007E-2</v>
      </c>
    </row>
    <row r="254" spans="1:8" x14ac:dyDescent="0.35">
      <c r="A254" t="s">
        <v>40</v>
      </c>
      <c r="B254" t="s">
        <v>634</v>
      </c>
      <c r="C254" s="1">
        <v>45420</v>
      </c>
      <c r="D254" s="2">
        <v>0.98055555555555562</v>
      </c>
      <c r="E254" t="s">
        <v>2</v>
      </c>
      <c r="F254" t="s">
        <v>3</v>
      </c>
      <c r="G254" s="3">
        <v>20.88</v>
      </c>
      <c r="H254" s="3">
        <v>3.13</v>
      </c>
    </row>
    <row r="255" spans="1:8" x14ac:dyDescent="0.35">
      <c r="A255" t="s">
        <v>40</v>
      </c>
      <c r="B255" t="s">
        <v>635</v>
      </c>
      <c r="C255" s="1">
        <v>45421</v>
      </c>
      <c r="D255" s="2">
        <v>7.6388888888888886E-3</v>
      </c>
      <c r="E255" t="s">
        <v>2</v>
      </c>
      <c r="F255" t="s">
        <v>3</v>
      </c>
      <c r="G255" s="3">
        <v>15.39</v>
      </c>
      <c r="H255" s="3">
        <v>2.2999999999999998</v>
      </c>
    </row>
    <row r="256" spans="1:8" x14ac:dyDescent="0.35">
      <c r="A256" t="s">
        <v>40</v>
      </c>
      <c r="B256" t="s">
        <v>636</v>
      </c>
      <c r="C256" s="1">
        <v>45421</v>
      </c>
      <c r="D256" s="2">
        <v>1.6666666666666666E-2</v>
      </c>
      <c r="E256" t="s">
        <v>2</v>
      </c>
      <c r="F256" t="s">
        <v>3</v>
      </c>
      <c r="G256" s="3">
        <v>20.88</v>
      </c>
      <c r="H256" s="3">
        <v>3.13</v>
      </c>
    </row>
    <row r="257" spans="1:8" x14ac:dyDescent="0.35">
      <c r="A257" t="s">
        <v>40</v>
      </c>
      <c r="B257" t="s">
        <v>637</v>
      </c>
      <c r="C257" s="1">
        <v>45421</v>
      </c>
      <c r="D257" s="2">
        <v>4.3055555555555562E-2</v>
      </c>
      <c r="E257" t="s">
        <v>2</v>
      </c>
      <c r="F257" t="s">
        <v>3</v>
      </c>
      <c r="G257" s="3">
        <v>16.239999999999998</v>
      </c>
      <c r="H257" s="3">
        <v>2.4300000000000002</v>
      </c>
    </row>
    <row r="258" spans="1:8" x14ac:dyDescent="0.35">
      <c r="A258" t="s">
        <v>40</v>
      </c>
      <c r="B258" t="s">
        <v>638</v>
      </c>
      <c r="C258" s="1">
        <v>45421</v>
      </c>
      <c r="D258" s="2">
        <v>0.10486111111111111</v>
      </c>
      <c r="E258" t="s">
        <v>2</v>
      </c>
      <c r="F258" t="s">
        <v>3</v>
      </c>
      <c r="G258" s="3">
        <v>10.44</v>
      </c>
      <c r="H258" s="3">
        <v>1.56</v>
      </c>
    </row>
    <row r="259" spans="1:8" x14ac:dyDescent="0.35">
      <c r="A259" t="s">
        <v>40</v>
      </c>
      <c r="B259" t="s">
        <v>639</v>
      </c>
      <c r="C259" s="1">
        <v>45421</v>
      </c>
      <c r="D259" s="2">
        <v>0.4458333333333333</v>
      </c>
      <c r="E259" t="s">
        <v>2</v>
      </c>
      <c r="F259" t="s">
        <v>3</v>
      </c>
      <c r="G259" s="3">
        <v>10.44</v>
      </c>
      <c r="H259" s="3">
        <v>1.56</v>
      </c>
    </row>
    <row r="260" spans="1:8" x14ac:dyDescent="0.35">
      <c r="A260" t="s">
        <v>40</v>
      </c>
      <c r="B260" t="s">
        <v>640</v>
      </c>
      <c r="C260" s="1">
        <v>45421</v>
      </c>
      <c r="D260" s="2">
        <v>0.6479166666666667</v>
      </c>
      <c r="E260" t="s">
        <v>2</v>
      </c>
      <c r="F260" t="s">
        <v>3</v>
      </c>
      <c r="G260" s="3">
        <v>28.93</v>
      </c>
      <c r="H260" s="3">
        <v>4.33</v>
      </c>
    </row>
    <row r="261" spans="1:8" x14ac:dyDescent="0.35">
      <c r="A261" t="s">
        <v>40</v>
      </c>
      <c r="B261" t="s">
        <v>641</v>
      </c>
      <c r="C261" s="1">
        <v>45421</v>
      </c>
      <c r="D261" s="2">
        <v>0.72291666666666676</v>
      </c>
      <c r="E261" t="s">
        <v>2</v>
      </c>
      <c r="F261" t="s">
        <v>3</v>
      </c>
      <c r="G261" s="3">
        <v>20.88</v>
      </c>
      <c r="H261" s="3">
        <v>3.13</v>
      </c>
    </row>
    <row r="262" spans="1:8" x14ac:dyDescent="0.35">
      <c r="A262" t="s">
        <v>40</v>
      </c>
      <c r="B262" t="s">
        <v>642</v>
      </c>
      <c r="C262" s="1">
        <v>45421</v>
      </c>
      <c r="D262" s="2">
        <v>0.81180555555555556</v>
      </c>
      <c r="E262" t="s">
        <v>2</v>
      </c>
      <c r="F262" t="s">
        <v>3</v>
      </c>
      <c r="G262" s="3">
        <v>24</v>
      </c>
      <c r="H262" s="3">
        <v>3.59</v>
      </c>
    </row>
    <row r="263" spans="1:8" x14ac:dyDescent="0.35">
      <c r="A263" t="s">
        <v>40</v>
      </c>
      <c r="B263" t="s">
        <v>643</v>
      </c>
      <c r="C263" s="1">
        <v>45421</v>
      </c>
      <c r="D263" s="2">
        <v>0.85763888888888884</v>
      </c>
      <c r="E263" t="s">
        <v>2</v>
      </c>
      <c r="F263" t="s">
        <v>3</v>
      </c>
      <c r="G263" s="3">
        <v>26.88</v>
      </c>
      <c r="H263" s="3">
        <v>4.03</v>
      </c>
    </row>
    <row r="264" spans="1:8" x14ac:dyDescent="0.35">
      <c r="A264" t="s">
        <v>40</v>
      </c>
      <c r="B264" t="s">
        <v>644</v>
      </c>
      <c r="C264" s="1">
        <v>45422</v>
      </c>
      <c r="D264" s="2">
        <v>0.13194444444444445</v>
      </c>
      <c r="E264" t="s">
        <v>2</v>
      </c>
      <c r="F264" t="s">
        <v>3</v>
      </c>
      <c r="G264" s="3">
        <v>16.239999999999998</v>
      </c>
      <c r="H264" s="3">
        <v>2.4300000000000002</v>
      </c>
    </row>
    <row r="265" spans="1:8" x14ac:dyDescent="0.35">
      <c r="A265" t="s">
        <v>40</v>
      </c>
      <c r="B265" t="s">
        <v>645</v>
      </c>
      <c r="C265" s="1">
        <v>45422</v>
      </c>
      <c r="D265" s="2">
        <v>0.55972222222222223</v>
      </c>
      <c r="E265" t="s">
        <v>180</v>
      </c>
      <c r="F265" t="s">
        <v>3</v>
      </c>
      <c r="G265" s="3">
        <v>0.5</v>
      </c>
      <c r="H265" s="3">
        <v>7.0000000000000007E-2</v>
      </c>
    </row>
    <row r="266" spans="1:8" x14ac:dyDescent="0.35">
      <c r="A266" t="s">
        <v>40</v>
      </c>
      <c r="B266" t="s">
        <v>646</v>
      </c>
      <c r="C266" s="1">
        <v>45422</v>
      </c>
      <c r="D266" s="2">
        <v>0.56041666666666667</v>
      </c>
      <c r="E266" t="s">
        <v>180</v>
      </c>
      <c r="F266" t="s">
        <v>3</v>
      </c>
      <c r="G266" s="3">
        <v>0.5</v>
      </c>
      <c r="H266" s="3">
        <v>7.0000000000000007E-2</v>
      </c>
    </row>
    <row r="267" spans="1:8" x14ac:dyDescent="0.35">
      <c r="A267" t="s">
        <v>40</v>
      </c>
      <c r="B267" t="s">
        <v>647</v>
      </c>
      <c r="C267" s="1">
        <v>45422</v>
      </c>
      <c r="D267" s="2">
        <v>0.66319444444444442</v>
      </c>
      <c r="E267" t="s">
        <v>2</v>
      </c>
      <c r="F267" t="s">
        <v>3</v>
      </c>
      <c r="G267" s="3">
        <v>20.88</v>
      </c>
      <c r="H267" s="3">
        <v>3.13</v>
      </c>
    </row>
    <row r="268" spans="1:8" x14ac:dyDescent="0.35">
      <c r="A268" t="s">
        <v>40</v>
      </c>
      <c r="B268" t="s">
        <v>648</v>
      </c>
      <c r="C268" s="1">
        <v>45423</v>
      </c>
      <c r="D268" s="2">
        <v>6.7361111111111108E-2</v>
      </c>
      <c r="E268" t="s">
        <v>2</v>
      </c>
      <c r="F268" t="s">
        <v>3</v>
      </c>
      <c r="G268" s="3">
        <v>10.44</v>
      </c>
      <c r="H268" s="3">
        <v>1.56</v>
      </c>
    </row>
    <row r="269" spans="1:8" x14ac:dyDescent="0.35">
      <c r="A269" t="s">
        <v>40</v>
      </c>
      <c r="B269" t="s">
        <v>649</v>
      </c>
      <c r="C269" s="1">
        <v>45423</v>
      </c>
      <c r="D269" s="2">
        <v>0.1111111111111111</v>
      </c>
      <c r="E269" t="s">
        <v>2</v>
      </c>
      <c r="F269" t="s">
        <v>3</v>
      </c>
      <c r="G269" s="3">
        <v>33.85</v>
      </c>
      <c r="H269" s="3">
        <v>5.07</v>
      </c>
    </row>
    <row r="270" spans="1:8" x14ac:dyDescent="0.35">
      <c r="A270" t="s">
        <v>40</v>
      </c>
      <c r="B270" t="s">
        <v>650</v>
      </c>
      <c r="C270" s="1">
        <v>45423</v>
      </c>
      <c r="D270" s="2">
        <v>0.97777777777777775</v>
      </c>
      <c r="E270" t="s">
        <v>2</v>
      </c>
      <c r="F270" t="s">
        <v>3</v>
      </c>
      <c r="G270" s="3">
        <v>18.59</v>
      </c>
      <c r="H270" s="3">
        <v>2.78</v>
      </c>
    </row>
    <row r="271" spans="1:8" x14ac:dyDescent="0.35">
      <c r="A271" t="s">
        <v>40</v>
      </c>
      <c r="B271" t="s">
        <v>651</v>
      </c>
      <c r="C271" s="1">
        <v>45424</v>
      </c>
      <c r="D271" s="2">
        <v>0.10902777777777778</v>
      </c>
      <c r="E271" t="s">
        <v>2</v>
      </c>
      <c r="F271" t="s">
        <v>3</v>
      </c>
      <c r="G271" s="3">
        <v>31.32</v>
      </c>
      <c r="H271" s="3">
        <v>4.6900000000000004</v>
      </c>
    </row>
    <row r="272" spans="1:8" x14ac:dyDescent="0.35">
      <c r="A272" t="s">
        <v>40</v>
      </c>
      <c r="B272" t="s">
        <v>652</v>
      </c>
      <c r="C272" s="1">
        <v>45424</v>
      </c>
      <c r="D272" s="2">
        <v>0.90416666666666667</v>
      </c>
      <c r="E272" t="s">
        <v>2</v>
      </c>
      <c r="F272" t="s">
        <v>3</v>
      </c>
      <c r="G272" s="3">
        <v>34.89</v>
      </c>
      <c r="H272" s="3">
        <v>5.22</v>
      </c>
    </row>
    <row r="273" spans="1:8" x14ac:dyDescent="0.35">
      <c r="A273" t="s">
        <v>40</v>
      </c>
      <c r="B273" t="s">
        <v>653</v>
      </c>
      <c r="C273" s="1">
        <v>45426</v>
      </c>
      <c r="D273" s="2">
        <v>0.62152777777777779</v>
      </c>
      <c r="E273" t="s">
        <v>2</v>
      </c>
      <c r="F273" t="s">
        <v>3</v>
      </c>
      <c r="G273" s="3">
        <v>16.3</v>
      </c>
      <c r="H273" s="3">
        <v>2.44</v>
      </c>
    </row>
    <row r="274" spans="1:8" x14ac:dyDescent="0.35">
      <c r="A274" t="s">
        <v>40</v>
      </c>
      <c r="B274" t="s">
        <v>654</v>
      </c>
      <c r="C274" s="1">
        <v>45426</v>
      </c>
      <c r="D274" s="2">
        <v>0.7416666666666667</v>
      </c>
      <c r="E274" t="s">
        <v>2</v>
      </c>
      <c r="F274" t="s">
        <v>3</v>
      </c>
      <c r="G274" s="3">
        <v>27.02</v>
      </c>
      <c r="H274" s="3">
        <v>4.05</v>
      </c>
    </row>
    <row r="275" spans="1:8" x14ac:dyDescent="0.35">
      <c r="A275" t="s">
        <v>40</v>
      </c>
      <c r="B275" t="s">
        <v>655</v>
      </c>
      <c r="C275" s="1">
        <v>45426</v>
      </c>
      <c r="D275" s="2">
        <v>0.8208333333333333</v>
      </c>
      <c r="E275" t="s">
        <v>2</v>
      </c>
      <c r="F275" t="s">
        <v>3</v>
      </c>
      <c r="G275" s="3">
        <v>30.28</v>
      </c>
      <c r="H275" s="3">
        <v>4.53</v>
      </c>
    </row>
    <row r="276" spans="1:8" x14ac:dyDescent="0.35">
      <c r="A276" t="s">
        <v>40</v>
      </c>
      <c r="B276" t="s">
        <v>656</v>
      </c>
      <c r="C276" s="1">
        <v>45427</v>
      </c>
      <c r="D276" s="2">
        <v>0.11180555555555556</v>
      </c>
      <c r="E276" t="s">
        <v>180</v>
      </c>
      <c r="F276" t="s">
        <v>3</v>
      </c>
      <c r="G276" s="3">
        <v>0.5</v>
      </c>
      <c r="H276" s="3">
        <v>7.0000000000000007E-2</v>
      </c>
    </row>
    <row r="277" spans="1:8" x14ac:dyDescent="0.35">
      <c r="A277" t="s">
        <v>40</v>
      </c>
      <c r="B277" t="s">
        <v>657</v>
      </c>
      <c r="C277" s="1">
        <v>45427</v>
      </c>
      <c r="D277" s="2">
        <v>0.20833333333333334</v>
      </c>
      <c r="E277" t="s">
        <v>180</v>
      </c>
      <c r="F277" t="s">
        <v>3</v>
      </c>
      <c r="G277" s="3">
        <v>0.5</v>
      </c>
      <c r="H277" s="3">
        <v>7.0000000000000007E-2</v>
      </c>
    </row>
    <row r="278" spans="1:8" x14ac:dyDescent="0.35">
      <c r="A278" t="s">
        <v>40</v>
      </c>
      <c r="B278" t="s">
        <v>658</v>
      </c>
      <c r="C278" s="1">
        <v>45427</v>
      </c>
      <c r="D278" s="2">
        <v>0.48958333333333331</v>
      </c>
      <c r="E278" t="s">
        <v>2</v>
      </c>
      <c r="F278" t="s">
        <v>3</v>
      </c>
      <c r="G278" s="3">
        <v>77.239999999999995</v>
      </c>
      <c r="H278" s="3">
        <v>11.57</v>
      </c>
    </row>
    <row r="279" spans="1:8" x14ac:dyDescent="0.35">
      <c r="A279" t="s">
        <v>40</v>
      </c>
      <c r="B279" t="s">
        <v>659</v>
      </c>
      <c r="C279" s="1">
        <v>45427</v>
      </c>
      <c r="D279" s="2">
        <v>0.84097222222222223</v>
      </c>
      <c r="E279" t="s">
        <v>2</v>
      </c>
      <c r="F279" t="s">
        <v>3</v>
      </c>
      <c r="G279" s="3">
        <v>24</v>
      </c>
      <c r="H279" s="3">
        <v>3.59</v>
      </c>
    </row>
    <row r="280" spans="1:8" x14ac:dyDescent="0.35">
      <c r="A280" t="s">
        <v>40</v>
      </c>
      <c r="B280" t="s">
        <v>660</v>
      </c>
      <c r="C280" s="1">
        <v>45428</v>
      </c>
      <c r="D280" s="2">
        <v>2.1527777777777781E-2</v>
      </c>
      <c r="E280" t="s">
        <v>2</v>
      </c>
      <c r="F280" t="s">
        <v>3</v>
      </c>
      <c r="G280" s="3">
        <v>15.31</v>
      </c>
      <c r="H280" s="3">
        <v>2.29</v>
      </c>
    </row>
    <row r="281" spans="1:8" x14ac:dyDescent="0.35">
      <c r="A281" t="s">
        <v>40</v>
      </c>
      <c r="B281" t="s">
        <v>661</v>
      </c>
      <c r="C281" s="1">
        <v>45428</v>
      </c>
      <c r="D281" s="2">
        <v>0.73611111111111116</v>
      </c>
      <c r="E281" t="s">
        <v>2</v>
      </c>
      <c r="F281" t="s">
        <v>3</v>
      </c>
      <c r="G281" s="3">
        <v>10.44</v>
      </c>
      <c r="H281" s="3">
        <v>1.56</v>
      </c>
    </row>
    <row r="282" spans="1:8" x14ac:dyDescent="0.35">
      <c r="A282" t="s">
        <v>40</v>
      </c>
      <c r="B282" t="s">
        <v>662</v>
      </c>
      <c r="C282" s="1">
        <v>45429</v>
      </c>
      <c r="D282" s="2">
        <v>0.71805555555555556</v>
      </c>
      <c r="E282" t="s">
        <v>2</v>
      </c>
      <c r="F282" t="s">
        <v>3</v>
      </c>
      <c r="G282" s="3">
        <v>27.41</v>
      </c>
      <c r="H282" s="3">
        <v>4.0999999999999996</v>
      </c>
    </row>
    <row r="283" spans="1:8" x14ac:dyDescent="0.35">
      <c r="A283" t="s">
        <v>40</v>
      </c>
      <c r="B283" t="s">
        <v>663</v>
      </c>
      <c r="C283" s="1">
        <v>45429</v>
      </c>
      <c r="D283" s="2">
        <v>0.95208333333333339</v>
      </c>
      <c r="E283" t="s">
        <v>2</v>
      </c>
      <c r="F283" t="s">
        <v>3</v>
      </c>
      <c r="G283" s="3">
        <v>10.44</v>
      </c>
      <c r="H283" s="3">
        <v>1.56</v>
      </c>
    </row>
    <row r="284" spans="1:8" x14ac:dyDescent="0.35">
      <c r="A284" t="s">
        <v>40</v>
      </c>
      <c r="B284" t="s">
        <v>664</v>
      </c>
      <c r="C284" s="1">
        <v>45430</v>
      </c>
      <c r="D284" s="2">
        <v>0.28055555555555556</v>
      </c>
      <c r="E284" t="s">
        <v>2</v>
      </c>
      <c r="F284" t="s">
        <v>3</v>
      </c>
      <c r="G284" s="3">
        <v>134.9</v>
      </c>
      <c r="H284" s="3">
        <v>20.2</v>
      </c>
    </row>
    <row r="285" spans="1:8" x14ac:dyDescent="0.35">
      <c r="A285" t="s">
        <v>40</v>
      </c>
      <c r="B285" t="s">
        <v>665</v>
      </c>
      <c r="C285" s="1">
        <v>45430</v>
      </c>
      <c r="D285" s="2">
        <v>0.93819444444444444</v>
      </c>
      <c r="E285" t="s">
        <v>2</v>
      </c>
      <c r="F285" t="s">
        <v>3</v>
      </c>
      <c r="G285" s="3">
        <v>20.66</v>
      </c>
      <c r="H285" s="3">
        <v>3.09</v>
      </c>
    </row>
    <row r="286" spans="1:8" x14ac:dyDescent="0.35">
      <c r="A286" t="s">
        <v>40</v>
      </c>
      <c r="B286" t="s">
        <v>666</v>
      </c>
      <c r="C286" s="1">
        <v>45431</v>
      </c>
      <c r="D286" s="2">
        <v>2.8472222222222222E-2</v>
      </c>
      <c r="E286" t="s">
        <v>2</v>
      </c>
      <c r="F286" t="s">
        <v>3</v>
      </c>
      <c r="G286" s="3">
        <v>20.88</v>
      </c>
      <c r="H286" s="3">
        <v>3.13</v>
      </c>
    </row>
    <row r="287" spans="1:8" x14ac:dyDescent="0.35">
      <c r="A287" t="s">
        <v>40</v>
      </c>
      <c r="B287" t="s">
        <v>667</v>
      </c>
      <c r="C287" s="1">
        <v>45431</v>
      </c>
      <c r="D287" s="2">
        <v>0.73055555555555562</v>
      </c>
      <c r="E287" t="s">
        <v>2</v>
      </c>
      <c r="F287" t="s">
        <v>3</v>
      </c>
      <c r="G287" s="3">
        <v>75.989999999999995</v>
      </c>
      <c r="H287" s="3">
        <v>11.38</v>
      </c>
    </row>
    <row r="288" spans="1:8" x14ac:dyDescent="0.35">
      <c r="A288" t="s">
        <v>40</v>
      </c>
      <c r="B288" t="s">
        <v>668</v>
      </c>
      <c r="C288" s="1">
        <v>45431</v>
      </c>
      <c r="D288" s="2">
        <v>0.93055555555555547</v>
      </c>
      <c r="E288" t="s">
        <v>2</v>
      </c>
      <c r="F288" t="s">
        <v>3</v>
      </c>
      <c r="G288" s="3">
        <v>17.59</v>
      </c>
      <c r="H288" s="3">
        <v>2.63</v>
      </c>
    </row>
    <row r="289" spans="1:8" x14ac:dyDescent="0.35">
      <c r="A289" t="s">
        <v>40</v>
      </c>
      <c r="B289" t="s">
        <v>669</v>
      </c>
      <c r="C289" s="1">
        <v>45432</v>
      </c>
      <c r="D289" s="2">
        <v>0.12361111111111112</v>
      </c>
      <c r="E289" t="s">
        <v>2</v>
      </c>
      <c r="F289" t="s">
        <v>3</v>
      </c>
      <c r="G289" s="3">
        <v>21.54</v>
      </c>
      <c r="H289" s="3">
        <v>3.23</v>
      </c>
    </row>
    <row r="290" spans="1:8" x14ac:dyDescent="0.35">
      <c r="A290" t="s">
        <v>40</v>
      </c>
      <c r="B290" t="s">
        <v>670</v>
      </c>
      <c r="C290" s="1">
        <v>45432</v>
      </c>
      <c r="D290" s="2">
        <v>0.68958333333333333</v>
      </c>
      <c r="E290" t="s">
        <v>2</v>
      </c>
      <c r="F290" t="s">
        <v>3</v>
      </c>
      <c r="G290" s="3">
        <v>26.74</v>
      </c>
      <c r="H290" s="3">
        <v>4</v>
      </c>
    </row>
    <row r="291" spans="1:8" x14ac:dyDescent="0.35">
      <c r="A291" t="s">
        <v>40</v>
      </c>
      <c r="B291" t="s">
        <v>671</v>
      </c>
      <c r="C291" s="1">
        <v>45432</v>
      </c>
      <c r="D291" s="2">
        <v>0.75277777777777777</v>
      </c>
      <c r="E291" t="s">
        <v>2</v>
      </c>
      <c r="F291" t="s">
        <v>3</v>
      </c>
      <c r="G291" s="3">
        <v>10.44</v>
      </c>
      <c r="H291" s="3">
        <v>1.56</v>
      </c>
    </row>
    <row r="292" spans="1:8" x14ac:dyDescent="0.35">
      <c r="A292" t="s">
        <v>40</v>
      </c>
      <c r="B292" t="s">
        <v>672</v>
      </c>
      <c r="C292" s="1">
        <v>45432</v>
      </c>
      <c r="D292" s="2">
        <v>0.76250000000000007</v>
      </c>
      <c r="E292" t="s">
        <v>2</v>
      </c>
      <c r="F292" t="s">
        <v>3</v>
      </c>
      <c r="G292" s="3">
        <v>24.28</v>
      </c>
      <c r="H292" s="3">
        <v>3.64</v>
      </c>
    </row>
    <row r="293" spans="1:8" x14ac:dyDescent="0.35">
      <c r="A293" t="s">
        <v>40</v>
      </c>
      <c r="B293" t="s">
        <v>673</v>
      </c>
      <c r="C293" s="1">
        <v>45432</v>
      </c>
      <c r="D293" s="2">
        <v>0.88124999999999998</v>
      </c>
      <c r="E293" t="s">
        <v>2</v>
      </c>
      <c r="F293" t="s">
        <v>3</v>
      </c>
      <c r="G293" s="3">
        <v>29.29</v>
      </c>
      <c r="H293" s="3">
        <v>4.3899999999999997</v>
      </c>
    </row>
    <row r="294" spans="1:8" x14ac:dyDescent="0.35">
      <c r="A294" t="s">
        <v>40</v>
      </c>
      <c r="B294" t="s">
        <v>674</v>
      </c>
      <c r="C294" s="1">
        <v>45433</v>
      </c>
      <c r="D294" s="2">
        <v>0.69305555555555554</v>
      </c>
      <c r="E294" t="s">
        <v>2</v>
      </c>
      <c r="F294" t="s">
        <v>3</v>
      </c>
      <c r="G294" s="3">
        <v>33.82</v>
      </c>
      <c r="H294" s="3">
        <v>5.0599999999999996</v>
      </c>
    </row>
    <row r="295" spans="1:8" x14ac:dyDescent="0.35">
      <c r="A295" t="s">
        <v>40</v>
      </c>
      <c r="B295" t="s">
        <v>675</v>
      </c>
      <c r="C295" s="1">
        <v>45434</v>
      </c>
      <c r="D295" s="2">
        <v>0.92708333333333337</v>
      </c>
      <c r="E295" t="s">
        <v>2</v>
      </c>
      <c r="F295" t="s">
        <v>3</v>
      </c>
      <c r="G295" s="3">
        <v>20.62</v>
      </c>
      <c r="H295" s="3">
        <v>3.09</v>
      </c>
    </row>
    <row r="296" spans="1:8" x14ac:dyDescent="0.35">
      <c r="A296" t="s">
        <v>40</v>
      </c>
      <c r="B296" t="s">
        <v>676</v>
      </c>
      <c r="C296" s="1">
        <v>45435</v>
      </c>
      <c r="D296" s="2">
        <v>0.20416666666666669</v>
      </c>
      <c r="E296" t="s">
        <v>180</v>
      </c>
      <c r="F296" t="s">
        <v>3</v>
      </c>
      <c r="G296" s="3">
        <v>0.5</v>
      </c>
      <c r="H296" s="3">
        <v>7.0000000000000007E-2</v>
      </c>
    </row>
    <row r="297" spans="1:8" x14ac:dyDescent="0.35">
      <c r="A297" t="s">
        <v>40</v>
      </c>
      <c r="B297" t="s">
        <v>677</v>
      </c>
      <c r="C297" s="1">
        <v>45435</v>
      </c>
      <c r="D297" s="2">
        <v>0.20486111111111113</v>
      </c>
      <c r="E297" t="s">
        <v>180</v>
      </c>
      <c r="F297" t="s">
        <v>3</v>
      </c>
      <c r="G297" s="3">
        <v>0.5</v>
      </c>
      <c r="H297" s="3">
        <v>7.0000000000000007E-2</v>
      </c>
    </row>
    <row r="298" spans="1:8" x14ac:dyDescent="0.35">
      <c r="A298" t="s">
        <v>40</v>
      </c>
      <c r="B298" t="s">
        <v>678</v>
      </c>
      <c r="C298" s="1">
        <v>45435</v>
      </c>
      <c r="D298" s="2">
        <v>0.44861111111111113</v>
      </c>
      <c r="E298" t="s">
        <v>2</v>
      </c>
      <c r="F298" t="s">
        <v>3</v>
      </c>
      <c r="G298" s="3">
        <v>21.28</v>
      </c>
      <c r="H298" s="3">
        <v>3.19</v>
      </c>
    </row>
    <row r="299" spans="1:8" x14ac:dyDescent="0.35">
      <c r="A299" t="s">
        <v>40</v>
      </c>
      <c r="B299" t="s">
        <v>679</v>
      </c>
      <c r="C299" s="1">
        <v>45435</v>
      </c>
      <c r="D299" s="2">
        <v>0.81180555555555556</v>
      </c>
      <c r="E299" t="s">
        <v>2</v>
      </c>
      <c r="F299" t="s">
        <v>3</v>
      </c>
      <c r="G299" s="3">
        <v>20.88</v>
      </c>
      <c r="H299" s="3">
        <v>3.13</v>
      </c>
    </row>
    <row r="300" spans="1:8" x14ac:dyDescent="0.35">
      <c r="A300" t="s">
        <v>40</v>
      </c>
      <c r="B300" t="s">
        <v>680</v>
      </c>
      <c r="C300" s="1">
        <v>45436</v>
      </c>
      <c r="D300" s="2">
        <v>0.12638888888888888</v>
      </c>
      <c r="E300" t="s">
        <v>180</v>
      </c>
      <c r="F300" t="s">
        <v>3</v>
      </c>
      <c r="G300" s="3">
        <v>0.5</v>
      </c>
      <c r="H300" s="3">
        <v>7.0000000000000007E-2</v>
      </c>
    </row>
    <row r="301" spans="1:8" x14ac:dyDescent="0.35">
      <c r="A301" t="s">
        <v>40</v>
      </c>
      <c r="B301" t="s">
        <v>681</v>
      </c>
      <c r="C301" s="1">
        <v>45436</v>
      </c>
      <c r="D301" s="2">
        <v>0.15208333333333332</v>
      </c>
      <c r="E301" t="s">
        <v>2</v>
      </c>
      <c r="F301" t="s">
        <v>3</v>
      </c>
      <c r="G301" s="3">
        <v>16.3</v>
      </c>
      <c r="H301" s="3">
        <v>2.44</v>
      </c>
    </row>
    <row r="302" spans="1:8" x14ac:dyDescent="0.35">
      <c r="A302" t="s">
        <v>40</v>
      </c>
      <c r="B302" t="s">
        <v>682</v>
      </c>
      <c r="C302" s="1">
        <v>45436</v>
      </c>
      <c r="D302" s="2">
        <v>0.22500000000000001</v>
      </c>
      <c r="E302" t="s">
        <v>2</v>
      </c>
      <c r="F302" t="s">
        <v>3</v>
      </c>
      <c r="G302" s="3">
        <v>21.68</v>
      </c>
      <c r="H302" s="3">
        <v>3.25</v>
      </c>
    </row>
    <row r="303" spans="1:8" x14ac:dyDescent="0.35">
      <c r="A303" t="s">
        <v>40</v>
      </c>
      <c r="B303" t="s">
        <v>683</v>
      </c>
      <c r="C303" s="1">
        <v>45437</v>
      </c>
      <c r="D303" s="2">
        <v>0.37083333333333335</v>
      </c>
      <c r="E303" t="s">
        <v>2</v>
      </c>
      <c r="F303" t="s">
        <v>3</v>
      </c>
      <c r="G303" s="3">
        <v>15.94</v>
      </c>
      <c r="H303" s="3">
        <v>2.39</v>
      </c>
    </row>
    <row r="304" spans="1:8" x14ac:dyDescent="0.35">
      <c r="A304" t="s">
        <v>40</v>
      </c>
      <c r="B304" t="s">
        <v>684</v>
      </c>
      <c r="C304" s="1">
        <v>45437</v>
      </c>
      <c r="D304" s="2">
        <v>0.97916666666666663</v>
      </c>
      <c r="E304" t="s">
        <v>2</v>
      </c>
      <c r="F304" t="s">
        <v>3</v>
      </c>
      <c r="G304" s="3">
        <v>27.14</v>
      </c>
      <c r="H304" s="3">
        <v>4.0599999999999996</v>
      </c>
    </row>
    <row r="305" spans="1:8" x14ac:dyDescent="0.35">
      <c r="A305" t="s">
        <v>40</v>
      </c>
      <c r="B305" t="s">
        <v>685</v>
      </c>
      <c r="C305" s="1">
        <v>45438</v>
      </c>
      <c r="D305" s="2">
        <v>0.12916666666666668</v>
      </c>
      <c r="E305" t="s">
        <v>180</v>
      </c>
      <c r="F305" t="s">
        <v>3</v>
      </c>
      <c r="G305" s="3">
        <v>0.5</v>
      </c>
      <c r="H305" s="3">
        <v>7.0000000000000007E-2</v>
      </c>
    </row>
    <row r="306" spans="1:8" x14ac:dyDescent="0.35">
      <c r="A306" t="s">
        <v>40</v>
      </c>
      <c r="B306" t="s">
        <v>686</v>
      </c>
      <c r="C306" s="1">
        <v>45439</v>
      </c>
      <c r="D306" s="2">
        <v>0.22361111111111109</v>
      </c>
      <c r="E306" t="s">
        <v>2</v>
      </c>
      <c r="F306" t="s">
        <v>3</v>
      </c>
      <c r="G306" s="3">
        <v>33.82</v>
      </c>
      <c r="H306" s="3">
        <v>5.0599999999999996</v>
      </c>
    </row>
    <row r="307" spans="1:8" x14ac:dyDescent="0.35">
      <c r="A307" t="s">
        <v>40</v>
      </c>
      <c r="B307" t="s">
        <v>687</v>
      </c>
      <c r="C307" s="1">
        <v>45439</v>
      </c>
      <c r="D307" s="2">
        <v>0.8222222222222223</v>
      </c>
      <c r="E307" t="s">
        <v>2</v>
      </c>
      <c r="F307" t="s">
        <v>3</v>
      </c>
      <c r="G307" s="3">
        <v>79.239999999999995</v>
      </c>
      <c r="H307" s="3">
        <v>11.87</v>
      </c>
    </row>
    <row r="308" spans="1:8" x14ac:dyDescent="0.35">
      <c r="A308" t="s">
        <v>40</v>
      </c>
      <c r="B308" t="s">
        <v>688</v>
      </c>
      <c r="C308" s="1">
        <v>45439</v>
      </c>
      <c r="D308" s="2">
        <v>0.84444444444444444</v>
      </c>
      <c r="E308" t="s">
        <v>2</v>
      </c>
      <c r="F308" t="s">
        <v>3</v>
      </c>
      <c r="G308" s="3">
        <v>8.15</v>
      </c>
      <c r="H308" s="3">
        <v>1.22</v>
      </c>
    </row>
    <row r="309" spans="1:8" x14ac:dyDescent="0.35">
      <c r="A309" t="s">
        <v>40</v>
      </c>
      <c r="B309" t="s">
        <v>689</v>
      </c>
      <c r="C309" s="1">
        <v>45440</v>
      </c>
      <c r="D309" s="2">
        <v>4.3055555555555562E-2</v>
      </c>
      <c r="E309" t="s">
        <v>2</v>
      </c>
      <c r="F309" t="s">
        <v>3</v>
      </c>
      <c r="G309" s="3">
        <v>35.869999999999997</v>
      </c>
      <c r="H309" s="3">
        <v>5.37</v>
      </c>
    </row>
    <row r="310" spans="1:8" x14ac:dyDescent="0.35">
      <c r="A310" t="s">
        <v>40</v>
      </c>
      <c r="B310" t="s">
        <v>690</v>
      </c>
      <c r="C310" s="1">
        <v>45440</v>
      </c>
      <c r="D310" s="2">
        <v>7.8472222222222221E-2</v>
      </c>
      <c r="E310" t="s">
        <v>2</v>
      </c>
      <c r="F310" t="s">
        <v>3</v>
      </c>
      <c r="G310" s="3">
        <v>29.99</v>
      </c>
      <c r="H310" s="3">
        <v>4.49</v>
      </c>
    </row>
    <row r="311" spans="1:8" x14ac:dyDescent="0.35">
      <c r="A311" t="s">
        <v>40</v>
      </c>
      <c r="B311" t="s">
        <v>691</v>
      </c>
      <c r="C311" s="1">
        <v>45440</v>
      </c>
      <c r="D311" s="2">
        <v>0.82361111111111107</v>
      </c>
      <c r="E311" t="s">
        <v>2</v>
      </c>
      <c r="F311" t="s">
        <v>3</v>
      </c>
      <c r="G311" s="3">
        <v>20.88</v>
      </c>
      <c r="H311" s="3">
        <v>3.13</v>
      </c>
    </row>
    <row r="312" spans="1:8" x14ac:dyDescent="0.35">
      <c r="A312" t="s">
        <v>40</v>
      </c>
      <c r="B312" t="s">
        <v>692</v>
      </c>
      <c r="C312" s="1">
        <v>45441</v>
      </c>
      <c r="D312" s="2">
        <v>0.88055555555555554</v>
      </c>
      <c r="E312" t="s">
        <v>2</v>
      </c>
      <c r="F312" t="s">
        <v>3</v>
      </c>
      <c r="G312" s="3">
        <v>25.7</v>
      </c>
      <c r="H312" s="3">
        <v>3.85</v>
      </c>
    </row>
    <row r="313" spans="1:8" x14ac:dyDescent="0.35">
      <c r="A313" t="s">
        <v>40</v>
      </c>
      <c r="B313" t="s">
        <v>693</v>
      </c>
      <c r="C313" s="1">
        <v>45441</v>
      </c>
      <c r="D313" s="2">
        <v>0.92291666666666661</v>
      </c>
      <c r="E313" t="s">
        <v>180</v>
      </c>
      <c r="F313" t="s">
        <v>3</v>
      </c>
      <c r="G313" s="3">
        <v>0.5</v>
      </c>
      <c r="H313" s="3">
        <v>7.0000000000000007E-2</v>
      </c>
    </row>
    <row r="314" spans="1:8" x14ac:dyDescent="0.35">
      <c r="A314" t="s">
        <v>40</v>
      </c>
      <c r="B314" t="s">
        <v>694</v>
      </c>
      <c r="C314" s="1">
        <v>45442</v>
      </c>
      <c r="D314" s="2">
        <v>4.8611111111111112E-3</v>
      </c>
      <c r="E314" t="s">
        <v>2</v>
      </c>
      <c r="F314" t="s">
        <v>3</v>
      </c>
      <c r="G314" s="3">
        <v>17.47</v>
      </c>
      <c r="H314" s="3">
        <v>2.62</v>
      </c>
    </row>
    <row r="315" spans="1:8" x14ac:dyDescent="0.35">
      <c r="A315" t="s">
        <v>40</v>
      </c>
      <c r="B315" t="s">
        <v>695</v>
      </c>
      <c r="C315" s="1">
        <v>45442</v>
      </c>
      <c r="D315" s="2">
        <v>0.39305555555555555</v>
      </c>
      <c r="E315" t="s">
        <v>2</v>
      </c>
      <c r="F315" t="s">
        <v>3</v>
      </c>
      <c r="G315" s="3">
        <v>15.28</v>
      </c>
      <c r="H315" s="3">
        <v>2.29</v>
      </c>
    </row>
    <row r="316" spans="1:8" x14ac:dyDescent="0.35">
      <c r="A316" t="s">
        <v>40</v>
      </c>
      <c r="B316" t="s">
        <v>696</v>
      </c>
      <c r="C316" s="1">
        <v>45443</v>
      </c>
      <c r="D316" s="2">
        <v>0.27083333333333331</v>
      </c>
      <c r="E316" t="s">
        <v>2</v>
      </c>
      <c r="F316" t="s">
        <v>3</v>
      </c>
      <c r="G316" s="3">
        <v>15.64</v>
      </c>
      <c r="H316" s="3">
        <v>2.34</v>
      </c>
    </row>
    <row r="317" spans="1:8" ht="15" thickBot="1" x14ac:dyDescent="0.4">
      <c r="A317" s="4" t="s">
        <v>40</v>
      </c>
      <c r="B317" s="4" t="s">
        <v>697</v>
      </c>
      <c r="C317" s="6">
        <v>45443</v>
      </c>
      <c r="D317" s="7">
        <v>0.77361111111111114</v>
      </c>
      <c r="E317" s="4" t="s">
        <v>2</v>
      </c>
      <c r="F317" s="4" t="s">
        <v>3</v>
      </c>
      <c r="G317" s="5">
        <v>10.44</v>
      </c>
      <c r="H317" s="5">
        <v>1.56</v>
      </c>
    </row>
    <row r="318" spans="1:8" ht="15" x14ac:dyDescent="0.25">
      <c r="A318" t="s">
        <v>752</v>
      </c>
      <c r="G318" s="9">
        <f>SUM(G224:G317)</f>
        <v>2221.3000000000002</v>
      </c>
      <c r="H318" s="9">
        <f>SUM(H224:H317)</f>
        <v>332.52999999999986</v>
      </c>
    </row>
    <row r="319" spans="1:8" ht="15.75" thickBot="1" x14ac:dyDescent="0.3"/>
    <row r="320" spans="1:8" ht="15.75" thickBot="1" x14ac:dyDescent="0.3">
      <c r="A320" s="11" t="s">
        <v>411</v>
      </c>
      <c r="B320" s="12" t="s">
        <v>163</v>
      </c>
      <c r="C320" s="12" t="s">
        <v>165</v>
      </c>
      <c r="D320" s="12" t="s">
        <v>166</v>
      </c>
      <c r="E320" s="12" t="s">
        <v>164</v>
      </c>
      <c r="F320" s="12" t="s">
        <v>167</v>
      </c>
      <c r="G320" s="12" t="s">
        <v>412</v>
      </c>
      <c r="H320" s="13" t="s">
        <v>169</v>
      </c>
    </row>
    <row r="321" spans="1:8" x14ac:dyDescent="0.35">
      <c r="A321" t="s">
        <v>148</v>
      </c>
      <c r="B321" t="s">
        <v>698</v>
      </c>
      <c r="C321" s="1">
        <v>45413</v>
      </c>
      <c r="D321" s="2">
        <v>0.15833333333333333</v>
      </c>
      <c r="E321" t="s">
        <v>2</v>
      </c>
      <c r="F321" t="s">
        <v>3</v>
      </c>
      <c r="G321" s="3">
        <v>39.79</v>
      </c>
      <c r="H321" s="3">
        <v>5.96</v>
      </c>
    </row>
    <row r="322" spans="1:8" x14ac:dyDescent="0.35">
      <c r="A322" t="s">
        <v>148</v>
      </c>
      <c r="B322" t="s">
        <v>699</v>
      </c>
      <c r="C322" s="1">
        <v>45413</v>
      </c>
      <c r="D322" s="2">
        <v>0.27083333333333331</v>
      </c>
      <c r="E322" t="s">
        <v>2</v>
      </c>
      <c r="F322" t="s">
        <v>58</v>
      </c>
      <c r="G322" s="3">
        <v>23.29</v>
      </c>
      <c r="H322" s="3">
        <v>3.49</v>
      </c>
    </row>
    <row r="323" spans="1:8" x14ac:dyDescent="0.35">
      <c r="A323" t="s">
        <v>148</v>
      </c>
      <c r="B323" t="s">
        <v>700</v>
      </c>
      <c r="C323" s="1">
        <v>45415</v>
      </c>
      <c r="D323" s="2">
        <v>0.1388888888888889</v>
      </c>
      <c r="E323" t="s">
        <v>2</v>
      </c>
      <c r="F323" t="s">
        <v>3</v>
      </c>
      <c r="G323" s="3">
        <v>36.549999999999997</v>
      </c>
      <c r="H323" s="3">
        <v>5.47</v>
      </c>
    </row>
    <row r="324" spans="1:8" x14ac:dyDescent="0.35">
      <c r="A324" t="s">
        <v>148</v>
      </c>
      <c r="B324" t="s">
        <v>701</v>
      </c>
      <c r="C324" s="1">
        <v>45417</v>
      </c>
      <c r="D324" s="2">
        <v>4.8611111111111112E-2</v>
      </c>
      <c r="E324" t="s">
        <v>2</v>
      </c>
      <c r="F324" t="s">
        <v>3</v>
      </c>
      <c r="G324" s="3">
        <v>37.049999999999997</v>
      </c>
      <c r="H324" s="3">
        <v>5.55</v>
      </c>
    </row>
    <row r="325" spans="1:8" x14ac:dyDescent="0.35">
      <c r="A325" t="s">
        <v>148</v>
      </c>
      <c r="B325" t="s">
        <v>702</v>
      </c>
      <c r="C325" s="1">
        <v>45417</v>
      </c>
      <c r="D325" s="2">
        <v>0.41944444444444445</v>
      </c>
      <c r="E325" t="s">
        <v>2</v>
      </c>
      <c r="F325" t="s">
        <v>3</v>
      </c>
      <c r="G325" s="3">
        <v>21.68</v>
      </c>
      <c r="H325" s="3">
        <v>3.25</v>
      </c>
    </row>
    <row r="326" spans="1:8" x14ac:dyDescent="0.35">
      <c r="A326" t="s">
        <v>148</v>
      </c>
      <c r="B326" t="s">
        <v>703</v>
      </c>
      <c r="C326" s="1">
        <v>45417</v>
      </c>
      <c r="D326" s="2">
        <v>0.47013888888888888</v>
      </c>
      <c r="E326" t="s">
        <v>2</v>
      </c>
      <c r="F326" t="s">
        <v>3</v>
      </c>
      <c r="G326" s="3">
        <v>25.35</v>
      </c>
      <c r="H326" s="3">
        <v>3.8</v>
      </c>
    </row>
    <row r="327" spans="1:8" x14ac:dyDescent="0.35">
      <c r="A327" t="s">
        <v>148</v>
      </c>
      <c r="B327" t="s">
        <v>704</v>
      </c>
      <c r="C327" s="1">
        <v>45418</v>
      </c>
      <c r="D327" s="2">
        <v>2.4999999999999998E-2</v>
      </c>
      <c r="E327" t="s">
        <v>2</v>
      </c>
      <c r="F327" t="s">
        <v>3</v>
      </c>
      <c r="G327" s="3">
        <v>21.8</v>
      </c>
      <c r="H327" s="3">
        <v>3.26</v>
      </c>
    </row>
    <row r="328" spans="1:8" x14ac:dyDescent="0.35">
      <c r="A328" t="s">
        <v>148</v>
      </c>
      <c r="B328" t="s">
        <v>705</v>
      </c>
      <c r="C328" s="1">
        <v>45419</v>
      </c>
      <c r="D328" s="2">
        <v>0.20277777777777781</v>
      </c>
      <c r="E328" t="s">
        <v>2</v>
      </c>
      <c r="F328" t="s">
        <v>3</v>
      </c>
      <c r="G328" s="3">
        <v>43.29</v>
      </c>
      <c r="H328" s="3">
        <v>6.48</v>
      </c>
    </row>
    <row r="329" spans="1:8" x14ac:dyDescent="0.35">
      <c r="A329" t="s">
        <v>148</v>
      </c>
      <c r="B329" t="s">
        <v>706</v>
      </c>
      <c r="C329" s="1">
        <v>45419</v>
      </c>
      <c r="D329" s="2">
        <v>0.24791666666666667</v>
      </c>
      <c r="E329" t="s">
        <v>2</v>
      </c>
      <c r="F329" t="s">
        <v>3</v>
      </c>
      <c r="G329" s="3">
        <v>18.63</v>
      </c>
      <c r="H329" s="3">
        <v>2.79</v>
      </c>
    </row>
    <row r="330" spans="1:8" x14ac:dyDescent="0.35">
      <c r="A330" t="s">
        <v>148</v>
      </c>
      <c r="B330" t="s">
        <v>707</v>
      </c>
      <c r="C330" s="1">
        <v>45420</v>
      </c>
      <c r="D330" s="2">
        <v>6.8749999999999992E-2</v>
      </c>
      <c r="E330" t="s">
        <v>2</v>
      </c>
      <c r="F330" t="s">
        <v>3</v>
      </c>
      <c r="G330" s="3">
        <v>33.24</v>
      </c>
      <c r="H330" s="3">
        <v>4.9800000000000004</v>
      </c>
    </row>
    <row r="331" spans="1:8" x14ac:dyDescent="0.35">
      <c r="A331" t="s">
        <v>148</v>
      </c>
      <c r="B331" t="s">
        <v>708</v>
      </c>
      <c r="C331" s="1">
        <v>45420</v>
      </c>
      <c r="D331" s="2">
        <v>9.4444444444444442E-2</v>
      </c>
      <c r="E331" t="s">
        <v>2</v>
      </c>
      <c r="F331" t="s">
        <v>3</v>
      </c>
      <c r="G331" s="3">
        <v>8.4499999999999993</v>
      </c>
      <c r="H331" s="3">
        <v>1.27</v>
      </c>
    </row>
    <row r="332" spans="1:8" x14ac:dyDescent="0.35">
      <c r="A332" t="s">
        <v>148</v>
      </c>
      <c r="B332" t="s">
        <v>709</v>
      </c>
      <c r="C332" s="1">
        <v>45420</v>
      </c>
      <c r="D332" s="2">
        <v>0.33958333333333335</v>
      </c>
      <c r="E332" t="s">
        <v>2</v>
      </c>
      <c r="F332" t="s">
        <v>3</v>
      </c>
      <c r="G332" s="3">
        <v>31.49</v>
      </c>
      <c r="H332" s="3">
        <v>4.72</v>
      </c>
    </row>
    <row r="333" spans="1:8" x14ac:dyDescent="0.35">
      <c r="A333" t="s">
        <v>148</v>
      </c>
      <c r="B333" t="s">
        <v>710</v>
      </c>
      <c r="C333" s="1">
        <v>45421</v>
      </c>
      <c r="D333" s="2">
        <v>0.22500000000000001</v>
      </c>
      <c r="E333" t="s">
        <v>2</v>
      </c>
      <c r="F333" t="s">
        <v>3</v>
      </c>
      <c r="G333" s="3">
        <v>16.510000000000002</v>
      </c>
      <c r="H333" s="3">
        <v>2.4700000000000002</v>
      </c>
    </row>
    <row r="334" spans="1:8" x14ac:dyDescent="0.35">
      <c r="A334" t="s">
        <v>148</v>
      </c>
      <c r="B334" t="s">
        <v>711</v>
      </c>
      <c r="C334" s="1">
        <v>45423</v>
      </c>
      <c r="D334" s="2">
        <v>0.4284722222222222</v>
      </c>
      <c r="E334" t="s">
        <v>2</v>
      </c>
      <c r="F334" t="s">
        <v>3</v>
      </c>
      <c r="G334" s="3">
        <v>24.99</v>
      </c>
      <c r="H334" s="3">
        <v>3.74</v>
      </c>
    </row>
    <row r="335" spans="1:8" x14ac:dyDescent="0.35">
      <c r="A335" t="s">
        <v>148</v>
      </c>
      <c r="B335" t="s">
        <v>712</v>
      </c>
      <c r="C335" s="1">
        <v>45424</v>
      </c>
      <c r="D335" s="2">
        <v>0.15069444444444444</v>
      </c>
      <c r="E335" t="s">
        <v>2</v>
      </c>
      <c r="F335" t="s">
        <v>3</v>
      </c>
      <c r="G335" s="3">
        <v>29.52</v>
      </c>
      <c r="H335" s="3">
        <v>4.42</v>
      </c>
    </row>
    <row r="336" spans="1:8" x14ac:dyDescent="0.35">
      <c r="A336" t="s">
        <v>148</v>
      </c>
      <c r="B336" t="s">
        <v>713</v>
      </c>
      <c r="C336" s="1">
        <v>45424</v>
      </c>
      <c r="D336" s="2">
        <v>0.46111111111111108</v>
      </c>
      <c r="E336" t="s">
        <v>2</v>
      </c>
      <c r="F336" t="s">
        <v>3</v>
      </c>
      <c r="G336" s="3">
        <v>24.99</v>
      </c>
      <c r="H336" s="3">
        <v>3.74</v>
      </c>
    </row>
    <row r="337" spans="1:8" x14ac:dyDescent="0.35">
      <c r="A337" t="s">
        <v>148</v>
      </c>
      <c r="B337" t="s">
        <v>714</v>
      </c>
      <c r="C337" s="1">
        <v>45427</v>
      </c>
      <c r="D337" s="2">
        <v>0.11458333333333333</v>
      </c>
      <c r="E337" t="s">
        <v>2</v>
      </c>
      <c r="F337" t="s">
        <v>3</v>
      </c>
      <c r="G337" s="3">
        <v>35.229999999999997</v>
      </c>
      <c r="H337" s="3">
        <v>5.28</v>
      </c>
    </row>
    <row r="338" spans="1:8" x14ac:dyDescent="0.35">
      <c r="A338" t="s">
        <v>148</v>
      </c>
      <c r="B338" t="s">
        <v>715</v>
      </c>
      <c r="C338" s="1">
        <v>45427</v>
      </c>
      <c r="D338" s="2">
        <v>0.28402777777777777</v>
      </c>
      <c r="E338" t="s">
        <v>2</v>
      </c>
      <c r="F338" t="s">
        <v>3</v>
      </c>
      <c r="G338" s="3">
        <v>24.99</v>
      </c>
      <c r="H338" s="3">
        <v>3.74</v>
      </c>
    </row>
    <row r="339" spans="1:8" x14ac:dyDescent="0.35">
      <c r="A339" t="s">
        <v>148</v>
      </c>
      <c r="B339" t="s">
        <v>716</v>
      </c>
      <c r="C339" s="1">
        <v>45429</v>
      </c>
      <c r="D339" s="2">
        <v>0.36249999999999999</v>
      </c>
      <c r="E339" t="s">
        <v>2</v>
      </c>
      <c r="F339" t="s">
        <v>3</v>
      </c>
      <c r="G339" s="3">
        <v>24.99</v>
      </c>
      <c r="H339" s="3">
        <v>3.74</v>
      </c>
    </row>
    <row r="340" spans="1:8" x14ac:dyDescent="0.35">
      <c r="A340" t="s">
        <v>148</v>
      </c>
      <c r="B340" t="s">
        <v>717</v>
      </c>
      <c r="C340" s="1">
        <v>45430</v>
      </c>
      <c r="D340" s="2">
        <v>0.26041666666666669</v>
      </c>
      <c r="E340" t="s">
        <v>2</v>
      </c>
      <c r="F340" t="s">
        <v>3</v>
      </c>
      <c r="G340" s="3">
        <v>17.8</v>
      </c>
      <c r="H340" s="3">
        <v>2.67</v>
      </c>
    </row>
    <row r="341" spans="1:8" x14ac:dyDescent="0.35">
      <c r="A341" t="s">
        <v>148</v>
      </c>
      <c r="B341" t="s">
        <v>718</v>
      </c>
      <c r="C341" s="1">
        <v>45430</v>
      </c>
      <c r="D341" s="2">
        <v>0.25208333333333333</v>
      </c>
      <c r="E341" t="s">
        <v>2</v>
      </c>
      <c r="F341" t="s">
        <v>3</v>
      </c>
      <c r="G341" s="3">
        <v>27.89</v>
      </c>
      <c r="H341" s="3">
        <v>4.18</v>
      </c>
    </row>
    <row r="342" spans="1:8" x14ac:dyDescent="0.35">
      <c r="A342" t="s">
        <v>148</v>
      </c>
      <c r="B342" t="s">
        <v>719</v>
      </c>
      <c r="C342" s="1">
        <v>45430</v>
      </c>
      <c r="D342" s="2">
        <v>0.41111111111111115</v>
      </c>
      <c r="E342" t="s">
        <v>2</v>
      </c>
      <c r="F342" t="s">
        <v>3</v>
      </c>
      <c r="G342" s="3">
        <v>24.99</v>
      </c>
      <c r="H342" s="3">
        <v>3.74</v>
      </c>
    </row>
    <row r="343" spans="1:8" x14ac:dyDescent="0.35">
      <c r="A343" t="s">
        <v>148</v>
      </c>
      <c r="B343" t="s">
        <v>720</v>
      </c>
      <c r="C343" s="1">
        <v>45430</v>
      </c>
      <c r="D343" s="2">
        <v>0.46875</v>
      </c>
      <c r="E343" t="s">
        <v>2</v>
      </c>
      <c r="F343" t="s">
        <v>3</v>
      </c>
      <c r="G343" s="3">
        <v>17.100000000000001</v>
      </c>
      <c r="H343" s="3">
        <v>2.56</v>
      </c>
    </row>
    <row r="344" spans="1:8" x14ac:dyDescent="0.35">
      <c r="A344" t="s">
        <v>148</v>
      </c>
      <c r="B344" t="s">
        <v>721</v>
      </c>
      <c r="C344" s="1">
        <v>45431</v>
      </c>
      <c r="D344" s="2">
        <v>8.4722222222222213E-2</v>
      </c>
      <c r="E344" t="s">
        <v>2</v>
      </c>
      <c r="F344" t="s">
        <v>3</v>
      </c>
      <c r="G344" s="3">
        <v>30.55</v>
      </c>
      <c r="H344" s="3">
        <v>4.57</v>
      </c>
    </row>
    <row r="345" spans="1:8" x14ac:dyDescent="0.35">
      <c r="A345" t="s">
        <v>148</v>
      </c>
      <c r="B345" t="s">
        <v>722</v>
      </c>
      <c r="C345" s="1">
        <v>45431</v>
      </c>
      <c r="D345" s="2">
        <v>0.26527777777777778</v>
      </c>
      <c r="E345" t="s">
        <v>2</v>
      </c>
      <c r="F345" t="s">
        <v>3</v>
      </c>
      <c r="G345" s="3">
        <v>49.98</v>
      </c>
      <c r="H345" s="3">
        <v>7.48</v>
      </c>
    </row>
    <row r="346" spans="1:8" x14ac:dyDescent="0.35">
      <c r="A346" t="s">
        <v>148</v>
      </c>
      <c r="B346" t="s">
        <v>723</v>
      </c>
      <c r="C346" s="1">
        <v>45432</v>
      </c>
      <c r="D346" s="2">
        <v>5.9722222222222225E-2</v>
      </c>
      <c r="E346" t="s">
        <v>2</v>
      </c>
      <c r="F346" t="s">
        <v>3</v>
      </c>
      <c r="G346" s="3">
        <v>21.28</v>
      </c>
      <c r="H346" s="3">
        <v>3.19</v>
      </c>
    </row>
    <row r="347" spans="1:8" x14ac:dyDescent="0.35">
      <c r="A347" t="s">
        <v>148</v>
      </c>
      <c r="B347" t="s">
        <v>724</v>
      </c>
      <c r="C347" s="1">
        <v>45432</v>
      </c>
      <c r="D347" s="2">
        <v>0.13402777777777777</v>
      </c>
      <c r="E347" t="s">
        <v>2</v>
      </c>
      <c r="F347" t="s">
        <v>3</v>
      </c>
      <c r="G347" s="3">
        <v>11.7</v>
      </c>
      <c r="H347" s="3">
        <v>1.75</v>
      </c>
    </row>
    <row r="348" spans="1:8" x14ac:dyDescent="0.35">
      <c r="A348" t="s">
        <v>148</v>
      </c>
      <c r="B348" t="s">
        <v>725</v>
      </c>
      <c r="C348" s="1">
        <v>45432</v>
      </c>
      <c r="D348" s="2">
        <v>0.12222222222222223</v>
      </c>
      <c r="E348" t="s">
        <v>2</v>
      </c>
      <c r="F348" t="s">
        <v>3</v>
      </c>
      <c r="G348" s="3">
        <v>13.64</v>
      </c>
      <c r="H348" s="3">
        <v>2.04</v>
      </c>
    </row>
    <row r="349" spans="1:8" x14ac:dyDescent="0.35">
      <c r="A349" t="s">
        <v>148</v>
      </c>
      <c r="B349" t="s">
        <v>726</v>
      </c>
      <c r="C349" s="1">
        <v>45432</v>
      </c>
      <c r="D349" s="2">
        <v>0.18888888888888888</v>
      </c>
      <c r="E349" t="s">
        <v>2</v>
      </c>
      <c r="F349" t="s">
        <v>3</v>
      </c>
      <c r="G349" s="3">
        <v>35.86</v>
      </c>
      <c r="H349" s="3">
        <v>5.37</v>
      </c>
    </row>
    <row r="350" spans="1:8" x14ac:dyDescent="0.35">
      <c r="A350" t="s">
        <v>148</v>
      </c>
      <c r="B350" t="s">
        <v>727</v>
      </c>
      <c r="C350" s="1">
        <v>45432</v>
      </c>
      <c r="D350" s="2">
        <v>0.5131944444444444</v>
      </c>
      <c r="E350" t="s">
        <v>2</v>
      </c>
      <c r="F350" t="s">
        <v>3</v>
      </c>
      <c r="G350" s="3">
        <v>17</v>
      </c>
      <c r="H350" s="3">
        <v>2.5499999999999998</v>
      </c>
    </row>
    <row r="351" spans="1:8" x14ac:dyDescent="0.35">
      <c r="A351" t="s">
        <v>148</v>
      </c>
      <c r="B351" t="s">
        <v>728</v>
      </c>
      <c r="C351" s="1">
        <v>45433</v>
      </c>
      <c r="D351" s="2">
        <v>0.4458333333333333</v>
      </c>
      <c r="E351" t="s">
        <v>2</v>
      </c>
      <c r="F351" t="s">
        <v>3</v>
      </c>
      <c r="G351" s="3">
        <v>17.53</v>
      </c>
      <c r="H351" s="3">
        <v>2.63</v>
      </c>
    </row>
    <row r="352" spans="1:8" x14ac:dyDescent="0.35">
      <c r="A352" t="s">
        <v>148</v>
      </c>
      <c r="B352" t="s">
        <v>729</v>
      </c>
      <c r="C352" s="1">
        <v>45434</v>
      </c>
      <c r="D352" s="2">
        <v>2.2916666666666669E-2</v>
      </c>
      <c r="E352" t="s">
        <v>2</v>
      </c>
      <c r="F352" t="s">
        <v>3</v>
      </c>
      <c r="G352" s="3">
        <v>45.15</v>
      </c>
      <c r="H352" s="3">
        <v>6.76</v>
      </c>
    </row>
    <row r="353" spans="1:8" x14ac:dyDescent="0.35">
      <c r="A353" t="s">
        <v>148</v>
      </c>
      <c r="B353" t="s">
        <v>730</v>
      </c>
      <c r="C353" s="1">
        <v>45434</v>
      </c>
      <c r="D353" s="2">
        <v>0.4770833333333333</v>
      </c>
      <c r="E353" t="s">
        <v>180</v>
      </c>
      <c r="F353" t="s">
        <v>3</v>
      </c>
      <c r="G353" s="3">
        <v>5</v>
      </c>
      <c r="H353" s="3">
        <v>0.74</v>
      </c>
    </row>
    <row r="354" spans="1:8" x14ac:dyDescent="0.35">
      <c r="A354" t="s">
        <v>148</v>
      </c>
      <c r="B354" t="s">
        <v>731</v>
      </c>
      <c r="C354" s="1">
        <v>45435</v>
      </c>
      <c r="D354" s="2">
        <v>6.5277777777777782E-2</v>
      </c>
      <c r="E354" t="s">
        <v>2</v>
      </c>
      <c r="F354" t="s">
        <v>3</v>
      </c>
      <c r="G354" s="3">
        <v>33.29</v>
      </c>
      <c r="H354" s="3">
        <v>4.99</v>
      </c>
    </row>
    <row r="355" spans="1:8" x14ac:dyDescent="0.35">
      <c r="A355" t="s">
        <v>148</v>
      </c>
      <c r="B355" t="s">
        <v>732</v>
      </c>
      <c r="C355" s="1">
        <v>45437</v>
      </c>
      <c r="D355" s="2">
        <v>0.30902777777777779</v>
      </c>
      <c r="E355" t="s">
        <v>2</v>
      </c>
      <c r="F355" t="s">
        <v>3</v>
      </c>
      <c r="G355" s="3">
        <v>18.79</v>
      </c>
      <c r="H355" s="3">
        <v>2.81</v>
      </c>
    </row>
    <row r="356" spans="1:8" x14ac:dyDescent="0.35">
      <c r="A356" t="s">
        <v>148</v>
      </c>
      <c r="B356" t="s">
        <v>733</v>
      </c>
      <c r="C356" s="1">
        <v>45438</v>
      </c>
      <c r="D356" s="2">
        <v>0.23194444444444443</v>
      </c>
      <c r="E356" t="s">
        <v>2</v>
      </c>
      <c r="F356" t="s">
        <v>3</v>
      </c>
      <c r="G356" s="3">
        <v>63.25</v>
      </c>
      <c r="H356" s="3">
        <v>9.4700000000000006</v>
      </c>
    </row>
    <row r="357" spans="1:8" x14ac:dyDescent="0.35">
      <c r="A357" t="s">
        <v>148</v>
      </c>
      <c r="B357" t="s">
        <v>734</v>
      </c>
      <c r="C357" s="1">
        <v>45438</v>
      </c>
      <c r="D357" s="2">
        <v>0.4548611111111111</v>
      </c>
      <c r="E357" t="s">
        <v>2</v>
      </c>
      <c r="F357" t="s">
        <v>3</v>
      </c>
      <c r="G357" s="3">
        <v>8.5500000000000007</v>
      </c>
      <c r="H357" s="3">
        <v>1.28</v>
      </c>
    </row>
    <row r="358" spans="1:8" x14ac:dyDescent="0.35">
      <c r="A358" t="s">
        <v>148</v>
      </c>
      <c r="B358" t="s">
        <v>735</v>
      </c>
      <c r="C358" s="1">
        <v>45438</v>
      </c>
      <c r="D358" s="2">
        <v>0.46180555555555558</v>
      </c>
      <c r="E358" t="s">
        <v>2</v>
      </c>
      <c r="F358" t="s">
        <v>3</v>
      </c>
      <c r="G358" s="3">
        <v>13.89</v>
      </c>
      <c r="H358" s="3">
        <v>2.08</v>
      </c>
    </row>
    <row r="359" spans="1:8" x14ac:dyDescent="0.35">
      <c r="A359" t="s">
        <v>148</v>
      </c>
      <c r="B359" t="s">
        <v>736</v>
      </c>
      <c r="C359" s="1">
        <v>45440</v>
      </c>
      <c r="D359" s="2">
        <v>0.24374999999999999</v>
      </c>
      <c r="E359" t="s">
        <v>2</v>
      </c>
      <c r="F359" t="s">
        <v>3</v>
      </c>
      <c r="G359" s="3">
        <v>35.56</v>
      </c>
      <c r="H359" s="3">
        <v>5.33</v>
      </c>
    </row>
    <row r="360" spans="1:8" x14ac:dyDescent="0.35">
      <c r="A360" t="s">
        <v>148</v>
      </c>
      <c r="B360" t="s">
        <v>737</v>
      </c>
      <c r="C360" s="1">
        <v>45440</v>
      </c>
      <c r="D360" s="2">
        <v>0.39027777777777778</v>
      </c>
      <c r="E360" t="s">
        <v>2</v>
      </c>
      <c r="F360" t="s">
        <v>3</v>
      </c>
      <c r="G360" s="3">
        <v>20.149999999999999</v>
      </c>
      <c r="H360" s="3">
        <v>3.02</v>
      </c>
    </row>
    <row r="361" spans="1:8" x14ac:dyDescent="0.35">
      <c r="A361" t="s">
        <v>148</v>
      </c>
      <c r="B361" t="s">
        <v>738</v>
      </c>
      <c r="C361" s="1">
        <v>45440</v>
      </c>
      <c r="D361" s="2">
        <v>0.57013888888888886</v>
      </c>
      <c r="E361" t="s">
        <v>2</v>
      </c>
      <c r="F361" t="s">
        <v>3</v>
      </c>
      <c r="G361" s="3">
        <v>15.99</v>
      </c>
      <c r="H361" s="3">
        <v>2.39</v>
      </c>
    </row>
    <row r="362" spans="1:8" x14ac:dyDescent="0.35">
      <c r="A362" t="s">
        <v>148</v>
      </c>
      <c r="B362" t="s">
        <v>739</v>
      </c>
      <c r="C362" s="1">
        <v>45441</v>
      </c>
      <c r="D362" s="2">
        <v>0.36249999999999999</v>
      </c>
      <c r="E362" t="s">
        <v>2</v>
      </c>
      <c r="F362" t="s">
        <v>3</v>
      </c>
      <c r="G362" s="3">
        <v>11.95</v>
      </c>
      <c r="H362" s="3">
        <v>1.79</v>
      </c>
    </row>
    <row r="363" spans="1:8" x14ac:dyDescent="0.35">
      <c r="A363" t="s">
        <v>148</v>
      </c>
      <c r="B363" t="s">
        <v>740</v>
      </c>
      <c r="C363" s="1">
        <v>45442</v>
      </c>
      <c r="D363" s="2">
        <v>0.76250000000000007</v>
      </c>
      <c r="E363" t="s">
        <v>2</v>
      </c>
      <c r="F363" t="s">
        <v>3</v>
      </c>
      <c r="G363" s="3">
        <v>30.19</v>
      </c>
      <c r="H363" s="3">
        <v>4.5199999999999996</v>
      </c>
    </row>
    <row r="364" spans="1:8" x14ac:dyDescent="0.35">
      <c r="A364" t="s">
        <v>148</v>
      </c>
      <c r="B364" t="s">
        <v>741</v>
      </c>
      <c r="C364" s="1">
        <v>45443</v>
      </c>
      <c r="D364" s="2">
        <v>0.16597222222222222</v>
      </c>
      <c r="E364" t="s">
        <v>2</v>
      </c>
      <c r="F364" t="s">
        <v>3</v>
      </c>
      <c r="G364" s="3">
        <v>17.5</v>
      </c>
      <c r="H364" s="3">
        <v>2.62</v>
      </c>
    </row>
    <row r="365" spans="1:8" ht="15" thickBot="1" x14ac:dyDescent="0.4">
      <c r="A365" s="4" t="s">
        <v>148</v>
      </c>
      <c r="B365" s="4" t="s">
        <v>742</v>
      </c>
      <c r="C365" s="6">
        <v>45443</v>
      </c>
      <c r="D365" s="7">
        <v>0.92638888888888893</v>
      </c>
      <c r="E365" s="4" t="s">
        <v>2</v>
      </c>
      <c r="F365" s="4" t="s">
        <v>3</v>
      </c>
      <c r="G365" s="5">
        <v>16.899999999999999</v>
      </c>
      <c r="H365" s="5">
        <v>2.5299999999999998</v>
      </c>
    </row>
    <row r="366" spans="1:8" ht="15" x14ac:dyDescent="0.25">
      <c r="A366" t="s">
        <v>752</v>
      </c>
      <c r="G366" s="9">
        <f>SUM(G321:G365)</f>
        <v>1143.3100000000002</v>
      </c>
      <c r="H366" s="9">
        <f>SUM(H321:H365)</f>
        <v>171.21000000000006</v>
      </c>
    </row>
    <row r="368" spans="1:8" ht="15.75" thickBot="1" x14ac:dyDescent="0.3"/>
    <row r="369" spans="1:8" ht="15.75" thickBot="1" x14ac:dyDescent="0.3">
      <c r="A369" s="11" t="s">
        <v>411</v>
      </c>
      <c r="B369" s="12" t="s">
        <v>163</v>
      </c>
      <c r="C369" s="12" t="s">
        <v>165</v>
      </c>
      <c r="D369" s="12" t="s">
        <v>166</v>
      </c>
      <c r="E369" s="12" t="s">
        <v>164</v>
      </c>
      <c r="F369" s="12" t="s">
        <v>167</v>
      </c>
      <c r="G369" s="12" t="s">
        <v>412</v>
      </c>
      <c r="H369" s="13" t="s">
        <v>169</v>
      </c>
    </row>
    <row r="370" spans="1:8" x14ac:dyDescent="0.35">
      <c r="A370" t="s">
        <v>743</v>
      </c>
      <c r="B370" t="s">
        <v>744</v>
      </c>
      <c r="C370" s="1">
        <v>45424</v>
      </c>
      <c r="D370" s="2">
        <v>0.4777777777777778</v>
      </c>
      <c r="E370" t="s">
        <v>2</v>
      </c>
      <c r="F370" t="s">
        <v>3</v>
      </c>
      <c r="G370" s="3">
        <v>40.71</v>
      </c>
      <c r="H370" s="3">
        <v>6.1</v>
      </c>
    </row>
    <row r="371" spans="1:8" x14ac:dyDescent="0.35">
      <c r="A371" t="s">
        <v>743</v>
      </c>
      <c r="B371" t="s">
        <v>745</v>
      </c>
      <c r="C371" s="1">
        <v>45431</v>
      </c>
      <c r="D371" s="2">
        <v>0.9604166666666667</v>
      </c>
      <c r="E371" t="s">
        <v>2</v>
      </c>
      <c r="F371" t="s">
        <v>3</v>
      </c>
      <c r="G371" s="3">
        <v>22.96</v>
      </c>
      <c r="H371" s="3">
        <v>3.44</v>
      </c>
    </row>
    <row r="372" spans="1:8" x14ac:dyDescent="0.35">
      <c r="A372" t="s">
        <v>743</v>
      </c>
      <c r="B372" t="s">
        <v>746</v>
      </c>
      <c r="C372" s="1">
        <v>45435</v>
      </c>
      <c r="D372" s="2">
        <v>1.2499999999999999E-2</v>
      </c>
      <c r="E372" t="s">
        <v>2</v>
      </c>
      <c r="F372" t="s">
        <v>3</v>
      </c>
      <c r="G372" s="3">
        <v>27.99</v>
      </c>
      <c r="H372" s="3">
        <v>4.1900000000000004</v>
      </c>
    </row>
    <row r="373" spans="1:8" x14ac:dyDescent="0.35">
      <c r="A373" t="s">
        <v>743</v>
      </c>
      <c r="B373" t="s">
        <v>747</v>
      </c>
      <c r="C373" s="1">
        <v>45437</v>
      </c>
      <c r="D373" s="2">
        <v>0.21805555555555556</v>
      </c>
      <c r="E373" t="s">
        <v>2</v>
      </c>
      <c r="F373" t="s">
        <v>3</v>
      </c>
      <c r="G373" s="3">
        <v>29.3</v>
      </c>
      <c r="H373" s="3">
        <v>4.3899999999999997</v>
      </c>
    </row>
    <row r="374" spans="1:8" x14ac:dyDescent="0.35">
      <c r="A374" t="s">
        <v>743</v>
      </c>
      <c r="B374" t="s">
        <v>748</v>
      </c>
      <c r="C374" s="1">
        <v>45439</v>
      </c>
      <c r="D374" s="2">
        <v>0.90208333333333324</v>
      </c>
      <c r="E374" t="s">
        <v>2</v>
      </c>
      <c r="F374" t="s">
        <v>3</v>
      </c>
      <c r="G374" s="3">
        <v>17.97</v>
      </c>
      <c r="H374" s="3">
        <v>2.69</v>
      </c>
    </row>
    <row r="375" spans="1:8" ht="15" thickBot="1" x14ac:dyDescent="0.4">
      <c r="A375" s="4" t="s">
        <v>743</v>
      </c>
      <c r="B375" s="4" t="s">
        <v>749</v>
      </c>
      <c r="C375" s="6">
        <v>45443</v>
      </c>
      <c r="D375" s="7">
        <v>0.22638888888888889</v>
      </c>
      <c r="E375" s="4" t="s">
        <v>2</v>
      </c>
      <c r="F375" s="4" t="s">
        <v>3</v>
      </c>
      <c r="G375" s="5">
        <v>17.899999999999999</v>
      </c>
      <c r="H375" s="5">
        <v>2.68</v>
      </c>
    </row>
    <row r="376" spans="1:8" ht="15" x14ac:dyDescent="0.25">
      <c r="A376" t="s">
        <v>752</v>
      </c>
      <c r="G376" s="3">
        <f>SUM(G370:G375)</f>
        <v>156.83000000000001</v>
      </c>
      <c r="H376" s="3">
        <f>SUM(H370:H375)</f>
        <v>23.490000000000002</v>
      </c>
    </row>
    <row r="377" spans="1:8" ht="15.75" thickBot="1" x14ac:dyDescent="0.3"/>
    <row r="378" spans="1:8" ht="15.75" thickBot="1" x14ac:dyDescent="0.3">
      <c r="A378" s="11" t="s">
        <v>411</v>
      </c>
      <c r="B378" s="12" t="s">
        <v>163</v>
      </c>
      <c r="C378" s="12" t="s">
        <v>165</v>
      </c>
      <c r="D378" s="12" t="s">
        <v>166</v>
      </c>
      <c r="E378" s="12" t="s">
        <v>164</v>
      </c>
      <c r="F378" s="12" t="s">
        <v>167</v>
      </c>
      <c r="G378" s="12" t="s">
        <v>412</v>
      </c>
      <c r="H378" s="13" t="s">
        <v>169</v>
      </c>
    </row>
    <row r="379" spans="1:8" x14ac:dyDescent="0.35">
      <c r="A379" t="s">
        <v>403</v>
      </c>
      <c r="B379" t="s">
        <v>750</v>
      </c>
      <c r="C379" s="1">
        <v>45427</v>
      </c>
      <c r="D379" s="2">
        <v>8.5416666666666655E-2</v>
      </c>
      <c r="E379" t="s">
        <v>2</v>
      </c>
      <c r="F379" t="s">
        <v>3</v>
      </c>
      <c r="G379" s="3">
        <v>21.79</v>
      </c>
      <c r="H379" s="3">
        <v>3.26</v>
      </c>
    </row>
    <row r="380" spans="1:8" ht="15" thickBot="1" x14ac:dyDescent="0.4">
      <c r="A380" s="4" t="s">
        <v>403</v>
      </c>
      <c r="B380" s="4" t="s">
        <v>751</v>
      </c>
      <c r="C380" s="6">
        <v>45427</v>
      </c>
      <c r="D380" s="7">
        <v>0.18402777777777779</v>
      </c>
      <c r="E380" s="4" t="s">
        <v>2</v>
      </c>
      <c r="F380" s="4" t="s">
        <v>3</v>
      </c>
      <c r="G380" s="5">
        <v>31.9</v>
      </c>
      <c r="H380" s="5">
        <v>4.78</v>
      </c>
    </row>
    <row r="381" spans="1:8" x14ac:dyDescent="0.35">
      <c r="A381" t="s">
        <v>752</v>
      </c>
      <c r="G381" s="3">
        <f>SUM(G379:G380)</f>
        <v>53.69</v>
      </c>
      <c r="H381" s="3">
        <f>SUM(H379:H380)</f>
        <v>8.0399999999999991</v>
      </c>
    </row>
    <row r="386" spans="1:8" x14ac:dyDescent="0.35">
      <c r="A386" t="s">
        <v>2246</v>
      </c>
      <c r="G386" s="9">
        <f>SUM(G381,G376,G366,G318,G220,G156,G131,G109,G97,G65,G16)</f>
        <v>8922.4699999999993</v>
      </c>
    </row>
    <row r="387" spans="1:8" x14ac:dyDescent="0.35">
      <c r="A387" t="s">
        <v>2247</v>
      </c>
      <c r="H387" s="9">
        <f>SUM(H381,H376,H366,H318,H220,H156,H131,H109,H97,H65,H16)</f>
        <v>1336.04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85"/>
  <sheetViews>
    <sheetView topLeftCell="A233" zoomScale="50" zoomScaleNormal="50" workbookViewId="0">
      <selection activeCell="G284" sqref="G284"/>
    </sheetView>
  </sheetViews>
  <sheetFormatPr defaultRowHeight="14.5" x14ac:dyDescent="0.35"/>
  <cols>
    <col min="1" max="1" width="24.453125" customWidth="1"/>
    <col min="2" max="2" width="10.26953125" customWidth="1"/>
    <col min="3" max="3" width="12.7265625" customWidth="1"/>
    <col min="5" max="5" width="8.7265625" customWidth="1"/>
    <col min="6" max="6" width="10.54296875" customWidth="1"/>
    <col min="7" max="7" width="14.81640625" customWidth="1"/>
    <col min="8" max="8" width="11.453125" customWidth="1"/>
  </cols>
  <sheetData>
    <row r="5" spans="1:8" ht="15.75" thickBot="1" x14ac:dyDescent="0.3"/>
    <row r="6" spans="1:8" ht="15.75" thickBot="1" x14ac:dyDescent="0.3">
      <c r="A6" s="11" t="s">
        <v>411</v>
      </c>
      <c r="B6" s="12" t="s">
        <v>163</v>
      </c>
      <c r="C6" s="12" t="s">
        <v>165</v>
      </c>
      <c r="D6" s="12" t="s">
        <v>166</v>
      </c>
      <c r="E6" s="12" t="s">
        <v>164</v>
      </c>
      <c r="F6" s="12" t="s">
        <v>167</v>
      </c>
      <c r="G6" s="12" t="s">
        <v>412</v>
      </c>
      <c r="H6" s="13" t="s">
        <v>169</v>
      </c>
    </row>
    <row r="7" spans="1:8" x14ac:dyDescent="0.35">
      <c r="A7" t="s">
        <v>414</v>
      </c>
      <c r="B7" t="s">
        <v>753</v>
      </c>
      <c r="C7" s="1">
        <v>45445</v>
      </c>
      <c r="D7" s="2">
        <v>0.49027777777777781</v>
      </c>
      <c r="E7" t="s">
        <v>2</v>
      </c>
      <c r="F7" t="s">
        <v>3</v>
      </c>
      <c r="G7" s="3">
        <v>24.1</v>
      </c>
      <c r="H7" s="3">
        <v>3.61</v>
      </c>
    </row>
    <row r="8" spans="1:8" x14ac:dyDescent="0.35">
      <c r="A8" t="s">
        <v>414</v>
      </c>
      <c r="B8" t="s">
        <v>754</v>
      </c>
      <c r="C8" s="1">
        <v>45448</v>
      </c>
      <c r="D8" s="2">
        <v>0.45624999999999999</v>
      </c>
      <c r="E8" t="s">
        <v>180</v>
      </c>
      <c r="F8" t="s">
        <v>3</v>
      </c>
      <c r="G8" s="3">
        <v>5</v>
      </c>
      <c r="H8" s="3">
        <v>0.74</v>
      </c>
    </row>
    <row r="9" spans="1:8" x14ac:dyDescent="0.35">
      <c r="A9" t="s">
        <v>414</v>
      </c>
      <c r="B9" t="s">
        <v>755</v>
      </c>
      <c r="C9" s="1">
        <v>45453</v>
      </c>
      <c r="D9" s="2">
        <v>0.44097222222222227</v>
      </c>
      <c r="E9" t="s">
        <v>180</v>
      </c>
      <c r="F9" t="s">
        <v>3</v>
      </c>
      <c r="G9" s="3">
        <v>5.18</v>
      </c>
      <c r="H9" s="3">
        <v>0.78</v>
      </c>
    </row>
    <row r="10" spans="1:8" x14ac:dyDescent="0.35">
      <c r="A10" t="s">
        <v>414</v>
      </c>
      <c r="B10" t="s">
        <v>756</v>
      </c>
      <c r="C10" s="1">
        <v>45454</v>
      </c>
      <c r="D10" s="2">
        <v>0.56736111111111109</v>
      </c>
      <c r="E10" t="s">
        <v>180</v>
      </c>
      <c r="F10" t="s">
        <v>3</v>
      </c>
      <c r="G10" s="3">
        <v>5.18</v>
      </c>
      <c r="H10" s="3">
        <v>0.78</v>
      </c>
    </row>
    <row r="11" spans="1:8" x14ac:dyDescent="0.35">
      <c r="A11" t="s">
        <v>414</v>
      </c>
      <c r="B11" t="s">
        <v>757</v>
      </c>
      <c r="C11" s="1">
        <v>45456</v>
      </c>
      <c r="D11" s="2">
        <v>0.33958333333333335</v>
      </c>
      <c r="E11" t="s">
        <v>180</v>
      </c>
      <c r="F11" t="s">
        <v>3</v>
      </c>
      <c r="G11" s="3">
        <v>5.18</v>
      </c>
      <c r="H11" s="3">
        <v>0.78</v>
      </c>
    </row>
    <row r="12" spans="1:8" x14ac:dyDescent="0.35">
      <c r="A12" t="s">
        <v>414</v>
      </c>
      <c r="B12" t="s">
        <v>758</v>
      </c>
      <c r="C12" s="1">
        <v>45457</v>
      </c>
      <c r="D12" s="2">
        <v>0.34513888888888888</v>
      </c>
      <c r="E12" t="s">
        <v>180</v>
      </c>
      <c r="F12" t="s">
        <v>3</v>
      </c>
      <c r="G12" s="3">
        <v>5.18</v>
      </c>
      <c r="H12" s="3">
        <v>0.78</v>
      </c>
    </row>
    <row r="13" spans="1:8" x14ac:dyDescent="0.35">
      <c r="A13" t="s">
        <v>414</v>
      </c>
      <c r="B13" t="s">
        <v>759</v>
      </c>
      <c r="C13" s="1">
        <v>45457</v>
      </c>
      <c r="D13" s="2">
        <v>0.67569444444444438</v>
      </c>
      <c r="E13" t="s">
        <v>2</v>
      </c>
      <c r="F13" t="s">
        <v>3</v>
      </c>
      <c r="G13" s="3">
        <v>22.85</v>
      </c>
      <c r="H13" s="3">
        <v>3.42</v>
      </c>
    </row>
    <row r="14" spans="1:8" x14ac:dyDescent="0.35">
      <c r="A14" t="s">
        <v>414</v>
      </c>
      <c r="B14" t="s">
        <v>760</v>
      </c>
      <c r="C14" s="1">
        <v>45459</v>
      </c>
      <c r="D14" s="2">
        <v>6.8749999999999992E-2</v>
      </c>
      <c r="E14" t="s">
        <v>2</v>
      </c>
      <c r="F14" t="s">
        <v>3</v>
      </c>
      <c r="G14" s="3">
        <v>19.690000000000001</v>
      </c>
      <c r="H14" s="3">
        <v>2.95</v>
      </c>
    </row>
    <row r="15" spans="1:8" x14ac:dyDescent="0.35">
      <c r="A15" t="s">
        <v>414</v>
      </c>
      <c r="B15" t="s">
        <v>761</v>
      </c>
      <c r="C15" s="1">
        <v>45460</v>
      </c>
      <c r="D15" s="2">
        <v>0.49444444444444446</v>
      </c>
      <c r="E15" t="s">
        <v>180</v>
      </c>
      <c r="F15" t="s">
        <v>3</v>
      </c>
      <c r="G15" s="3">
        <v>5.18</v>
      </c>
      <c r="H15" s="3">
        <v>0.78</v>
      </c>
    </row>
    <row r="16" spans="1:8" x14ac:dyDescent="0.35">
      <c r="A16" t="s">
        <v>414</v>
      </c>
      <c r="B16" t="s">
        <v>762</v>
      </c>
      <c r="C16" s="1">
        <v>45464</v>
      </c>
      <c r="D16" s="2">
        <v>0.35486111111111113</v>
      </c>
      <c r="E16" t="s">
        <v>180</v>
      </c>
      <c r="F16" t="s">
        <v>3</v>
      </c>
      <c r="G16" s="3">
        <v>5.18</v>
      </c>
      <c r="H16" s="3">
        <v>0.78</v>
      </c>
    </row>
    <row r="17" spans="1:8" x14ac:dyDescent="0.35">
      <c r="A17" t="s">
        <v>414</v>
      </c>
      <c r="B17" t="s">
        <v>763</v>
      </c>
      <c r="C17" s="1">
        <v>45464</v>
      </c>
      <c r="D17" s="2">
        <v>0.95833333333333337</v>
      </c>
      <c r="E17" t="s">
        <v>2</v>
      </c>
      <c r="F17" t="s">
        <v>3</v>
      </c>
      <c r="G17" s="3">
        <v>15.97</v>
      </c>
      <c r="H17" s="3">
        <v>2.39</v>
      </c>
    </row>
    <row r="18" spans="1:8" x14ac:dyDescent="0.35">
      <c r="A18" t="s">
        <v>414</v>
      </c>
      <c r="B18" t="s">
        <v>764</v>
      </c>
      <c r="C18" s="1">
        <v>45465</v>
      </c>
      <c r="D18" s="2">
        <v>0.11527777777777777</v>
      </c>
      <c r="E18" t="s">
        <v>2</v>
      </c>
      <c r="F18" t="s">
        <v>3</v>
      </c>
      <c r="G18" s="3">
        <v>12.99</v>
      </c>
      <c r="H18" s="3">
        <v>1.95</v>
      </c>
    </row>
    <row r="19" spans="1:8" x14ac:dyDescent="0.35">
      <c r="A19" t="s">
        <v>414</v>
      </c>
      <c r="B19" t="s">
        <v>765</v>
      </c>
      <c r="C19" s="1">
        <v>45465</v>
      </c>
      <c r="D19" s="2">
        <v>0.25</v>
      </c>
      <c r="E19" t="s">
        <v>2</v>
      </c>
      <c r="F19" t="s">
        <v>3</v>
      </c>
      <c r="G19" s="3">
        <v>16.239999999999998</v>
      </c>
      <c r="H19" s="3">
        <v>2.4300000000000002</v>
      </c>
    </row>
    <row r="20" spans="1:8" x14ac:dyDescent="0.35">
      <c r="A20" t="s">
        <v>414</v>
      </c>
      <c r="B20" t="s">
        <v>766</v>
      </c>
      <c r="C20" s="1">
        <v>45465</v>
      </c>
      <c r="D20" s="2">
        <v>0.71597222222222223</v>
      </c>
      <c r="E20" t="s">
        <v>2</v>
      </c>
      <c r="F20" t="s">
        <v>3</v>
      </c>
      <c r="G20" s="3">
        <v>92.31</v>
      </c>
      <c r="H20" s="3">
        <v>13.82</v>
      </c>
    </row>
    <row r="21" spans="1:8" x14ac:dyDescent="0.35">
      <c r="A21" t="s">
        <v>414</v>
      </c>
      <c r="B21" t="s">
        <v>767</v>
      </c>
      <c r="C21" s="1">
        <v>45467</v>
      </c>
      <c r="D21" s="2">
        <v>0.14861111111111111</v>
      </c>
      <c r="E21" t="s">
        <v>2</v>
      </c>
      <c r="F21" t="s">
        <v>3</v>
      </c>
      <c r="G21" s="3">
        <v>21.79</v>
      </c>
      <c r="H21" s="3">
        <v>3.26</v>
      </c>
    </row>
    <row r="22" spans="1:8" x14ac:dyDescent="0.35">
      <c r="A22" s="16" t="s">
        <v>414</v>
      </c>
      <c r="B22" s="16" t="s">
        <v>768</v>
      </c>
      <c r="C22" s="17">
        <v>45469</v>
      </c>
      <c r="D22" s="18">
        <v>0.3888888888888889</v>
      </c>
      <c r="E22" s="16" t="s">
        <v>180</v>
      </c>
      <c r="F22" s="16" t="s">
        <v>3</v>
      </c>
      <c r="G22" s="19">
        <v>5.18</v>
      </c>
      <c r="H22" s="19">
        <v>0.78</v>
      </c>
    </row>
    <row r="23" spans="1:8" ht="15" x14ac:dyDescent="0.25">
      <c r="A23" t="s">
        <v>2227</v>
      </c>
      <c r="G23" s="9">
        <f>SUM(G7:G22)</f>
        <v>267.20000000000005</v>
      </c>
      <c r="H23" s="9">
        <f>SUM(H7:H22)</f>
        <v>40.029999999999994</v>
      </c>
    </row>
    <row r="25" spans="1:8" ht="15.75" thickBot="1" x14ac:dyDescent="0.3"/>
    <row r="26" spans="1:8" ht="15.75" thickBot="1" x14ac:dyDescent="0.3">
      <c r="A26" s="11" t="s">
        <v>411</v>
      </c>
      <c r="B26" s="12" t="s">
        <v>163</v>
      </c>
      <c r="C26" s="12" t="s">
        <v>165</v>
      </c>
      <c r="D26" s="12" t="s">
        <v>166</v>
      </c>
      <c r="E26" s="12" t="s">
        <v>164</v>
      </c>
      <c r="F26" s="12" t="s">
        <v>167</v>
      </c>
      <c r="G26" s="12" t="s">
        <v>412</v>
      </c>
      <c r="H26" s="13" t="s">
        <v>169</v>
      </c>
    </row>
    <row r="27" spans="1:8" x14ac:dyDescent="0.35">
      <c r="A27" t="s">
        <v>173</v>
      </c>
      <c r="B27" t="s">
        <v>769</v>
      </c>
      <c r="C27" s="1">
        <v>45445</v>
      </c>
      <c r="D27" s="2">
        <v>0.46666666666666662</v>
      </c>
      <c r="E27" t="s">
        <v>2</v>
      </c>
      <c r="F27" t="s">
        <v>3</v>
      </c>
      <c r="G27" s="3">
        <v>17.809999999999999</v>
      </c>
      <c r="H27" s="3">
        <v>2.67</v>
      </c>
    </row>
    <row r="28" spans="1:8" x14ac:dyDescent="0.35">
      <c r="A28" t="s">
        <v>173</v>
      </c>
      <c r="B28" t="s">
        <v>770</v>
      </c>
      <c r="C28" s="1">
        <v>45447</v>
      </c>
      <c r="D28" s="2">
        <v>0.18958333333333333</v>
      </c>
      <c r="E28" t="s">
        <v>2</v>
      </c>
      <c r="F28" t="s">
        <v>3</v>
      </c>
      <c r="G28" s="3">
        <v>37.69</v>
      </c>
      <c r="H28" s="3">
        <v>5.64</v>
      </c>
    </row>
    <row r="29" spans="1:8" x14ac:dyDescent="0.35">
      <c r="A29" t="s">
        <v>173</v>
      </c>
      <c r="B29" t="s">
        <v>771</v>
      </c>
      <c r="C29" s="1">
        <v>45447</v>
      </c>
      <c r="D29" s="2">
        <v>0.24861111111111112</v>
      </c>
      <c r="E29" t="s">
        <v>2</v>
      </c>
      <c r="F29" t="s">
        <v>3</v>
      </c>
      <c r="G29" s="3">
        <v>24.52</v>
      </c>
      <c r="H29" s="3">
        <v>3.67</v>
      </c>
    </row>
    <row r="30" spans="1:8" x14ac:dyDescent="0.35">
      <c r="A30" t="s">
        <v>173</v>
      </c>
      <c r="B30" t="s">
        <v>772</v>
      </c>
      <c r="C30" s="1">
        <v>45450</v>
      </c>
      <c r="D30" s="2">
        <v>0.75555555555555554</v>
      </c>
      <c r="E30" t="s">
        <v>2</v>
      </c>
      <c r="F30" t="s">
        <v>3</v>
      </c>
      <c r="G30" s="3">
        <v>18.059999999999999</v>
      </c>
      <c r="H30" s="3">
        <v>2.7</v>
      </c>
    </row>
    <row r="31" spans="1:8" x14ac:dyDescent="0.35">
      <c r="A31" t="s">
        <v>173</v>
      </c>
      <c r="B31" t="s">
        <v>773</v>
      </c>
      <c r="C31" s="1">
        <v>45454</v>
      </c>
      <c r="D31" s="2">
        <v>0.98819444444444438</v>
      </c>
      <c r="E31" t="s">
        <v>2</v>
      </c>
      <c r="F31" t="s">
        <v>3</v>
      </c>
      <c r="G31" s="3">
        <v>17.809999999999999</v>
      </c>
      <c r="H31" s="3">
        <v>2.67</v>
      </c>
    </row>
    <row r="32" spans="1:8" x14ac:dyDescent="0.35">
      <c r="A32" t="s">
        <v>173</v>
      </c>
      <c r="B32" t="s">
        <v>774</v>
      </c>
      <c r="C32" s="1">
        <v>45455</v>
      </c>
      <c r="D32" s="2">
        <v>0.66319444444444442</v>
      </c>
      <c r="E32" t="s">
        <v>2</v>
      </c>
      <c r="F32" t="s">
        <v>3</v>
      </c>
      <c r="G32" s="3">
        <v>33.520000000000003</v>
      </c>
      <c r="H32" s="3">
        <v>5.0199999999999996</v>
      </c>
    </row>
    <row r="33" spans="1:8" x14ac:dyDescent="0.35">
      <c r="A33" t="s">
        <v>173</v>
      </c>
      <c r="B33" t="s">
        <v>775</v>
      </c>
      <c r="C33" s="1">
        <v>45458</v>
      </c>
      <c r="D33" s="2">
        <v>0.63055555555555554</v>
      </c>
      <c r="E33" t="s">
        <v>2</v>
      </c>
      <c r="F33" t="s">
        <v>3</v>
      </c>
      <c r="G33" s="3">
        <v>17.809999999999999</v>
      </c>
      <c r="H33" s="3">
        <v>2.67</v>
      </c>
    </row>
    <row r="34" spans="1:8" x14ac:dyDescent="0.35">
      <c r="A34" t="s">
        <v>173</v>
      </c>
      <c r="B34" t="s">
        <v>776</v>
      </c>
      <c r="C34" s="1">
        <v>45464</v>
      </c>
      <c r="D34" s="2">
        <v>5.1388888888888894E-2</v>
      </c>
      <c r="E34" t="s">
        <v>2</v>
      </c>
      <c r="F34" t="s">
        <v>3</v>
      </c>
      <c r="G34" s="3">
        <v>17.809999999999999</v>
      </c>
      <c r="H34" s="3">
        <v>2.67</v>
      </c>
    </row>
    <row r="35" spans="1:8" x14ac:dyDescent="0.35">
      <c r="A35" t="s">
        <v>173</v>
      </c>
      <c r="B35" t="s">
        <v>777</v>
      </c>
      <c r="C35" s="1">
        <v>45464</v>
      </c>
      <c r="D35" s="2">
        <v>0.99513888888888891</v>
      </c>
      <c r="E35" t="s">
        <v>2</v>
      </c>
      <c r="F35" t="s">
        <v>3</v>
      </c>
      <c r="G35" s="3">
        <v>21.26</v>
      </c>
      <c r="H35" s="3">
        <v>3.18</v>
      </c>
    </row>
    <row r="36" spans="1:8" x14ac:dyDescent="0.35">
      <c r="A36" t="s">
        <v>173</v>
      </c>
      <c r="B36" t="s">
        <v>778</v>
      </c>
      <c r="C36" s="1">
        <v>45469</v>
      </c>
      <c r="D36" s="2">
        <v>9.6527777777777768E-2</v>
      </c>
      <c r="E36" t="s">
        <v>2</v>
      </c>
      <c r="F36" t="s">
        <v>3</v>
      </c>
      <c r="G36" s="3">
        <v>17.809999999999999</v>
      </c>
      <c r="H36" s="3">
        <v>2.67</v>
      </c>
    </row>
    <row r="37" spans="1:8" x14ac:dyDescent="0.35">
      <c r="A37" t="s">
        <v>173</v>
      </c>
      <c r="B37" t="s">
        <v>779</v>
      </c>
      <c r="C37" s="1">
        <v>45469</v>
      </c>
      <c r="D37" s="2">
        <v>0.96805555555555556</v>
      </c>
      <c r="E37" t="s">
        <v>2</v>
      </c>
      <c r="F37" t="s">
        <v>3</v>
      </c>
      <c r="G37" s="3">
        <v>17.809999999999999</v>
      </c>
      <c r="H37" s="3">
        <v>2.67</v>
      </c>
    </row>
    <row r="38" spans="1:8" x14ac:dyDescent="0.35">
      <c r="A38" t="s">
        <v>173</v>
      </c>
      <c r="B38" t="s">
        <v>780</v>
      </c>
      <c r="C38" s="1">
        <v>45470</v>
      </c>
      <c r="D38" s="2">
        <v>3.9583333333333331E-2</v>
      </c>
      <c r="E38" t="s">
        <v>2</v>
      </c>
      <c r="F38" t="s">
        <v>3</v>
      </c>
      <c r="G38" s="3">
        <v>17.809999999999999</v>
      </c>
      <c r="H38" s="3">
        <v>2.67</v>
      </c>
    </row>
    <row r="39" spans="1:8" x14ac:dyDescent="0.35">
      <c r="A39" t="s">
        <v>173</v>
      </c>
      <c r="B39" t="s">
        <v>781</v>
      </c>
      <c r="C39" s="1">
        <v>45470</v>
      </c>
      <c r="D39" s="2">
        <v>0.23055555555555554</v>
      </c>
      <c r="E39" t="s">
        <v>2</v>
      </c>
      <c r="F39" t="s">
        <v>58</v>
      </c>
      <c r="G39" s="3">
        <v>41.58</v>
      </c>
      <c r="H39" s="3">
        <v>6.23</v>
      </c>
    </row>
    <row r="40" spans="1:8" x14ac:dyDescent="0.35">
      <c r="A40" t="s">
        <v>173</v>
      </c>
      <c r="B40" t="s">
        <v>782</v>
      </c>
      <c r="C40" s="1">
        <v>45470</v>
      </c>
      <c r="D40" s="2">
        <v>0.44166666666666665</v>
      </c>
      <c r="E40" t="s">
        <v>2</v>
      </c>
      <c r="F40" t="s">
        <v>3</v>
      </c>
      <c r="G40" s="3">
        <v>115.68</v>
      </c>
      <c r="H40" s="3">
        <v>17.32</v>
      </c>
    </row>
    <row r="41" spans="1:8" x14ac:dyDescent="0.35">
      <c r="A41" t="s">
        <v>173</v>
      </c>
      <c r="B41" t="s">
        <v>783</v>
      </c>
      <c r="C41" s="1">
        <v>45471</v>
      </c>
      <c r="D41" s="2">
        <v>0.41250000000000003</v>
      </c>
      <c r="E41" t="s">
        <v>2</v>
      </c>
      <c r="F41" t="s">
        <v>3</v>
      </c>
      <c r="G41" s="3">
        <v>46.76</v>
      </c>
      <c r="H41" s="3">
        <v>7</v>
      </c>
    </row>
    <row r="42" spans="1:8" x14ac:dyDescent="0.35">
      <c r="A42" s="16" t="s">
        <v>173</v>
      </c>
      <c r="B42" s="16" t="s">
        <v>784</v>
      </c>
      <c r="C42" s="17">
        <v>45472</v>
      </c>
      <c r="D42" s="18">
        <v>0.36388888888888887</v>
      </c>
      <c r="E42" s="16" t="s">
        <v>2</v>
      </c>
      <c r="F42" s="16" t="s">
        <v>3</v>
      </c>
      <c r="G42" s="19">
        <v>32.1</v>
      </c>
      <c r="H42" s="19">
        <v>4.8099999999999996</v>
      </c>
    </row>
    <row r="43" spans="1:8" ht="15" x14ac:dyDescent="0.25">
      <c r="A43" t="s">
        <v>2227</v>
      </c>
      <c r="G43" s="3">
        <f>SUM(G27:G42)</f>
        <v>495.84</v>
      </c>
      <c r="H43" s="3">
        <f>SUM(H27:H42)</f>
        <v>74.260000000000019</v>
      </c>
    </row>
    <row r="45" spans="1:8" ht="15.75" thickBot="1" x14ac:dyDescent="0.3"/>
    <row r="46" spans="1:8" ht="15.75" thickBot="1" x14ac:dyDescent="0.3">
      <c r="A46" s="11" t="s">
        <v>411</v>
      </c>
      <c r="B46" s="12" t="s">
        <v>163</v>
      </c>
      <c r="C46" s="12" t="s">
        <v>165</v>
      </c>
      <c r="D46" s="12" t="s">
        <v>166</v>
      </c>
      <c r="E46" s="12" t="s">
        <v>164</v>
      </c>
      <c r="F46" s="12" t="s">
        <v>167</v>
      </c>
      <c r="G46" s="12" t="s">
        <v>412</v>
      </c>
      <c r="H46" s="13" t="s">
        <v>169</v>
      </c>
    </row>
    <row r="47" spans="1:8" x14ac:dyDescent="0.35">
      <c r="A47" t="s">
        <v>0</v>
      </c>
      <c r="B47" t="s">
        <v>785</v>
      </c>
      <c r="C47" s="1">
        <v>45444</v>
      </c>
      <c r="D47" s="2">
        <v>8.6805555555555566E-2</v>
      </c>
      <c r="E47" t="s">
        <v>2</v>
      </c>
      <c r="F47" t="s">
        <v>3</v>
      </c>
      <c r="G47" s="3">
        <v>27.61</v>
      </c>
      <c r="H47" s="3">
        <v>4.13</v>
      </c>
    </row>
    <row r="48" spans="1:8" x14ac:dyDescent="0.35">
      <c r="A48" t="s">
        <v>0</v>
      </c>
      <c r="B48" t="s">
        <v>786</v>
      </c>
      <c r="C48" s="1">
        <v>45444</v>
      </c>
      <c r="D48" s="2">
        <v>0.24791666666666667</v>
      </c>
      <c r="E48" t="s">
        <v>2</v>
      </c>
      <c r="F48" t="s">
        <v>3</v>
      </c>
      <c r="G48" s="3">
        <v>35.1</v>
      </c>
      <c r="H48" s="3">
        <v>5.26</v>
      </c>
    </row>
    <row r="49" spans="1:8" x14ac:dyDescent="0.35">
      <c r="A49" t="s">
        <v>0</v>
      </c>
      <c r="B49" t="s">
        <v>787</v>
      </c>
      <c r="C49" s="1">
        <v>45445</v>
      </c>
      <c r="D49" s="2">
        <v>0.18263888888888891</v>
      </c>
      <c r="E49" t="s">
        <v>2</v>
      </c>
      <c r="F49" t="s">
        <v>3</v>
      </c>
      <c r="G49" s="3">
        <v>35.99</v>
      </c>
      <c r="H49" s="3">
        <v>5.39</v>
      </c>
    </row>
    <row r="50" spans="1:8" x14ac:dyDescent="0.35">
      <c r="A50" t="s">
        <v>0</v>
      </c>
      <c r="B50" t="s">
        <v>788</v>
      </c>
      <c r="C50" s="1">
        <v>45445</v>
      </c>
      <c r="D50" s="2">
        <v>0.4597222222222222</v>
      </c>
      <c r="E50" t="s">
        <v>2</v>
      </c>
      <c r="F50" t="s">
        <v>3</v>
      </c>
      <c r="G50" s="3">
        <v>24.7</v>
      </c>
      <c r="H50" s="3">
        <v>3.7</v>
      </c>
    </row>
    <row r="51" spans="1:8" x14ac:dyDescent="0.35">
      <c r="A51" t="s">
        <v>0</v>
      </c>
      <c r="B51" t="s">
        <v>789</v>
      </c>
      <c r="C51" s="1">
        <v>45446</v>
      </c>
      <c r="D51" s="2">
        <v>2.1527777777777781E-2</v>
      </c>
      <c r="E51" t="s">
        <v>2</v>
      </c>
      <c r="F51" t="s">
        <v>3</v>
      </c>
      <c r="G51" s="3">
        <v>26.31</v>
      </c>
      <c r="H51" s="3">
        <v>3.94</v>
      </c>
    </row>
    <row r="52" spans="1:8" x14ac:dyDescent="0.35">
      <c r="A52" t="s">
        <v>0</v>
      </c>
      <c r="B52" t="s">
        <v>790</v>
      </c>
      <c r="C52" s="1">
        <v>45447</v>
      </c>
      <c r="D52" s="2">
        <v>4.8611111111111112E-3</v>
      </c>
      <c r="E52" t="s">
        <v>2</v>
      </c>
      <c r="F52" t="s">
        <v>3</v>
      </c>
      <c r="G52" s="3">
        <v>33.07</v>
      </c>
      <c r="H52" s="3">
        <v>4.95</v>
      </c>
    </row>
    <row r="53" spans="1:8" x14ac:dyDescent="0.35">
      <c r="A53" t="s">
        <v>0</v>
      </c>
      <c r="B53" t="s">
        <v>791</v>
      </c>
      <c r="C53" s="1">
        <v>45447</v>
      </c>
      <c r="D53" s="2">
        <v>0.18541666666666667</v>
      </c>
      <c r="E53" t="s">
        <v>180</v>
      </c>
      <c r="F53" t="s">
        <v>3</v>
      </c>
      <c r="G53" s="3">
        <v>0.5</v>
      </c>
      <c r="H53" s="3">
        <v>7.0000000000000007E-2</v>
      </c>
    </row>
    <row r="54" spans="1:8" x14ac:dyDescent="0.35">
      <c r="A54" t="s">
        <v>0</v>
      </c>
      <c r="B54" t="s">
        <v>792</v>
      </c>
      <c r="C54" s="1">
        <v>45447</v>
      </c>
      <c r="D54" s="2">
        <v>0.29305555555555557</v>
      </c>
      <c r="E54" t="s">
        <v>2</v>
      </c>
      <c r="F54" t="s">
        <v>3</v>
      </c>
      <c r="G54" s="3">
        <v>19.5</v>
      </c>
      <c r="H54" s="3">
        <v>2.92</v>
      </c>
    </row>
    <row r="55" spans="1:8" x14ac:dyDescent="0.35">
      <c r="A55" t="s">
        <v>0</v>
      </c>
      <c r="B55" t="s">
        <v>793</v>
      </c>
      <c r="C55" s="1">
        <v>45448</v>
      </c>
      <c r="D55" s="2">
        <v>0.1277777777777778</v>
      </c>
      <c r="E55" t="s">
        <v>2</v>
      </c>
      <c r="F55" t="s">
        <v>3</v>
      </c>
      <c r="G55" s="3">
        <v>28.91</v>
      </c>
      <c r="H55" s="3">
        <v>4.33</v>
      </c>
    </row>
    <row r="56" spans="1:8" x14ac:dyDescent="0.35">
      <c r="A56" t="s">
        <v>0</v>
      </c>
      <c r="B56" t="s">
        <v>794</v>
      </c>
      <c r="C56" s="1">
        <v>45448</v>
      </c>
      <c r="D56" s="2">
        <v>0.17152777777777775</v>
      </c>
      <c r="E56" t="s">
        <v>2</v>
      </c>
      <c r="F56" t="s">
        <v>3</v>
      </c>
      <c r="G56" s="3">
        <v>16.41</v>
      </c>
      <c r="H56" s="3">
        <v>2.46</v>
      </c>
    </row>
    <row r="57" spans="1:8" x14ac:dyDescent="0.35">
      <c r="A57" t="s">
        <v>0</v>
      </c>
      <c r="B57" t="s">
        <v>795</v>
      </c>
      <c r="C57" s="1">
        <v>45448</v>
      </c>
      <c r="D57" s="2">
        <v>0.42708333333333331</v>
      </c>
      <c r="E57" t="s">
        <v>2</v>
      </c>
      <c r="F57" t="s">
        <v>3</v>
      </c>
      <c r="G57" s="3">
        <v>154.74</v>
      </c>
      <c r="H57" s="3">
        <v>23.17</v>
      </c>
    </row>
    <row r="58" spans="1:8" x14ac:dyDescent="0.35">
      <c r="A58" t="s">
        <v>0</v>
      </c>
      <c r="B58" t="s">
        <v>796</v>
      </c>
      <c r="C58" s="1">
        <v>45449</v>
      </c>
      <c r="D58" s="2">
        <v>6.805555555555555E-2</v>
      </c>
      <c r="E58" t="s">
        <v>2</v>
      </c>
      <c r="F58" t="s">
        <v>3</v>
      </c>
      <c r="G58" s="3">
        <v>28.93</v>
      </c>
      <c r="H58" s="3">
        <v>4.33</v>
      </c>
    </row>
    <row r="59" spans="1:8" x14ac:dyDescent="0.35">
      <c r="A59" t="s">
        <v>0</v>
      </c>
      <c r="B59" t="s">
        <v>797</v>
      </c>
      <c r="C59" s="1">
        <v>45449</v>
      </c>
      <c r="D59" s="2">
        <v>0.13472222222222222</v>
      </c>
      <c r="E59" t="s">
        <v>2</v>
      </c>
      <c r="F59" t="s">
        <v>3</v>
      </c>
      <c r="G59" s="3">
        <v>24.7</v>
      </c>
      <c r="H59" s="3">
        <v>3.7</v>
      </c>
    </row>
    <row r="60" spans="1:8" x14ac:dyDescent="0.35">
      <c r="A60" t="s">
        <v>0</v>
      </c>
      <c r="B60" t="s">
        <v>798</v>
      </c>
      <c r="C60" s="1">
        <v>45450</v>
      </c>
      <c r="D60" s="2">
        <v>0.9868055555555556</v>
      </c>
      <c r="E60" t="s">
        <v>2</v>
      </c>
      <c r="F60" t="s">
        <v>3</v>
      </c>
      <c r="G60" s="3">
        <v>39.29</v>
      </c>
      <c r="H60" s="3">
        <v>5.88</v>
      </c>
    </row>
    <row r="61" spans="1:8" x14ac:dyDescent="0.35">
      <c r="A61" t="s">
        <v>0</v>
      </c>
      <c r="B61" t="s">
        <v>799</v>
      </c>
      <c r="C61" s="1">
        <v>45456</v>
      </c>
      <c r="D61" s="2">
        <v>8.1944444444444445E-2</v>
      </c>
      <c r="E61" t="s">
        <v>2</v>
      </c>
      <c r="F61" t="s">
        <v>3</v>
      </c>
      <c r="G61" s="3">
        <v>20.8</v>
      </c>
      <c r="H61" s="3">
        <v>3.11</v>
      </c>
    </row>
    <row r="62" spans="1:8" x14ac:dyDescent="0.35">
      <c r="A62" t="s">
        <v>0</v>
      </c>
      <c r="B62" t="s">
        <v>800</v>
      </c>
      <c r="C62" s="1">
        <v>45458</v>
      </c>
      <c r="D62" s="2">
        <v>0.58263888888888882</v>
      </c>
      <c r="E62" t="s">
        <v>180</v>
      </c>
      <c r="F62" t="s">
        <v>3</v>
      </c>
      <c r="G62" s="3">
        <v>24.15</v>
      </c>
      <c r="H62" s="3">
        <v>3.62</v>
      </c>
    </row>
    <row r="63" spans="1:8" x14ac:dyDescent="0.35">
      <c r="A63" t="s">
        <v>0</v>
      </c>
      <c r="B63" t="s">
        <v>801</v>
      </c>
      <c r="C63" s="1">
        <v>45460</v>
      </c>
      <c r="D63" s="2">
        <v>0.17500000000000002</v>
      </c>
      <c r="E63" t="s">
        <v>2</v>
      </c>
      <c r="F63" t="s">
        <v>3</v>
      </c>
      <c r="G63" s="3">
        <v>20.85</v>
      </c>
      <c r="H63" s="3">
        <v>3.12</v>
      </c>
    </row>
    <row r="64" spans="1:8" x14ac:dyDescent="0.35">
      <c r="A64" t="s">
        <v>0</v>
      </c>
      <c r="B64" t="s">
        <v>802</v>
      </c>
      <c r="C64" s="1">
        <v>45460</v>
      </c>
      <c r="D64" s="2">
        <v>0.23541666666666669</v>
      </c>
      <c r="E64" t="s">
        <v>180</v>
      </c>
      <c r="F64" t="s">
        <v>3</v>
      </c>
      <c r="G64" s="3">
        <v>19.55</v>
      </c>
      <c r="H64" s="3">
        <v>2.93</v>
      </c>
    </row>
    <row r="65" spans="1:8" x14ac:dyDescent="0.35">
      <c r="A65" t="s">
        <v>0</v>
      </c>
      <c r="B65" t="s">
        <v>803</v>
      </c>
      <c r="C65" s="1">
        <v>45461</v>
      </c>
      <c r="D65" s="2">
        <v>0.39374999999999999</v>
      </c>
      <c r="E65" t="s">
        <v>2</v>
      </c>
      <c r="F65" t="s">
        <v>3</v>
      </c>
      <c r="G65" s="3">
        <v>34.15</v>
      </c>
      <c r="H65" s="3">
        <v>5.1100000000000003</v>
      </c>
    </row>
    <row r="66" spans="1:8" x14ac:dyDescent="0.35">
      <c r="A66" t="s">
        <v>0</v>
      </c>
      <c r="B66" t="s">
        <v>804</v>
      </c>
      <c r="C66" s="1">
        <v>45461</v>
      </c>
      <c r="D66" s="2">
        <v>0.39583333333333331</v>
      </c>
      <c r="E66" t="s">
        <v>2</v>
      </c>
      <c r="F66" t="s">
        <v>3</v>
      </c>
      <c r="G66" s="3">
        <v>25.05</v>
      </c>
      <c r="H66" s="3">
        <v>3.75</v>
      </c>
    </row>
    <row r="67" spans="1:8" x14ac:dyDescent="0.35">
      <c r="A67" t="s">
        <v>0</v>
      </c>
      <c r="B67" t="s">
        <v>805</v>
      </c>
      <c r="C67" s="1">
        <v>45462</v>
      </c>
      <c r="D67" s="2">
        <v>0.21388888888888891</v>
      </c>
      <c r="E67" t="s">
        <v>2</v>
      </c>
      <c r="F67" t="s">
        <v>3</v>
      </c>
      <c r="G67" s="3">
        <v>20.8</v>
      </c>
      <c r="H67" s="3">
        <v>3.11</v>
      </c>
    </row>
    <row r="68" spans="1:8" x14ac:dyDescent="0.35">
      <c r="A68" t="s">
        <v>0</v>
      </c>
      <c r="B68" t="s">
        <v>806</v>
      </c>
      <c r="C68" s="1">
        <v>45463</v>
      </c>
      <c r="D68" s="2">
        <v>7.9166666666666663E-2</v>
      </c>
      <c r="E68" t="s">
        <v>2</v>
      </c>
      <c r="F68" t="s">
        <v>3</v>
      </c>
      <c r="G68" s="3">
        <v>25.05</v>
      </c>
      <c r="H68" s="3">
        <v>3.75</v>
      </c>
    </row>
    <row r="69" spans="1:8" x14ac:dyDescent="0.35">
      <c r="A69" t="s">
        <v>0</v>
      </c>
      <c r="B69" t="s">
        <v>807</v>
      </c>
      <c r="C69" s="1">
        <v>45463</v>
      </c>
      <c r="D69" s="2">
        <v>0.45416666666666666</v>
      </c>
      <c r="E69" t="s">
        <v>2</v>
      </c>
      <c r="F69" t="s">
        <v>3</v>
      </c>
      <c r="G69" s="3">
        <v>44.2</v>
      </c>
      <c r="H69" s="3">
        <v>6.62</v>
      </c>
    </row>
    <row r="70" spans="1:8" x14ac:dyDescent="0.35">
      <c r="A70" t="s">
        <v>0</v>
      </c>
      <c r="B70" t="s">
        <v>808</v>
      </c>
      <c r="C70" s="1">
        <v>45463</v>
      </c>
      <c r="D70" s="2">
        <v>0.87152777777777779</v>
      </c>
      <c r="E70" t="s">
        <v>2</v>
      </c>
      <c r="F70" t="s">
        <v>3</v>
      </c>
      <c r="G70" s="3">
        <v>34.03</v>
      </c>
      <c r="H70" s="3">
        <v>5.0999999999999996</v>
      </c>
    </row>
    <row r="71" spans="1:8" x14ac:dyDescent="0.35">
      <c r="A71" t="s">
        <v>0</v>
      </c>
      <c r="B71" t="s">
        <v>809</v>
      </c>
      <c r="C71" s="1">
        <v>45464</v>
      </c>
      <c r="D71" s="2">
        <v>0.76180555555555562</v>
      </c>
      <c r="E71" t="s">
        <v>2</v>
      </c>
      <c r="F71" t="s">
        <v>3</v>
      </c>
      <c r="G71" s="3">
        <v>19.5</v>
      </c>
      <c r="H71" s="3">
        <v>2.92</v>
      </c>
    </row>
    <row r="72" spans="1:8" x14ac:dyDescent="0.35">
      <c r="A72" t="s">
        <v>0</v>
      </c>
      <c r="B72" t="s">
        <v>810</v>
      </c>
      <c r="C72" s="1">
        <v>45468</v>
      </c>
      <c r="D72" s="2">
        <v>8.7500000000000008E-2</v>
      </c>
      <c r="E72" t="s">
        <v>2</v>
      </c>
      <c r="F72" t="s">
        <v>3</v>
      </c>
      <c r="G72" s="3">
        <v>22.1</v>
      </c>
      <c r="H72" s="3">
        <v>3.31</v>
      </c>
    </row>
    <row r="73" spans="1:8" x14ac:dyDescent="0.35">
      <c r="A73" t="s">
        <v>0</v>
      </c>
      <c r="B73" t="s">
        <v>811</v>
      </c>
      <c r="C73" s="1">
        <v>45468</v>
      </c>
      <c r="D73" s="2">
        <v>9.8611111111111108E-2</v>
      </c>
      <c r="E73" t="s">
        <v>2</v>
      </c>
      <c r="F73" t="s">
        <v>3</v>
      </c>
      <c r="G73" s="3">
        <v>22.1</v>
      </c>
      <c r="H73" s="3">
        <v>3.31</v>
      </c>
    </row>
    <row r="74" spans="1:8" x14ac:dyDescent="0.35">
      <c r="A74" t="s">
        <v>0</v>
      </c>
      <c r="B74" t="s">
        <v>812</v>
      </c>
      <c r="C74" s="1">
        <v>45469</v>
      </c>
      <c r="D74" s="2">
        <v>6.9444444444444447E-4</v>
      </c>
      <c r="E74" t="s">
        <v>2</v>
      </c>
      <c r="F74" t="s">
        <v>3</v>
      </c>
      <c r="G74" s="3">
        <v>8.76</v>
      </c>
      <c r="H74" s="3">
        <v>1.31</v>
      </c>
    </row>
    <row r="75" spans="1:8" x14ac:dyDescent="0.35">
      <c r="A75" t="s">
        <v>0</v>
      </c>
      <c r="B75" t="s">
        <v>813</v>
      </c>
      <c r="C75" s="1">
        <v>45468</v>
      </c>
      <c r="D75" s="2">
        <v>0.99513888888888891</v>
      </c>
      <c r="E75" t="s">
        <v>2</v>
      </c>
      <c r="F75" t="s">
        <v>3</v>
      </c>
      <c r="G75" s="3">
        <v>19.5</v>
      </c>
      <c r="H75" s="3">
        <v>2.92</v>
      </c>
    </row>
    <row r="76" spans="1:8" x14ac:dyDescent="0.35">
      <c r="A76" t="s">
        <v>0</v>
      </c>
      <c r="B76" t="s">
        <v>814</v>
      </c>
      <c r="C76" s="1">
        <v>45469</v>
      </c>
      <c r="D76" s="2">
        <v>0.7909722222222223</v>
      </c>
      <c r="E76" t="s">
        <v>2</v>
      </c>
      <c r="F76" t="s">
        <v>3</v>
      </c>
      <c r="G76" s="3">
        <v>32.5</v>
      </c>
      <c r="H76" s="3">
        <v>4.87</v>
      </c>
    </row>
    <row r="77" spans="1:8" x14ac:dyDescent="0.35">
      <c r="A77" t="s">
        <v>0</v>
      </c>
      <c r="B77" t="s">
        <v>815</v>
      </c>
      <c r="C77" s="1">
        <v>45470</v>
      </c>
      <c r="D77" s="2">
        <v>3.0555555555555555E-2</v>
      </c>
      <c r="E77" t="s">
        <v>2</v>
      </c>
      <c r="F77" t="s">
        <v>3</v>
      </c>
      <c r="G77" s="3">
        <v>24.7</v>
      </c>
      <c r="H77" s="3">
        <v>3.7</v>
      </c>
    </row>
    <row r="78" spans="1:8" x14ac:dyDescent="0.35">
      <c r="A78" t="s">
        <v>0</v>
      </c>
      <c r="B78" t="s">
        <v>816</v>
      </c>
      <c r="C78" s="1">
        <v>45470</v>
      </c>
      <c r="D78" s="2">
        <v>0.10069444444444443</v>
      </c>
      <c r="E78" t="s">
        <v>2</v>
      </c>
      <c r="F78" t="s">
        <v>3</v>
      </c>
      <c r="G78" s="3">
        <v>22.95</v>
      </c>
      <c r="H78" s="3">
        <v>3.44</v>
      </c>
    </row>
    <row r="79" spans="1:8" x14ac:dyDescent="0.35">
      <c r="A79" t="s">
        <v>0</v>
      </c>
      <c r="B79" t="s">
        <v>817</v>
      </c>
      <c r="C79" s="1">
        <v>45473</v>
      </c>
      <c r="D79" s="2">
        <v>0.27083333333333331</v>
      </c>
      <c r="E79" t="s">
        <v>2</v>
      </c>
      <c r="F79" t="s">
        <v>3</v>
      </c>
      <c r="G79" s="3">
        <v>70.19</v>
      </c>
      <c r="H79" s="3">
        <v>10.51</v>
      </c>
    </row>
    <row r="80" spans="1:8" x14ac:dyDescent="0.35">
      <c r="A80" t="s">
        <v>0</v>
      </c>
      <c r="B80" t="s">
        <v>818</v>
      </c>
      <c r="C80" s="1">
        <v>45473</v>
      </c>
      <c r="D80" s="2">
        <v>0.62291666666666667</v>
      </c>
      <c r="E80" t="s">
        <v>2</v>
      </c>
      <c r="F80" t="s">
        <v>3</v>
      </c>
      <c r="G80" s="3">
        <v>22.1</v>
      </c>
      <c r="H80" s="3">
        <v>3.31</v>
      </c>
    </row>
    <row r="81" spans="1:8" x14ac:dyDescent="0.35">
      <c r="A81" s="16" t="s">
        <v>0</v>
      </c>
      <c r="B81" s="16" t="s">
        <v>819</v>
      </c>
      <c r="C81" s="17">
        <v>45473</v>
      </c>
      <c r="D81" s="18">
        <v>0.8847222222222223</v>
      </c>
      <c r="E81" s="16" t="s">
        <v>180</v>
      </c>
      <c r="F81" s="16" t="s">
        <v>3</v>
      </c>
      <c r="G81" s="19">
        <v>116</v>
      </c>
      <c r="H81" s="19">
        <v>17.37</v>
      </c>
    </row>
    <row r="82" spans="1:8" ht="15" x14ac:dyDescent="0.25">
      <c r="A82" t="s">
        <v>2227</v>
      </c>
      <c r="G82" s="9">
        <f>SUM(G47:G81)</f>
        <v>1144.79</v>
      </c>
      <c r="H82" s="9">
        <f>SUM(H47:H81)</f>
        <v>171.42000000000002</v>
      </c>
    </row>
    <row r="84" spans="1:8" ht="15.75" thickBot="1" x14ac:dyDescent="0.3"/>
    <row r="85" spans="1:8" ht="15.75" thickBot="1" x14ac:dyDescent="0.3">
      <c r="A85" s="11" t="s">
        <v>411</v>
      </c>
      <c r="B85" s="12" t="s">
        <v>163</v>
      </c>
      <c r="C85" s="12" t="s">
        <v>165</v>
      </c>
      <c r="D85" s="12" t="s">
        <v>166</v>
      </c>
      <c r="E85" s="12" t="s">
        <v>164</v>
      </c>
      <c r="F85" s="12" t="s">
        <v>167</v>
      </c>
      <c r="G85" s="12" t="s">
        <v>412</v>
      </c>
      <c r="H85" s="13" t="s">
        <v>169</v>
      </c>
    </row>
    <row r="86" spans="1:8" ht="15" x14ac:dyDescent="0.25">
      <c r="A86" t="s">
        <v>496</v>
      </c>
      <c r="B86" t="s">
        <v>820</v>
      </c>
      <c r="C86" s="1">
        <v>45444</v>
      </c>
      <c r="D86" s="2">
        <v>0.24027777777777778</v>
      </c>
      <c r="E86" t="s">
        <v>2</v>
      </c>
      <c r="F86" t="s">
        <v>3</v>
      </c>
      <c r="G86" s="3">
        <v>31.16</v>
      </c>
      <c r="H86" s="3">
        <v>4.67</v>
      </c>
    </row>
    <row r="87" spans="1:8" ht="15" x14ac:dyDescent="0.25">
      <c r="A87" t="s">
        <v>496</v>
      </c>
      <c r="B87" t="s">
        <v>821</v>
      </c>
      <c r="C87" s="1">
        <v>45457</v>
      </c>
      <c r="D87" s="2">
        <v>0.4465277777777778</v>
      </c>
      <c r="E87" t="s">
        <v>2</v>
      </c>
      <c r="F87" t="s">
        <v>3</v>
      </c>
      <c r="G87" s="3">
        <v>133.9</v>
      </c>
      <c r="H87" s="3">
        <v>20.05</v>
      </c>
    </row>
    <row r="88" spans="1:8" ht="15" x14ac:dyDescent="0.25">
      <c r="A88" t="s">
        <v>496</v>
      </c>
      <c r="B88" t="s">
        <v>822</v>
      </c>
      <c r="C88" s="1">
        <v>45457</v>
      </c>
      <c r="D88" s="2">
        <v>0.71875</v>
      </c>
      <c r="E88" t="s">
        <v>2</v>
      </c>
      <c r="F88" t="s">
        <v>3</v>
      </c>
      <c r="G88" s="3">
        <v>133.9</v>
      </c>
      <c r="H88" s="3">
        <v>20.05</v>
      </c>
    </row>
    <row r="89" spans="1:8" ht="15" x14ac:dyDescent="0.25">
      <c r="A89" t="s">
        <v>496</v>
      </c>
      <c r="B89" t="s">
        <v>823</v>
      </c>
      <c r="C89" s="1">
        <v>45467</v>
      </c>
      <c r="D89" s="2">
        <v>0.16458333333333333</v>
      </c>
      <c r="E89" t="s">
        <v>2</v>
      </c>
      <c r="F89" t="s">
        <v>3</v>
      </c>
      <c r="G89" s="3">
        <v>24.7</v>
      </c>
      <c r="H89" s="3">
        <v>3.7</v>
      </c>
    </row>
    <row r="90" spans="1:8" ht="15" x14ac:dyDescent="0.25">
      <c r="A90" s="16" t="s">
        <v>496</v>
      </c>
      <c r="B90" s="16" t="s">
        <v>824</v>
      </c>
      <c r="C90" s="17">
        <v>45468</v>
      </c>
      <c r="D90" s="18">
        <v>0.1875</v>
      </c>
      <c r="E90" s="16" t="s">
        <v>2</v>
      </c>
      <c r="F90" s="16" t="s">
        <v>3</v>
      </c>
      <c r="G90" s="19">
        <v>28.58</v>
      </c>
      <c r="H90" s="19">
        <v>4.28</v>
      </c>
    </row>
    <row r="91" spans="1:8" ht="15" x14ac:dyDescent="0.25">
      <c r="A91" t="s">
        <v>2227</v>
      </c>
      <c r="G91" s="9">
        <f>SUM(G86:G90)</f>
        <v>352.24</v>
      </c>
      <c r="H91" s="9">
        <f>SUM(H86:H90)</f>
        <v>52.75</v>
      </c>
    </row>
    <row r="92" spans="1:8" ht="15.75" thickBot="1" x14ac:dyDescent="0.3"/>
    <row r="93" spans="1:8" ht="15" thickBot="1" x14ac:dyDescent="0.4">
      <c r="A93" s="11" t="s">
        <v>411</v>
      </c>
      <c r="B93" s="12" t="s">
        <v>163</v>
      </c>
      <c r="C93" s="12" t="s">
        <v>165</v>
      </c>
      <c r="D93" s="12" t="s">
        <v>166</v>
      </c>
      <c r="E93" s="12" t="s">
        <v>164</v>
      </c>
      <c r="F93" s="12" t="s">
        <v>167</v>
      </c>
      <c r="G93" s="12" t="s">
        <v>412</v>
      </c>
      <c r="H93" s="13" t="s">
        <v>169</v>
      </c>
    </row>
    <row r="94" spans="1:8" x14ac:dyDescent="0.35">
      <c r="A94" t="s">
        <v>33</v>
      </c>
      <c r="B94" t="s">
        <v>825</v>
      </c>
      <c r="C94" s="1">
        <v>45443</v>
      </c>
      <c r="D94" s="2">
        <v>0.98125000000000007</v>
      </c>
      <c r="E94" t="s">
        <v>2</v>
      </c>
      <c r="F94" t="s">
        <v>3</v>
      </c>
      <c r="G94" s="3">
        <v>16.8</v>
      </c>
      <c r="H94" s="3">
        <v>2.52</v>
      </c>
    </row>
    <row r="95" spans="1:8" x14ac:dyDescent="0.35">
      <c r="A95" t="s">
        <v>33</v>
      </c>
      <c r="B95" t="s">
        <v>826</v>
      </c>
      <c r="C95" s="1">
        <v>45447</v>
      </c>
      <c r="D95" s="2">
        <v>0.17986111111111111</v>
      </c>
      <c r="E95" t="s">
        <v>2</v>
      </c>
      <c r="F95" t="s">
        <v>3</v>
      </c>
      <c r="G95" s="3">
        <v>18.71</v>
      </c>
      <c r="H95" s="3">
        <v>2.8</v>
      </c>
    </row>
    <row r="96" spans="1:8" x14ac:dyDescent="0.35">
      <c r="A96" t="s">
        <v>33</v>
      </c>
      <c r="B96" t="s">
        <v>827</v>
      </c>
      <c r="C96" s="1">
        <v>45451</v>
      </c>
      <c r="D96" s="2">
        <v>0.70972222222222225</v>
      </c>
      <c r="E96" t="s">
        <v>2</v>
      </c>
      <c r="F96" t="s">
        <v>3</v>
      </c>
      <c r="G96" s="3">
        <v>37.68</v>
      </c>
      <c r="H96" s="3">
        <v>5.64</v>
      </c>
    </row>
    <row r="97" spans="1:8" x14ac:dyDescent="0.35">
      <c r="A97" t="s">
        <v>33</v>
      </c>
      <c r="B97" t="s">
        <v>828</v>
      </c>
      <c r="C97" s="1">
        <v>45452</v>
      </c>
      <c r="D97" s="2">
        <v>0.44444444444444442</v>
      </c>
      <c r="E97" t="s">
        <v>2</v>
      </c>
      <c r="F97" t="s">
        <v>3</v>
      </c>
      <c r="G97" s="3">
        <v>32.49</v>
      </c>
      <c r="H97" s="3">
        <v>4.87</v>
      </c>
    </row>
    <row r="98" spans="1:8" x14ac:dyDescent="0.35">
      <c r="A98" t="s">
        <v>33</v>
      </c>
      <c r="B98" t="s">
        <v>829</v>
      </c>
      <c r="C98" s="1">
        <v>45454</v>
      </c>
      <c r="D98" s="2">
        <v>0.33958333333333335</v>
      </c>
      <c r="E98" t="s">
        <v>2</v>
      </c>
      <c r="F98" t="s">
        <v>3</v>
      </c>
      <c r="G98" s="3">
        <v>33.82</v>
      </c>
      <c r="H98" s="3">
        <v>5.0599999999999996</v>
      </c>
    </row>
    <row r="99" spans="1:8" x14ac:dyDescent="0.35">
      <c r="A99" t="s">
        <v>33</v>
      </c>
      <c r="B99" t="s">
        <v>830</v>
      </c>
      <c r="C99" s="1">
        <v>45458</v>
      </c>
      <c r="D99" s="2">
        <v>0.92569444444444438</v>
      </c>
      <c r="E99" t="s">
        <v>2</v>
      </c>
      <c r="F99" t="s">
        <v>3</v>
      </c>
      <c r="G99" s="3">
        <v>16.3</v>
      </c>
      <c r="H99" s="3">
        <v>2.44</v>
      </c>
    </row>
    <row r="100" spans="1:8" x14ac:dyDescent="0.35">
      <c r="A100" t="s">
        <v>33</v>
      </c>
      <c r="B100" t="s">
        <v>831</v>
      </c>
      <c r="C100" s="1">
        <v>45459</v>
      </c>
      <c r="D100" s="2">
        <v>0.92638888888888893</v>
      </c>
      <c r="E100" t="s">
        <v>2</v>
      </c>
      <c r="F100" t="s">
        <v>3</v>
      </c>
      <c r="G100" s="3">
        <v>30.87</v>
      </c>
      <c r="H100" s="3">
        <v>4.62</v>
      </c>
    </row>
    <row r="101" spans="1:8" x14ac:dyDescent="0.35">
      <c r="A101" t="s">
        <v>33</v>
      </c>
      <c r="B101" t="s">
        <v>832</v>
      </c>
      <c r="C101" s="1">
        <v>45466</v>
      </c>
      <c r="D101" s="2">
        <v>0.15069444444444444</v>
      </c>
      <c r="E101" t="s">
        <v>2</v>
      </c>
      <c r="F101" t="s">
        <v>3</v>
      </c>
      <c r="G101" s="3">
        <v>20.079999999999998</v>
      </c>
      <c r="H101" s="3">
        <v>3.01</v>
      </c>
    </row>
    <row r="102" spans="1:8" x14ac:dyDescent="0.35">
      <c r="A102" t="s">
        <v>33</v>
      </c>
      <c r="B102" t="s">
        <v>833</v>
      </c>
      <c r="C102" s="1">
        <v>45469</v>
      </c>
      <c r="D102" s="2">
        <v>0.10694444444444444</v>
      </c>
      <c r="E102" t="s">
        <v>2</v>
      </c>
      <c r="F102" t="s">
        <v>3</v>
      </c>
      <c r="G102" s="3">
        <v>50.24</v>
      </c>
      <c r="H102" s="3">
        <v>7.52</v>
      </c>
    </row>
    <row r="103" spans="1:8" x14ac:dyDescent="0.35">
      <c r="A103" s="16" t="s">
        <v>33</v>
      </c>
      <c r="B103" s="16" t="s">
        <v>834</v>
      </c>
      <c r="C103" s="17">
        <v>45473</v>
      </c>
      <c r="D103" s="18">
        <v>0.90694444444444444</v>
      </c>
      <c r="E103" s="16" t="s">
        <v>2</v>
      </c>
      <c r="F103" s="16" t="s">
        <v>58</v>
      </c>
      <c r="G103" s="19">
        <v>14.64</v>
      </c>
      <c r="H103" s="19">
        <v>2.19</v>
      </c>
    </row>
    <row r="104" spans="1:8" x14ac:dyDescent="0.35">
      <c r="A104" t="s">
        <v>2227</v>
      </c>
      <c r="G104" s="9">
        <f>SUM(G94:G103)</f>
        <v>271.63</v>
      </c>
      <c r="H104" s="9">
        <f>SUM(H94:H103)</f>
        <v>40.67</v>
      </c>
    </row>
    <row r="106" spans="1:8" ht="15" thickBot="1" x14ac:dyDescent="0.4"/>
    <row r="107" spans="1:8" ht="15" thickBot="1" x14ac:dyDescent="0.4">
      <c r="A107" s="11" t="s">
        <v>411</v>
      </c>
      <c r="B107" s="12" t="s">
        <v>163</v>
      </c>
      <c r="C107" s="12" t="s">
        <v>165</v>
      </c>
      <c r="D107" s="12" t="s">
        <v>166</v>
      </c>
      <c r="E107" s="12" t="s">
        <v>164</v>
      </c>
      <c r="F107" s="12" t="s">
        <v>167</v>
      </c>
      <c r="G107" s="12" t="s">
        <v>412</v>
      </c>
      <c r="H107" s="13" t="s">
        <v>169</v>
      </c>
    </row>
    <row r="108" spans="1:8" x14ac:dyDescent="0.35">
      <c r="A108" t="s">
        <v>246</v>
      </c>
      <c r="B108" t="s">
        <v>835</v>
      </c>
      <c r="C108" s="1">
        <v>45445</v>
      </c>
      <c r="D108" s="2">
        <v>3.4027777777777775E-2</v>
      </c>
      <c r="E108" t="s">
        <v>2</v>
      </c>
      <c r="F108" t="s">
        <v>3</v>
      </c>
      <c r="G108" s="3">
        <v>20.88</v>
      </c>
      <c r="H108" s="3">
        <v>3.13</v>
      </c>
    </row>
    <row r="109" spans="1:8" x14ac:dyDescent="0.35">
      <c r="A109" t="s">
        <v>246</v>
      </c>
      <c r="B109" t="s">
        <v>836</v>
      </c>
      <c r="C109" s="1">
        <v>45450</v>
      </c>
      <c r="D109" s="2">
        <v>0.9291666666666667</v>
      </c>
      <c r="E109" t="s">
        <v>2</v>
      </c>
      <c r="F109" t="s">
        <v>3</v>
      </c>
      <c r="G109" s="3">
        <v>8.15</v>
      </c>
      <c r="H109" s="3">
        <v>1.22</v>
      </c>
    </row>
    <row r="110" spans="1:8" x14ac:dyDescent="0.35">
      <c r="A110" t="s">
        <v>246</v>
      </c>
      <c r="B110" t="s">
        <v>837</v>
      </c>
      <c r="C110" s="1">
        <v>45456</v>
      </c>
      <c r="D110" s="2">
        <v>0.19166666666666665</v>
      </c>
      <c r="E110" t="s">
        <v>2</v>
      </c>
      <c r="F110" t="s">
        <v>3</v>
      </c>
      <c r="G110" s="3">
        <v>14.35</v>
      </c>
      <c r="H110" s="3">
        <v>2.15</v>
      </c>
    </row>
    <row r="111" spans="1:8" x14ac:dyDescent="0.35">
      <c r="A111" t="s">
        <v>246</v>
      </c>
      <c r="B111" t="s">
        <v>838</v>
      </c>
      <c r="C111" s="1">
        <v>45458</v>
      </c>
      <c r="D111" s="2">
        <v>0.79791666666666661</v>
      </c>
      <c r="E111" t="s">
        <v>2</v>
      </c>
      <c r="F111" t="s">
        <v>3</v>
      </c>
      <c r="G111" s="3">
        <v>8.65</v>
      </c>
      <c r="H111" s="3">
        <v>1.3</v>
      </c>
    </row>
    <row r="112" spans="1:8" x14ac:dyDescent="0.35">
      <c r="A112" t="s">
        <v>246</v>
      </c>
      <c r="B112" t="s">
        <v>839</v>
      </c>
      <c r="C112" s="1">
        <v>45459</v>
      </c>
      <c r="D112" s="2">
        <v>0.97222222222222221</v>
      </c>
      <c r="E112" t="s">
        <v>2</v>
      </c>
      <c r="F112" t="s">
        <v>3</v>
      </c>
      <c r="G112" s="3">
        <v>10.6</v>
      </c>
      <c r="H112" s="3">
        <v>1.59</v>
      </c>
    </row>
    <row r="113" spans="1:8" x14ac:dyDescent="0.35">
      <c r="A113" t="s">
        <v>246</v>
      </c>
      <c r="B113" t="s">
        <v>840</v>
      </c>
      <c r="C113" s="1">
        <v>45461</v>
      </c>
      <c r="D113" s="2">
        <v>0.79652777777777783</v>
      </c>
      <c r="E113" t="s">
        <v>2</v>
      </c>
      <c r="F113" t="s">
        <v>3</v>
      </c>
      <c r="G113" s="3">
        <v>25.24</v>
      </c>
      <c r="H113" s="3">
        <v>3.78</v>
      </c>
    </row>
    <row r="114" spans="1:8" x14ac:dyDescent="0.35">
      <c r="A114" t="s">
        <v>246</v>
      </c>
      <c r="B114" t="s">
        <v>841</v>
      </c>
      <c r="C114" s="1">
        <v>45464</v>
      </c>
      <c r="D114" s="2">
        <v>0.19166666666666665</v>
      </c>
      <c r="E114" t="s">
        <v>2</v>
      </c>
      <c r="F114" t="s">
        <v>3</v>
      </c>
      <c r="G114" s="3">
        <v>17.84</v>
      </c>
      <c r="H114" s="3">
        <v>2.67</v>
      </c>
    </row>
    <row r="115" spans="1:8" x14ac:dyDescent="0.35">
      <c r="A115" t="s">
        <v>246</v>
      </c>
      <c r="B115" t="s">
        <v>842</v>
      </c>
      <c r="C115" s="1">
        <v>45464</v>
      </c>
      <c r="D115" s="2">
        <v>0.76666666666666661</v>
      </c>
      <c r="E115" t="s">
        <v>2</v>
      </c>
      <c r="F115" t="s">
        <v>3</v>
      </c>
      <c r="G115" s="3">
        <v>31.32</v>
      </c>
      <c r="H115" s="3">
        <v>4.6900000000000004</v>
      </c>
    </row>
    <row r="116" spans="1:8" x14ac:dyDescent="0.35">
      <c r="A116" t="s">
        <v>246</v>
      </c>
      <c r="B116" t="s">
        <v>843</v>
      </c>
      <c r="C116" s="1">
        <v>45465</v>
      </c>
      <c r="D116" s="2">
        <v>8.4027777777777771E-2</v>
      </c>
      <c r="E116" t="s">
        <v>2</v>
      </c>
      <c r="F116" t="s">
        <v>3</v>
      </c>
      <c r="G116" s="3">
        <v>43.3</v>
      </c>
      <c r="H116" s="3">
        <v>6.48</v>
      </c>
    </row>
    <row r="117" spans="1:8" x14ac:dyDescent="0.35">
      <c r="A117" t="s">
        <v>246</v>
      </c>
      <c r="B117" t="s">
        <v>844</v>
      </c>
      <c r="C117" s="1">
        <v>45465</v>
      </c>
      <c r="D117" s="2">
        <v>0.62986111111111109</v>
      </c>
      <c r="E117" t="s">
        <v>2</v>
      </c>
      <c r="F117" t="s">
        <v>3</v>
      </c>
      <c r="G117" s="3">
        <v>10.8</v>
      </c>
      <c r="H117" s="3">
        <v>1.62</v>
      </c>
    </row>
    <row r="118" spans="1:8" x14ac:dyDescent="0.35">
      <c r="A118" t="s">
        <v>246</v>
      </c>
      <c r="B118" t="s">
        <v>845</v>
      </c>
      <c r="C118" s="1">
        <v>45465</v>
      </c>
      <c r="D118" s="2">
        <v>0.87361111111111101</v>
      </c>
      <c r="E118" t="s">
        <v>2</v>
      </c>
      <c r="F118" t="s">
        <v>3</v>
      </c>
      <c r="G118" s="3">
        <v>10.42</v>
      </c>
      <c r="H118" s="3">
        <v>1.56</v>
      </c>
    </row>
    <row r="119" spans="1:8" x14ac:dyDescent="0.35">
      <c r="A119" t="s">
        <v>246</v>
      </c>
      <c r="B119" t="s">
        <v>846</v>
      </c>
      <c r="C119" s="1">
        <v>45466</v>
      </c>
      <c r="D119" s="2">
        <v>0.73541666666666661</v>
      </c>
      <c r="E119" t="s">
        <v>2</v>
      </c>
      <c r="F119" t="s">
        <v>60</v>
      </c>
      <c r="G119" s="3">
        <v>56</v>
      </c>
      <c r="H119" s="3">
        <v>8.39</v>
      </c>
    </row>
    <row r="120" spans="1:8" x14ac:dyDescent="0.35">
      <c r="A120" t="s">
        <v>246</v>
      </c>
      <c r="B120" t="s">
        <v>847</v>
      </c>
      <c r="C120" s="1">
        <v>45467</v>
      </c>
      <c r="D120" s="2">
        <v>0.9458333333333333</v>
      </c>
      <c r="E120" t="s">
        <v>2</v>
      </c>
      <c r="F120" t="s">
        <v>3</v>
      </c>
      <c r="G120" s="3">
        <v>32.799999999999997</v>
      </c>
      <c r="H120" s="3">
        <v>4.91</v>
      </c>
    </row>
    <row r="121" spans="1:8" x14ac:dyDescent="0.35">
      <c r="A121" t="s">
        <v>246</v>
      </c>
      <c r="B121" t="s">
        <v>848</v>
      </c>
      <c r="C121" s="1">
        <v>45468</v>
      </c>
      <c r="D121" s="2">
        <v>0.73402777777777783</v>
      </c>
      <c r="E121" t="s">
        <v>2</v>
      </c>
      <c r="F121" t="s">
        <v>3</v>
      </c>
      <c r="G121" s="3">
        <v>23.79</v>
      </c>
      <c r="H121" s="3">
        <v>3.56</v>
      </c>
    </row>
    <row r="122" spans="1:8" x14ac:dyDescent="0.35">
      <c r="A122" t="s">
        <v>246</v>
      </c>
      <c r="B122" t="s">
        <v>849</v>
      </c>
      <c r="C122" s="1">
        <v>45469</v>
      </c>
      <c r="D122" s="2">
        <v>0.9555555555555556</v>
      </c>
      <c r="E122" t="s">
        <v>2</v>
      </c>
      <c r="F122" t="s">
        <v>3</v>
      </c>
      <c r="G122" s="3">
        <v>8.7899999999999991</v>
      </c>
      <c r="H122" s="3">
        <v>1.32</v>
      </c>
    </row>
    <row r="123" spans="1:8" x14ac:dyDescent="0.35">
      <c r="A123" s="16" t="s">
        <v>246</v>
      </c>
      <c r="B123" s="16" t="s">
        <v>850</v>
      </c>
      <c r="C123" s="17">
        <v>45470</v>
      </c>
      <c r="D123" s="18">
        <v>0.98749999999999993</v>
      </c>
      <c r="E123" s="16" t="s">
        <v>2</v>
      </c>
      <c r="F123" s="16" t="s">
        <v>3</v>
      </c>
      <c r="G123" s="19">
        <v>40.29</v>
      </c>
      <c r="H123" s="19">
        <v>6.03</v>
      </c>
    </row>
    <row r="124" spans="1:8" x14ac:dyDescent="0.35">
      <c r="A124" t="s">
        <v>2227</v>
      </c>
      <c r="G124" s="9">
        <f>SUM(G108:G123)</f>
        <v>363.22</v>
      </c>
      <c r="H124" s="9">
        <f>SUM(H108:H123)</f>
        <v>54.4</v>
      </c>
    </row>
    <row r="126" spans="1:8" ht="15" thickBot="1" x14ac:dyDescent="0.4"/>
    <row r="127" spans="1:8" ht="15" thickBot="1" x14ac:dyDescent="0.4">
      <c r="A127" s="11" t="s">
        <v>411</v>
      </c>
      <c r="B127" s="12" t="s">
        <v>163</v>
      </c>
      <c r="C127" s="12" t="s">
        <v>165</v>
      </c>
      <c r="D127" s="12" t="s">
        <v>166</v>
      </c>
      <c r="E127" s="12" t="s">
        <v>164</v>
      </c>
      <c r="F127" s="12" t="s">
        <v>167</v>
      </c>
      <c r="G127" s="12" t="s">
        <v>412</v>
      </c>
      <c r="H127" s="13" t="s">
        <v>169</v>
      </c>
    </row>
    <row r="128" spans="1:8" x14ac:dyDescent="0.35">
      <c r="A128" t="s">
        <v>543</v>
      </c>
      <c r="B128" t="s">
        <v>851</v>
      </c>
      <c r="C128" s="1">
        <v>45443</v>
      </c>
      <c r="D128" s="2">
        <v>0.99722222222222223</v>
      </c>
      <c r="E128" t="s">
        <v>2</v>
      </c>
      <c r="F128" t="s">
        <v>3</v>
      </c>
      <c r="G128" s="3">
        <v>32.229999999999997</v>
      </c>
      <c r="H128" s="3">
        <v>4.83</v>
      </c>
    </row>
    <row r="129" spans="1:8" x14ac:dyDescent="0.35">
      <c r="A129" t="s">
        <v>543</v>
      </c>
      <c r="B129" t="s">
        <v>852</v>
      </c>
      <c r="C129" s="1">
        <v>45444</v>
      </c>
      <c r="D129" s="2">
        <v>0.10625</v>
      </c>
      <c r="E129" t="s">
        <v>2</v>
      </c>
      <c r="F129" t="s">
        <v>3</v>
      </c>
      <c r="G129" s="3">
        <v>14.99</v>
      </c>
      <c r="H129" s="3">
        <v>2.2400000000000002</v>
      </c>
    </row>
    <row r="130" spans="1:8" x14ac:dyDescent="0.35">
      <c r="A130" t="s">
        <v>543</v>
      </c>
      <c r="B130" t="s">
        <v>853</v>
      </c>
      <c r="C130" s="1">
        <v>45444</v>
      </c>
      <c r="D130" s="2">
        <v>0.13680555555555554</v>
      </c>
      <c r="E130" t="s">
        <v>2</v>
      </c>
      <c r="F130" t="s">
        <v>3</v>
      </c>
      <c r="G130" s="3">
        <v>51.43</v>
      </c>
      <c r="H130" s="3">
        <v>7.7</v>
      </c>
    </row>
    <row r="131" spans="1:8" x14ac:dyDescent="0.35">
      <c r="A131" t="s">
        <v>543</v>
      </c>
      <c r="B131" t="s">
        <v>854</v>
      </c>
      <c r="C131" s="1">
        <v>45444</v>
      </c>
      <c r="D131" s="2">
        <v>0.88402777777777775</v>
      </c>
      <c r="E131" t="s">
        <v>2</v>
      </c>
      <c r="F131" t="s">
        <v>3</v>
      </c>
      <c r="G131" s="3">
        <v>33.17</v>
      </c>
      <c r="H131" s="3">
        <v>4.97</v>
      </c>
    </row>
    <row r="132" spans="1:8" x14ac:dyDescent="0.35">
      <c r="A132" t="s">
        <v>543</v>
      </c>
      <c r="B132" t="s">
        <v>855</v>
      </c>
      <c r="C132" s="1">
        <v>45445</v>
      </c>
      <c r="D132" s="2">
        <v>5.347222222222222E-2</v>
      </c>
      <c r="E132" t="s">
        <v>2</v>
      </c>
      <c r="F132" t="s">
        <v>3</v>
      </c>
      <c r="G132" s="3">
        <v>24.72</v>
      </c>
      <c r="H132" s="3">
        <v>3.7</v>
      </c>
    </row>
    <row r="133" spans="1:8" x14ac:dyDescent="0.35">
      <c r="A133" t="s">
        <v>543</v>
      </c>
      <c r="B133" t="s">
        <v>856</v>
      </c>
      <c r="C133" s="1">
        <v>45445</v>
      </c>
      <c r="D133" s="2">
        <v>0.17500000000000002</v>
      </c>
      <c r="E133" t="s">
        <v>2</v>
      </c>
      <c r="F133" t="s">
        <v>3</v>
      </c>
      <c r="G133" s="3">
        <v>36.07</v>
      </c>
      <c r="H133" s="3">
        <v>5.4</v>
      </c>
    </row>
    <row r="134" spans="1:8" x14ac:dyDescent="0.35">
      <c r="A134" t="s">
        <v>543</v>
      </c>
      <c r="B134" t="s">
        <v>857</v>
      </c>
      <c r="C134" s="1">
        <v>45445</v>
      </c>
      <c r="D134" s="2">
        <v>0.32361111111111113</v>
      </c>
      <c r="E134" t="s">
        <v>2</v>
      </c>
      <c r="F134" t="s">
        <v>3</v>
      </c>
      <c r="G134" s="3">
        <v>66.97</v>
      </c>
      <c r="H134" s="3">
        <v>10.029999999999999</v>
      </c>
    </row>
    <row r="135" spans="1:8" x14ac:dyDescent="0.35">
      <c r="A135" t="s">
        <v>543</v>
      </c>
      <c r="B135" t="s">
        <v>858</v>
      </c>
      <c r="C135" s="1">
        <v>45445</v>
      </c>
      <c r="D135" s="2">
        <v>0.32013888888888892</v>
      </c>
      <c r="E135" t="s">
        <v>180</v>
      </c>
      <c r="F135" t="s">
        <v>3</v>
      </c>
      <c r="G135" s="3">
        <v>30.01</v>
      </c>
      <c r="H135" s="3">
        <v>4.49</v>
      </c>
    </row>
    <row r="136" spans="1:8" x14ac:dyDescent="0.35">
      <c r="A136" t="s">
        <v>543</v>
      </c>
      <c r="B136" t="s">
        <v>859</v>
      </c>
      <c r="C136" s="1">
        <v>45445</v>
      </c>
      <c r="D136" s="2">
        <v>0.44027777777777777</v>
      </c>
      <c r="E136" t="s">
        <v>2</v>
      </c>
      <c r="F136" t="s">
        <v>3</v>
      </c>
      <c r="G136" s="3">
        <v>14.99</v>
      </c>
      <c r="H136" s="3">
        <v>2.2400000000000002</v>
      </c>
    </row>
    <row r="137" spans="1:8" x14ac:dyDescent="0.35">
      <c r="A137" t="s">
        <v>543</v>
      </c>
      <c r="B137" t="s">
        <v>860</v>
      </c>
      <c r="C137" s="1">
        <v>45445</v>
      </c>
      <c r="D137" s="2">
        <v>0.85069444444444453</v>
      </c>
      <c r="E137" t="s">
        <v>2</v>
      </c>
      <c r="F137" t="s">
        <v>3</v>
      </c>
      <c r="G137" s="3">
        <v>12.12</v>
      </c>
      <c r="H137" s="3">
        <v>1.81</v>
      </c>
    </row>
    <row r="138" spans="1:8" x14ac:dyDescent="0.35">
      <c r="A138" t="s">
        <v>543</v>
      </c>
      <c r="B138" t="s">
        <v>861</v>
      </c>
      <c r="C138" s="1">
        <v>45446</v>
      </c>
      <c r="D138" s="2">
        <v>0.15416666666666667</v>
      </c>
      <c r="E138" t="s">
        <v>2</v>
      </c>
      <c r="F138" t="s">
        <v>3</v>
      </c>
      <c r="G138" s="3">
        <v>37.94</v>
      </c>
      <c r="H138" s="3">
        <v>5.68</v>
      </c>
    </row>
    <row r="139" spans="1:8" x14ac:dyDescent="0.35">
      <c r="A139" t="s">
        <v>543</v>
      </c>
      <c r="B139" t="s">
        <v>862</v>
      </c>
      <c r="C139" s="1">
        <v>45446</v>
      </c>
      <c r="D139" s="2">
        <v>0.92986111111111114</v>
      </c>
      <c r="E139" t="s">
        <v>2</v>
      </c>
      <c r="F139" t="s">
        <v>3</v>
      </c>
      <c r="G139" s="3">
        <v>17.46</v>
      </c>
      <c r="H139" s="3">
        <v>2.61</v>
      </c>
    </row>
    <row r="140" spans="1:8" x14ac:dyDescent="0.35">
      <c r="A140" t="s">
        <v>543</v>
      </c>
      <c r="B140" t="s">
        <v>863</v>
      </c>
      <c r="C140" s="1">
        <v>45447</v>
      </c>
      <c r="D140" s="2">
        <v>9.0277777777777776E-2</v>
      </c>
      <c r="E140" t="s">
        <v>2</v>
      </c>
      <c r="F140" t="s">
        <v>3</v>
      </c>
      <c r="G140" s="3">
        <v>24.24</v>
      </c>
      <c r="H140" s="3">
        <v>3.63</v>
      </c>
    </row>
    <row r="141" spans="1:8" x14ac:dyDescent="0.35">
      <c r="A141" t="s">
        <v>543</v>
      </c>
      <c r="B141" t="s">
        <v>864</v>
      </c>
      <c r="C141" s="1">
        <v>45447</v>
      </c>
      <c r="D141" s="2">
        <v>0.14722222222222223</v>
      </c>
      <c r="E141" t="s">
        <v>2</v>
      </c>
      <c r="F141" t="s">
        <v>3</v>
      </c>
      <c r="G141" s="3">
        <v>14.99</v>
      </c>
      <c r="H141" s="3">
        <v>2.2400000000000002</v>
      </c>
    </row>
    <row r="142" spans="1:8" x14ac:dyDescent="0.35">
      <c r="A142" t="s">
        <v>543</v>
      </c>
      <c r="B142" t="s">
        <v>865</v>
      </c>
      <c r="C142" s="1">
        <v>45447</v>
      </c>
      <c r="D142" s="2">
        <v>0.96527777777777779</v>
      </c>
      <c r="E142" t="s">
        <v>2</v>
      </c>
      <c r="F142" t="s">
        <v>3</v>
      </c>
      <c r="G142" s="3">
        <v>14.99</v>
      </c>
      <c r="H142" s="3">
        <v>2.2400000000000002</v>
      </c>
    </row>
    <row r="143" spans="1:8" x14ac:dyDescent="0.35">
      <c r="A143" t="s">
        <v>543</v>
      </c>
      <c r="B143" t="s">
        <v>866</v>
      </c>
      <c r="C143" s="1">
        <v>45447</v>
      </c>
      <c r="D143" s="2">
        <v>0.98333333333333339</v>
      </c>
      <c r="E143" t="s">
        <v>2</v>
      </c>
      <c r="F143" t="s">
        <v>3</v>
      </c>
      <c r="G143" s="3">
        <v>32.520000000000003</v>
      </c>
      <c r="H143" s="3">
        <v>4.87</v>
      </c>
    </row>
    <row r="144" spans="1:8" x14ac:dyDescent="0.35">
      <c r="A144" t="s">
        <v>543</v>
      </c>
      <c r="B144" t="s">
        <v>867</v>
      </c>
      <c r="C144" s="1">
        <v>45448</v>
      </c>
      <c r="D144" s="2">
        <v>7.7777777777777779E-2</v>
      </c>
      <c r="E144" t="s">
        <v>2</v>
      </c>
      <c r="F144" t="s">
        <v>3</v>
      </c>
      <c r="G144" s="3">
        <v>51.06</v>
      </c>
      <c r="H144" s="3">
        <v>7.65</v>
      </c>
    </row>
    <row r="145" spans="1:8" x14ac:dyDescent="0.35">
      <c r="A145" t="s">
        <v>543</v>
      </c>
      <c r="B145" t="s">
        <v>868</v>
      </c>
      <c r="C145" s="1">
        <v>45448</v>
      </c>
      <c r="D145" s="2">
        <v>0.14722222222222223</v>
      </c>
      <c r="E145" t="s">
        <v>2</v>
      </c>
      <c r="F145" t="s">
        <v>3</v>
      </c>
      <c r="G145" s="3">
        <v>25.07</v>
      </c>
      <c r="H145" s="3">
        <v>3.75</v>
      </c>
    </row>
    <row r="146" spans="1:8" x14ac:dyDescent="0.35">
      <c r="A146" t="s">
        <v>543</v>
      </c>
      <c r="B146" t="s">
        <v>869</v>
      </c>
      <c r="C146" s="1">
        <v>45449</v>
      </c>
      <c r="D146" s="2">
        <v>0.38125000000000003</v>
      </c>
      <c r="E146" t="s">
        <v>2</v>
      </c>
      <c r="F146" t="s">
        <v>3</v>
      </c>
      <c r="G146" s="3">
        <v>30.93</v>
      </c>
      <c r="H146" s="3">
        <v>4.63</v>
      </c>
    </row>
    <row r="147" spans="1:8" x14ac:dyDescent="0.35">
      <c r="A147" t="s">
        <v>543</v>
      </c>
      <c r="B147" t="s">
        <v>870</v>
      </c>
      <c r="C147" s="1">
        <v>45450</v>
      </c>
      <c r="D147" s="2">
        <v>0.1013888888888889</v>
      </c>
      <c r="E147" t="s">
        <v>2</v>
      </c>
      <c r="F147" t="s">
        <v>3</v>
      </c>
      <c r="G147" s="3">
        <v>24.24</v>
      </c>
      <c r="H147" s="3">
        <v>3.63</v>
      </c>
    </row>
    <row r="148" spans="1:8" x14ac:dyDescent="0.35">
      <c r="A148" t="s">
        <v>543</v>
      </c>
      <c r="B148" t="s">
        <v>871</v>
      </c>
      <c r="C148" s="1">
        <v>45450</v>
      </c>
      <c r="D148" s="2">
        <v>0.51180555555555551</v>
      </c>
      <c r="E148" t="s">
        <v>2</v>
      </c>
      <c r="F148" t="s">
        <v>3</v>
      </c>
      <c r="G148" s="3">
        <v>17.89</v>
      </c>
      <c r="H148" s="3">
        <v>2.68</v>
      </c>
    </row>
    <row r="149" spans="1:8" x14ac:dyDescent="0.35">
      <c r="A149" t="s">
        <v>543</v>
      </c>
      <c r="B149" t="s">
        <v>872</v>
      </c>
      <c r="C149" s="1">
        <v>45450</v>
      </c>
      <c r="D149" s="2">
        <v>0.77013888888888893</v>
      </c>
      <c r="E149" t="s">
        <v>2</v>
      </c>
      <c r="F149" t="s">
        <v>3</v>
      </c>
      <c r="G149" s="3">
        <v>23.95</v>
      </c>
      <c r="H149" s="3">
        <v>3.59</v>
      </c>
    </row>
    <row r="150" spans="1:8" x14ac:dyDescent="0.35">
      <c r="A150" t="s">
        <v>543</v>
      </c>
      <c r="B150" t="s">
        <v>873</v>
      </c>
      <c r="C150" s="1">
        <v>45450</v>
      </c>
      <c r="D150" s="2">
        <v>0.80347222222222225</v>
      </c>
      <c r="E150" t="s">
        <v>2</v>
      </c>
      <c r="F150" t="s">
        <v>3</v>
      </c>
      <c r="G150" s="3">
        <v>26.88</v>
      </c>
      <c r="H150" s="3">
        <v>4.03</v>
      </c>
    </row>
    <row r="151" spans="1:8" x14ac:dyDescent="0.35">
      <c r="A151" t="s">
        <v>543</v>
      </c>
      <c r="B151" t="s">
        <v>874</v>
      </c>
      <c r="C151" s="1">
        <v>45452</v>
      </c>
      <c r="D151" s="2">
        <v>0.1451388888888889</v>
      </c>
      <c r="E151" t="s">
        <v>2</v>
      </c>
      <c r="F151" t="s">
        <v>3</v>
      </c>
      <c r="G151" s="3">
        <v>27.53</v>
      </c>
      <c r="H151" s="3">
        <v>4.12</v>
      </c>
    </row>
    <row r="152" spans="1:8" x14ac:dyDescent="0.35">
      <c r="A152" t="s">
        <v>543</v>
      </c>
      <c r="B152" t="s">
        <v>875</v>
      </c>
      <c r="C152" s="1">
        <v>45452</v>
      </c>
      <c r="D152" s="2">
        <v>0.17083333333333331</v>
      </c>
      <c r="E152" t="s">
        <v>2</v>
      </c>
      <c r="F152" t="s">
        <v>3</v>
      </c>
      <c r="G152" s="3">
        <v>32.46</v>
      </c>
      <c r="H152" s="3">
        <v>4.8600000000000003</v>
      </c>
    </row>
    <row r="153" spans="1:8" x14ac:dyDescent="0.35">
      <c r="A153" t="s">
        <v>543</v>
      </c>
      <c r="B153" t="s">
        <v>876</v>
      </c>
      <c r="C153" s="1">
        <v>45452</v>
      </c>
      <c r="D153" s="2">
        <v>0.21875</v>
      </c>
      <c r="E153" t="s">
        <v>2</v>
      </c>
      <c r="F153" t="s">
        <v>3</v>
      </c>
      <c r="G153" s="3">
        <v>35.17</v>
      </c>
      <c r="H153" s="3">
        <v>5.27</v>
      </c>
    </row>
    <row r="154" spans="1:8" x14ac:dyDescent="0.35">
      <c r="A154" t="s">
        <v>543</v>
      </c>
      <c r="B154" t="s">
        <v>877</v>
      </c>
      <c r="C154" s="1">
        <v>45452</v>
      </c>
      <c r="D154" s="2">
        <v>0.93194444444444446</v>
      </c>
      <c r="E154" t="s">
        <v>2</v>
      </c>
      <c r="F154" t="s">
        <v>3</v>
      </c>
      <c r="G154" s="3">
        <v>23.3</v>
      </c>
      <c r="H154" s="3">
        <v>3.49</v>
      </c>
    </row>
    <row r="155" spans="1:8" x14ac:dyDescent="0.35">
      <c r="A155" t="s">
        <v>543</v>
      </c>
      <c r="B155" t="s">
        <v>878</v>
      </c>
      <c r="C155" s="1">
        <v>45452</v>
      </c>
      <c r="D155" s="2">
        <v>0.9506944444444444</v>
      </c>
      <c r="E155" t="s">
        <v>2</v>
      </c>
      <c r="F155" t="s">
        <v>3</v>
      </c>
      <c r="G155" s="3">
        <v>23.3</v>
      </c>
      <c r="H155" s="3">
        <v>3.49</v>
      </c>
    </row>
    <row r="156" spans="1:8" x14ac:dyDescent="0.35">
      <c r="A156" t="s">
        <v>543</v>
      </c>
      <c r="B156" t="s">
        <v>879</v>
      </c>
      <c r="C156" s="1">
        <v>45453</v>
      </c>
      <c r="D156" s="2">
        <v>0.1076388888888889</v>
      </c>
      <c r="E156" t="s">
        <v>2</v>
      </c>
      <c r="F156" t="s">
        <v>3</v>
      </c>
      <c r="G156" s="3">
        <v>12.12</v>
      </c>
      <c r="H156" s="3">
        <v>1.81</v>
      </c>
    </row>
    <row r="157" spans="1:8" x14ac:dyDescent="0.35">
      <c r="A157" t="s">
        <v>543</v>
      </c>
      <c r="B157" t="s">
        <v>880</v>
      </c>
      <c r="C157" s="1">
        <v>45453</v>
      </c>
      <c r="D157" s="2">
        <v>0.3743055555555555</v>
      </c>
      <c r="E157" t="s">
        <v>2</v>
      </c>
      <c r="F157" t="s">
        <v>3</v>
      </c>
      <c r="G157" s="3">
        <v>53.67</v>
      </c>
      <c r="H157" s="3">
        <v>8.0399999999999991</v>
      </c>
    </row>
    <row r="158" spans="1:8" x14ac:dyDescent="0.35">
      <c r="A158" t="s">
        <v>543</v>
      </c>
      <c r="B158" t="s">
        <v>881</v>
      </c>
      <c r="C158" s="1">
        <v>45453</v>
      </c>
      <c r="D158" s="2">
        <v>0.78680555555555554</v>
      </c>
      <c r="E158" t="s">
        <v>2</v>
      </c>
      <c r="F158" t="s">
        <v>3</v>
      </c>
      <c r="G158" s="3">
        <v>12.12</v>
      </c>
      <c r="H158" s="3">
        <v>1.81</v>
      </c>
    </row>
    <row r="159" spans="1:8" x14ac:dyDescent="0.35">
      <c r="A159" t="s">
        <v>543</v>
      </c>
      <c r="B159" t="s">
        <v>882</v>
      </c>
      <c r="C159" s="1">
        <v>45453</v>
      </c>
      <c r="D159" s="2">
        <v>0.97499999999999998</v>
      </c>
      <c r="E159" t="s">
        <v>2</v>
      </c>
      <c r="F159" t="s">
        <v>3</v>
      </c>
      <c r="G159" s="3">
        <v>40.54</v>
      </c>
      <c r="H159" s="3">
        <v>6.07</v>
      </c>
    </row>
    <row r="160" spans="1:8" x14ac:dyDescent="0.35">
      <c r="A160" t="s">
        <v>543</v>
      </c>
      <c r="B160" t="s">
        <v>883</v>
      </c>
      <c r="C160" s="1">
        <v>45453</v>
      </c>
      <c r="D160" s="2">
        <v>0.99930555555555556</v>
      </c>
      <c r="E160" t="s">
        <v>2</v>
      </c>
      <c r="F160" t="s">
        <v>3</v>
      </c>
      <c r="G160" s="3">
        <v>18.18</v>
      </c>
      <c r="H160" s="3">
        <v>2.72</v>
      </c>
    </row>
    <row r="161" spans="1:8" x14ac:dyDescent="0.35">
      <c r="A161" t="s">
        <v>543</v>
      </c>
      <c r="B161" t="s">
        <v>884</v>
      </c>
      <c r="C161" s="1">
        <v>45454</v>
      </c>
      <c r="D161" s="2">
        <v>9.930555555555555E-2</v>
      </c>
      <c r="E161" t="s">
        <v>2</v>
      </c>
      <c r="F161" t="s">
        <v>3</v>
      </c>
      <c r="G161" s="3">
        <v>12.12</v>
      </c>
      <c r="H161" s="3">
        <v>1.81</v>
      </c>
    </row>
    <row r="162" spans="1:8" x14ac:dyDescent="0.35">
      <c r="A162" t="s">
        <v>543</v>
      </c>
      <c r="B162" t="s">
        <v>885</v>
      </c>
      <c r="C162" s="1">
        <v>45454</v>
      </c>
      <c r="D162" s="2">
        <v>0.96805555555555556</v>
      </c>
      <c r="E162" t="s">
        <v>2</v>
      </c>
      <c r="F162" t="s">
        <v>3</v>
      </c>
      <c r="G162" s="3">
        <v>17.89</v>
      </c>
      <c r="H162" s="3">
        <v>2.68</v>
      </c>
    </row>
    <row r="163" spans="1:8" x14ac:dyDescent="0.35">
      <c r="A163" t="s">
        <v>543</v>
      </c>
      <c r="B163" t="s">
        <v>886</v>
      </c>
      <c r="C163" s="1">
        <v>45455</v>
      </c>
      <c r="D163" s="2">
        <v>4.5138888888888888E-2</v>
      </c>
      <c r="E163" t="s">
        <v>2</v>
      </c>
      <c r="F163" t="s">
        <v>3</v>
      </c>
      <c r="G163" s="3">
        <v>36.049999999999997</v>
      </c>
      <c r="H163" s="3">
        <v>5.4</v>
      </c>
    </row>
    <row r="164" spans="1:8" x14ac:dyDescent="0.35">
      <c r="A164" t="s">
        <v>543</v>
      </c>
      <c r="B164" t="s">
        <v>887</v>
      </c>
      <c r="C164" s="1">
        <v>45455</v>
      </c>
      <c r="D164" s="2">
        <v>0.5493055555555556</v>
      </c>
      <c r="E164" t="s">
        <v>2</v>
      </c>
      <c r="F164" t="s">
        <v>3</v>
      </c>
      <c r="G164" s="3">
        <v>17.89</v>
      </c>
      <c r="H164" s="3">
        <v>2.68</v>
      </c>
    </row>
    <row r="165" spans="1:8" x14ac:dyDescent="0.35">
      <c r="A165" t="s">
        <v>543</v>
      </c>
      <c r="B165" t="s">
        <v>888</v>
      </c>
      <c r="C165" s="1">
        <v>45456</v>
      </c>
      <c r="D165" s="2">
        <v>7.4305555555555555E-2</v>
      </c>
      <c r="E165" t="s">
        <v>2</v>
      </c>
      <c r="F165" t="s">
        <v>3</v>
      </c>
      <c r="G165" s="3">
        <v>18.18</v>
      </c>
      <c r="H165" s="3">
        <v>2.72</v>
      </c>
    </row>
    <row r="166" spans="1:8" x14ac:dyDescent="0.35">
      <c r="A166" t="s">
        <v>543</v>
      </c>
      <c r="B166" t="s">
        <v>889</v>
      </c>
      <c r="C166" s="1">
        <v>45456</v>
      </c>
      <c r="D166" s="2">
        <v>0.13958333333333334</v>
      </c>
      <c r="E166" t="s">
        <v>2</v>
      </c>
      <c r="F166" t="s">
        <v>3</v>
      </c>
      <c r="G166" s="3">
        <v>49.74</v>
      </c>
      <c r="H166" s="3">
        <v>7.45</v>
      </c>
    </row>
    <row r="167" spans="1:8" x14ac:dyDescent="0.35">
      <c r="A167" t="s">
        <v>543</v>
      </c>
      <c r="B167" t="s">
        <v>890</v>
      </c>
      <c r="C167" s="1">
        <v>45459</v>
      </c>
      <c r="D167" s="2">
        <v>0.29791666666666666</v>
      </c>
      <c r="E167" t="s">
        <v>2</v>
      </c>
      <c r="F167" t="s">
        <v>58</v>
      </c>
      <c r="G167" s="3">
        <v>60.94</v>
      </c>
      <c r="H167" s="3">
        <v>9.1300000000000008</v>
      </c>
    </row>
    <row r="168" spans="1:8" x14ac:dyDescent="0.35">
      <c r="A168" t="s">
        <v>543</v>
      </c>
      <c r="B168" t="s">
        <v>891</v>
      </c>
      <c r="C168" s="1">
        <v>45461</v>
      </c>
      <c r="D168" s="2">
        <v>8.3333333333333329E-2</v>
      </c>
      <c r="E168" t="s">
        <v>2</v>
      </c>
      <c r="F168" t="s">
        <v>3</v>
      </c>
      <c r="G168" s="3">
        <v>36.090000000000003</v>
      </c>
      <c r="H168" s="3">
        <v>5.4</v>
      </c>
    </row>
    <row r="169" spans="1:8" x14ac:dyDescent="0.35">
      <c r="A169" t="s">
        <v>543</v>
      </c>
      <c r="B169" t="s">
        <v>892</v>
      </c>
      <c r="C169" s="1">
        <v>45461</v>
      </c>
      <c r="D169" s="2">
        <v>0.10694444444444444</v>
      </c>
      <c r="E169" t="s">
        <v>180</v>
      </c>
      <c r="F169" t="s">
        <v>3</v>
      </c>
      <c r="G169" s="3">
        <v>27.69</v>
      </c>
      <c r="H169" s="3">
        <v>4.1500000000000004</v>
      </c>
    </row>
    <row r="170" spans="1:8" x14ac:dyDescent="0.35">
      <c r="A170" t="s">
        <v>543</v>
      </c>
      <c r="B170" t="s">
        <v>893</v>
      </c>
      <c r="C170" s="1">
        <v>45463</v>
      </c>
      <c r="D170" s="2">
        <v>0.43888888888888888</v>
      </c>
      <c r="E170" t="s">
        <v>2</v>
      </c>
      <c r="F170" t="s">
        <v>3</v>
      </c>
      <c r="G170" s="3">
        <v>29.93</v>
      </c>
      <c r="H170" s="3">
        <v>4.4800000000000004</v>
      </c>
    </row>
    <row r="171" spans="1:8" x14ac:dyDescent="0.35">
      <c r="A171" t="s">
        <v>543</v>
      </c>
      <c r="B171" t="s">
        <v>894</v>
      </c>
      <c r="C171" s="1">
        <v>45464</v>
      </c>
      <c r="D171" s="2">
        <v>5.0694444444444452E-2</v>
      </c>
      <c r="E171" t="s">
        <v>2</v>
      </c>
      <c r="F171" t="s">
        <v>3</v>
      </c>
      <c r="G171" s="3">
        <v>29.75</v>
      </c>
      <c r="H171" s="3">
        <v>4.46</v>
      </c>
    </row>
    <row r="172" spans="1:8" x14ac:dyDescent="0.35">
      <c r="A172" t="s">
        <v>543</v>
      </c>
      <c r="B172" t="s">
        <v>895</v>
      </c>
      <c r="C172" s="1">
        <v>45464</v>
      </c>
      <c r="D172" s="2">
        <v>0.15277777777777776</v>
      </c>
      <c r="E172" t="s">
        <v>2</v>
      </c>
      <c r="F172" t="s">
        <v>3</v>
      </c>
      <c r="G172" s="3">
        <v>31.86</v>
      </c>
      <c r="H172" s="3">
        <v>4.7699999999999996</v>
      </c>
    </row>
    <row r="173" spans="1:8" x14ac:dyDescent="0.35">
      <c r="A173" t="s">
        <v>543</v>
      </c>
      <c r="B173" t="s">
        <v>896</v>
      </c>
      <c r="C173" s="1">
        <v>45465</v>
      </c>
      <c r="D173" s="2">
        <v>3.5416666666666666E-2</v>
      </c>
      <c r="E173" t="s">
        <v>2</v>
      </c>
      <c r="F173" t="s">
        <v>3</v>
      </c>
      <c r="G173" s="3">
        <v>30.41</v>
      </c>
      <c r="H173" s="3">
        <v>4.55</v>
      </c>
    </row>
    <row r="174" spans="1:8" x14ac:dyDescent="0.35">
      <c r="A174" t="s">
        <v>543</v>
      </c>
      <c r="B174" t="s">
        <v>897</v>
      </c>
      <c r="C174" s="1">
        <v>45465</v>
      </c>
      <c r="D174" s="2">
        <v>0.38680555555555557</v>
      </c>
      <c r="E174" t="s">
        <v>2</v>
      </c>
      <c r="F174" t="s">
        <v>3</v>
      </c>
      <c r="G174" s="3">
        <v>27.56</v>
      </c>
      <c r="H174" s="3">
        <v>4.13</v>
      </c>
    </row>
    <row r="175" spans="1:8" x14ac:dyDescent="0.35">
      <c r="A175" t="s">
        <v>543</v>
      </c>
      <c r="B175" t="s">
        <v>898</v>
      </c>
      <c r="C175" s="1">
        <v>45465</v>
      </c>
      <c r="D175" s="2">
        <v>0.86458333333333337</v>
      </c>
      <c r="E175" t="s">
        <v>2</v>
      </c>
      <c r="F175" t="s">
        <v>3</v>
      </c>
      <c r="G175" s="3">
        <v>15.59</v>
      </c>
      <c r="H175" s="3">
        <v>2.33</v>
      </c>
    </row>
    <row r="176" spans="1:8" x14ac:dyDescent="0.35">
      <c r="A176" t="s">
        <v>543</v>
      </c>
      <c r="B176" t="s">
        <v>899</v>
      </c>
      <c r="C176" s="1">
        <v>45466</v>
      </c>
      <c r="D176" s="2">
        <v>0.9604166666666667</v>
      </c>
      <c r="E176" t="s">
        <v>2</v>
      </c>
      <c r="F176" t="s">
        <v>3</v>
      </c>
      <c r="G176" s="3">
        <v>31.18</v>
      </c>
      <c r="H176" s="3">
        <v>4.67</v>
      </c>
    </row>
    <row r="177" spans="1:8" x14ac:dyDescent="0.35">
      <c r="A177" t="s">
        <v>543</v>
      </c>
      <c r="B177" t="s">
        <v>900</v>
      </c>
      <c r="C177" s="1">
        <v>45467</v>
      </c>
      <c r="D177" s="2">
        <v>5.347222222222222E-2</v>
      </c>
      <c r="E177" t="s">
        <v>2</v>
      </c>
      <c r="F177" t="s">
        <v>3</v>
      </c>
      <c r="G177" s="3">
        <v>12.99</v>
      </c>
      <c r="H177" s="3">
        <v>1.95</v>
      </c>
    </row>
    <row r="178" spans="1:8" x14ac:dyDescent="0.35">
      <c r="A178" t="s">
        <v>543</v>
      </c>
      <c r="B178" t="s">
        <v>901</v>
      </c>
      <c r="C178" s="1">
        <v>45468</v>
      </c>
      <c r="D178" s="2">
        <v>0.23055555555555554</v>
      </c>
      <c r="E178" t="s">
        <v>2</v>
      </c>
      <c r="F178" t="s">
        <v>3</v>
      </c>
      <c r="G178" s="3">
        <v>28.68</v>
      </c>
      <c r="H178" s="3">
        <v>4.29</v>
      </c>
    </row>
    <row r="179" spans="1:8" x14ac:dyDescent="0.35">
      <c r="A179" t="s">
        <v>543</v>
      </c>
      <c r="B179" t="s">
        <v>902</v>
      </c>
      <c r="C179" s="1">
        <v>45468</v>
      </c>
      <c r="D179" s="2">
        <v>0.82500000000000007</v>
      </c>
      <c r="E179" t="s">
        <v>2</v>
      </c>
      <c r="F179" t="s">
        <v>3</v>
      </c>
      <c r="G179" s="3">
        <v>16.760000000000002</v>
      </c>
      <c r="H179" s="3">
        <v>2.5099999999999998</v>
      </c>
    </row>
    <row r="180" spans="1:8" x14ac:dyDescent="0.35">
      <c r="A180" t="s">
        <v>543</v>
      </c>
      <c r="B180" t="s">
        <v>903</v>
      </c>
      <c r="C180" s="1">
        <v>45470</v>
      </c>
      <c r="D180" s="2">
        <v>0.11458333333333333</v>
      </c>
      <c r="E180" t="s">
        <v>2</v>
      </c>
      <c r="F180" t="s">
        <v>3</v>
      </c>
      <c r="G180" s="3">
        <v>18.18</v>
      </c>
      <c r="H180" s="3">
        <v>2.72</v>
      </c>
    </row>
    <row r="181" spans="1:8" x14ac:dyDescent="0.35">
      <c r="A181" t="s">
        <v>543</v>
      </c>
      <c r="B181" t="s">
        <v>904</v>
      </c>
      <c r="C181" s="1">
        <v>45470</v>
      </c>
      <c r="D181" s="2">
        <v>0.39166666666666666</v>
      </c>
      <c r="E181" t="s">
        <v>2</v>
      </c>
      <c r="F181" t="s">
        <v>3</v>
      </c>
      <c r="G181" s="3">
        <v>29.89</v>
      </c>
      <c r="H181" s="3">
        <v>4.4800000000000004</v>
      </c>
    </row>
    <row r="182" spans="1:8" x14ac:dyDescent="0.35">
      <c r="A182" t="s">
        <v>543</v>
      </c>
      <c r="B182" t="s">
        <v>905</v>
      </c>
      <c r="C182" s="1">
        <v>45470</v>
      </c>
      <c r="D182" s="2">
        <v>0.95000000000000007</v>
      </c>
      <c r="E182" t="s">
        <v>2</v>
      </c>
      <c r="F182" t="s">
        <v>3</v>
      </c>
      <c r="G182" s="3">
        <v>20.79</v>
      </c>
      <c r="H182" s="3">
        <v>3.11</v>
      </c>
    </row>
    <row r="183" spans="1:8" x14ac:dyDescent="0.35">
      <c r="A183" t="s">
        <v>543</v>
      </c>
      <c r="B183" t="s">
        <v>906</v>
      </c>
      <c r="C183" s="1">
        <v>45471</v>
      </c>
      <c r="D183" s="2">
        <v>0.49513888888888885</v>
      </c>
      <c r="E183" t="s">
        <v>2</v>
      </c>
      <c r="F183" t="s">
        <v>3</v>
      </c>
      <c r="G183" s="3">
        <v>12.99</v>
      </c>
      <c r="H183" s="3">
        <v>1.95</v>
      </c>
    </row>
    <row r="184" spans="1:8" x14ac:dyDescent="0.35">
      <c r="A184" s="16" t="s">
        <v>543</v>
      </c>
      <c r="B184" s="16" t="s">
        <v>907</v>
      </c>
      <c r="C184" s="17">
        <v>45472</v>
      </c>
      <c r="D184" s="18">
        <v>0.46527777777777773</v>
      </c>
      <c r="E184" s="16" t="s">
        <v>2</v>
      </c>
      <c r="F184" s="16" t="s">
        <v>3</v>
      </c>
      <c r="G184" s="19">
        <v>11.04</v>
      </c>
      <c r="H184" s="19">
        <v>1.65</v>
      </c>
    </row>
    <row r="185" spans="1:8" x14ac:dyDescent="0.35">
      <c r="A185" t="s">
        <v>2227</v>
      </c>
      <c r="G185" s="9">
        <f>SUM(G128:G184)</f>
        <v>1561.4399999999998</v>
      </c>
      <c r="H185" s="9">
        <f>SUM(H128:H184)</f>
        <v>233.79</v>
      </c>
    </row>
    <row r="187" spans="1:8" ht="15" thickBot="1" x14ac:dyDescent="0.4"/>
    <row r="188" spans="1:8" ht="15" thickBot="1" x14ac:dyDescent="0.4">
      <c r="A188" s="11" t="s">
        <v>411</v>
      </c>
      <c r="B188" s="12" t="s">
        <v>163</v>
      </c>
      <c r="C188" s="12" t="s">
        <v>165</v>
      </c>
      <c r="D188" s="12" t="s">
        <v>166</v>
      </c>
      <c r="E188" s="12" t="s">
        <v>164</v>
      </c>
      <c r="F188" s="12" t="s">
        <v>167</v>
      </c>
      <c r="G188" s="12" t="s">
        <v>412</v>
      </c>
      <c r="H188" s="13" t="s">
        <v>169</v>
      </c>
    </row>
    <row r="189" spans="1:8" x14ac:dyDescent="0.35">
      <c r="A189" t="s">
        <v>40</v>
      </c>
      <c r="B189" t="s">
        <v>908</v>
      </c>
      <c r="C189" s="1">
        <v>45445</v>
      </c>
      <c r="D189" s="2">
        <v>7.6388888888888895E-2</v>
      </c>
      <c r="E189" t="s">
        <v>2</v>
      </c>
      <c r="F189" t="s">
        <v>3</v>
      </c>
      <c r="G189" s="3">
        <v>18.59</v>
      </c>
      <c r="H189" s="3">
        <v>2.78</v>
      </c>
    </row>
    <row r="190" spans="1:8" x14ac:dyDescent="0.35">
      <c r="A190" t="s">
        <v>40</v>
      </c>
      <c r="B190" t="s">
        <v>909</v>
      </c>
      <c r="C190" s="1">
        <v>45445</v>
      </c>
      <c r="D190" s="2">
        <v>0.20625000000000002</v>
      </c>
      <c r="E190" t="s">
        <v>2</v>
      </c>
      <c r="F190" t="s">
        <v>3</v>
      </c>
      <c r="G190" s="3">
        <v>26.2</v>
      </c>
      <c r="H190" s="3">
        <v>3.92</v>
      </c>
    </row>
    <row r="191" spans="1:8" x14ac:dyDescent="0.35">
      <c r="A191" t="s">
        <v>40</v>
      </c>
      <c r="B191" t="s">
        <v>910</v>
      </c>
      <c r="C191" s="1">
        <v>45445</v>
      </c>
      <c r="D191" s="2">
        <v>0.96319444444444446</v>
      </c>
      <c r="E191" t="s">
        <v>2</v>
      </c>
      <c r="F191" t="s">
        <v>3</v>
      </c>
      <c r="G191" s="3">
        <v>85.39</v>
      </c>
      <c r="H191" s="3">
        <v>12.79</v>
      </c>
    </row>
    <row r="192" spans="1:8" x14ac:dyDescent="0.35">
      <c r="A192" t="s">
        <v>40</v>
      </c>
      <c r="B192" t="s">
        <v>911</v>
      </c>
      <c r="C192" s="1">
        <v>45446</v>
      </c>
      <c r="D192" s="2">
        <v>4.8611111111111112E-3</v>
      </c>
      <c r="E192" t="s">
        <v>2</v>
      </c>
      <c r="F192" t="s">
        <v>3</v>
      </c>
      <c r="G192" s="3">
        <v>30.3</v>
      </c>
      <c r="H192" s="3">
        <v>4.54</v>
      </c>
    </row>
    <row r="193" spans="1:8" x14ac:dyDescent="0.35">
      <c r="A193" t="s">
        <v>40</v>
      </c>
      <c r="B193" t="s">
        <v>912</v>
      </c>
      <c r="C193" s="1">
        <v>45446</v>
      </c>
      <c r="D193" s="2">
        <v>0.38680555555555557</v>
      </c>
      <c r="E193" t="s">
        <v>2</v>
      </c>
      <c r="F193" t="s">
        <v>3</v>
      </c>
      <c r="G193" s="3">
        <v>20.88</v>
      </c>
      <c r="H193" s="3">
        <v>3.13</v>
      </c>
    </row>
    <row r="194" spans="1:8" x14ac:dyDescent="0.35">
      <c r="A194" t="s">
        <v>40</v>
      </c>
      <c r="B194" t="s">
        <v>913</v>
      </c>
      <c r="C194" s="1">
        <v>45446</v>
      </c>
      <c r="D194" s="2">
        <v>0.81597222222222221</v>
      </c>
      <c r="E194" t="s">
        <v>2</v>
      </c>
      <c r="F194" t="s">
        <v>3</v>
      </c>
      <c r="G194" s="3">
        <v>75.989999999999995</v>
      </c>
      <c r="H194" s="3">
        <v>11.38</v>
      </c>
    </row>
    <row r="195" spans="1:8" x14ac:dyDescent="0.35">
      <c r="A195" t="s">
        <v>40</v>
      </c>
      <c r="B195" t="s">
        <v>914</v>
      </c>
      <c r="C195" s="1">
        <v>45447</v>
      </c>
      <c r="D195" s="2">
        <v>0.18541666666666667</v>
      </c>
      <c r="E195" t="s">
        <v>180</v>
      </c>
      <c r="F195" t="s">
        <v>3</v>
      </c>
      <c r="G195" s="3">
        <v>0.5</v>
      </c>
      <c r="H195" s="3">
        <v>7.0000000000000007E-2</v>
      </c>
    </row>
    <row r="196" spans="1:8" x14ac:dyDescent="0.35">
      <c r="A196" t="s">
        <v>40</v>
      </c>
      <c r="B196" t="s">
        <v>915</v>
      </c>
      <c r="C196" s="1">
        <v>45447</v>
      </c>
      <c r="D196" s="2">
        <v>0.4152777777777778</v>
      </c>
      <c r="E196" t="s">
        <v>2</v>
      </c>
      <c r="F196" t="s">
        <v>3</v>
      </c>
      <c r="G196" s="3">
        <v>27.7</v>
      </c>
      <c r="H196" s="3">
        <v>4.1500000000000004</v>
      </c>
    </row>
    <row r="197" spans="1:8" x14ac:dyDescent="0.35">
      <c r="A197" t="s">
        <v>40</v>
      </c>
      <c r="B197" t="s">
        <v>916</v>
      </c>
      <c r="C197" s="1">
        <v>45448</v>
      </c>
      <c r="D197" s="2">
        <v>0.26250000000000001</v>
      </c>
      <c r="E197" t="s">
        <v>2</v>
      </c>
      <c r="F197" t="s">
        <v>3</v>
      </c>
      <c r="G197" s="3">
        <v>20.88</v>
      </c>
      <c r="H197" s="3">
        <v>3.13</v>
      </c>
    </row>
    <row r="198" spans="1:8" x14ac:dyDescent="0.35">
      <c r="A198" t="s">
        <v>40</v>
      </c>
      <c r="B198" t="s">
        <v>917</v>
      </c>
      <c r="C198" s="1">
        <v>45448</v>
      </c>
      <c r="D198" s="2">
        <v>0.28263888888888888</v>
      </c>
      <c r="E198" t="s">
        <v>2</v>
      </c>
      <c r="F198" t="s">
        <v>3</v>
      </c>
      <c r="G198" s="3">
        <v>7.82</v>
      </c>
      <c r="H198" s="3">
        <v>1.17</v>
      </c>
    </row>
    <row r="199" spans="1:8" x14ac:dyDescent="0.35">
      <c r="A199" t="s">
        <v>40</v>
      </c>
      <c r="B199" t="s">
        <v>918</v>
      </c>
      <c r="C199" s="1">
        <v>45448</v>
      </c>
      <c r="D199" s="2">
        <v>0.27916666666666667</v>
      </c>
      <c r="E199" t="s">
        <v>2</v>
      </c>
      <c r="F199" t="s">
        <v>3</v>
      </c>
      <c r="G199" s="3">
        <v>25.74</v>
      </c>
      <c r="H199" s="3">
        <v>3.85</v>
      </c>
    </row>
    <row r="200" spans="1:8" x14ac:dyDescent="0.35">
      <c r="A200" t="s">
        <v>40</v>
      </c>
      <c r="B200" t="s">
        <v>919</v>
      </c>
      <c r="C200" s="1">
        <v>45448</v>
      </c>
      <c r="D200" s="2">
        <v>0.88888888888888884</v>
      </c>
      <c r="E200" t="s">
        <v>2</v>
      </c>
      <c r="F200" t="s">
        <v>3</v>
      </c>
      <c r="G200" s="3">
        <v>17.399999999999999</v>
      </c>
      <c r="H200" s="3">
        <v>2.61</v>
      </c>
    </row>
    <row r="201" spans="1:8" x14ac:dyDescent="0.35">
      <c r="A201" t="s">
        <v>40</v>
      </c>
      <c r="B201" t="s">
        <v>920</v>
      </c>
      <c r="C201" s="1">
        <v>45449</v>
      </c>
      <c r="D201" s="2">
        <v>0.26041666666666669</v>
      </c>
      <c r="E201" t="s">
        <v>2</v>
      </c>
      <c r="F201" t="s">
        <v>3</v>
      </c>
      <c r="G201" s="3">
        <v>18.59</v>
      </c>
      <c r="H201" s="3">
        <v>2.78</v>
      </c>
    </row>
    <row r="202" spans="1:8" x14ac:dyDescent="0.35">
      <c r="A202" t="s">
        <v>40</v>
      </c>
      <c r="B202" t="s">
        <v>921</v>
      </c>
      <c r="C202" s="1">
        <v>45449</v>
      </c>
      <c r="D202" s="2">
        <v>0.39444444444444443</v>
      </c>
      <c r="E202" t="s">
        <v>2</v>
      </c>
      <c r="F202" t="s">
        <v>3</v>
      </c>
      <c r="G202" s="3">
        <v>27.14</v>
      </c>
      <c r="H202" s="3">
        <v>4.0599999999999996</v>
      </c>
    </row>
    <row r="203" spans="1:8" x14ac:dyDescent="0.35">
      <c r="A203" t="s">
        <v>40</v>
      </c>
      <c r="B203" t="s">
        <v>922</v>
      </c>
      <c r="C203" s="1">
        <v>45450</v>
      </c>
      <c r="D203" s="2">
        <v>0.7895833333333333</v>
      </c>
      <c r="E203" t="s">
        <v>2</v>
      </c>
      <c r="F203" t="s">
        <v>3</v>
      </c>
      <c r="G203" s="3">
        <v>16.3</v>
      </c>
      <c r="H203" s="3">
        <v>2.44</v>
      </c>
    </row>
    <row r="204" spans="1:8" x14ac:dyDescent="0.35">
      <c r="A204" t="s">
        <v>40</v>
      </c>
      <c r="B204" t="s">
        <v>923</v>
      </c>
      <c r="C204" s="1">
        <v>45450</v>
      </c>
      <c r="D204" s="2">
        <v>0.83680555555555547</v>
      </c>
      <c r="E204" t="s">
        <v>2</v>
      </c>
      <c r="F204" t="s">
        <v>3</v>
      </c>
      <c r="G204" s="3">
        <v>17.100000000000001</v>
      </c>
      <c r="H204" s="3">
        <v>2.56</v>
      </c>
    </row>
    <row r="205" spans="1:8" x14ac:dyDescent="0.35">
      <c r="A205" t="s">
        <v>40</v>
      </c>
      <c r="B205" t="s">
        <v>924</v>
      </c>
      <c r="C205" s="1">
        <v>45451</v>
      </c>
      <c r="D205" s="2">
        <v>8.5416666666666655E-2</v>
      </c>
      <c r="E205" t="s">
        <v>2</v>
      </c>
      <c r="F205" t="s">
        <v>3</v>
      </c>
      <c r="G205" s="3">
        <v>28.64</v>
      </c>
      <c r="H205" s="3">
        <v>4.29</v>
      </c>
    </row>
    <row r="206" spans="1:8" x14ac:dyDescent="0.35">
      <c r="A206" t="s">
        <v>40</v>
      </c>
      <c r="B206" t="s">
        <v>925</v>
      </c>
      <c r="C206" s="1">
        <v>45451</v>
      </c>
      <c r="D206" s="2">
        <v>0.57638888888888895</v>
      </c>
      <c r="E206" t="s">
        <v>2</v>
      </c>
      <c r="F206" t="s">
        <v>3</v>
      </c>
      <c r="G206" s="3">
        <v>44.67</v>
      </c>
      <c r="H206" s="3">
        <v>6.69</v>
      </c>
    </row>
    <row r="207" spans="1:8" x14ac:dyDescent="0.35">
      <c r="A207" t="s">
        <v>40</v>
      </c>
      <c r="B207" t="s">
        <v>926</v>
      </c>
      <c r="C207" s="1">
        <v>45451</v>
      </c>
      <c r="D207" s="2">
        <v>0.96111111111111114</v>
      </c>
      <c r="E207" t="s">
        <v>2</v>
      </c>
      <c r="F207" t="s">
        <v>3</v>
      </c>
      <c r="G207" s="3">
        <v>15.97</v>
      </c>
      <c r="H207" s="3">
        <v>2.39</v>
      </c>
    </row>
    <row r="208" spans="1:8" x14ac:dyDescent="0.35">
      <c r="A208" t="s">
        <v>40</v>
      </c>
      <c r="B208" t="s">
        <v>927</v>
      </c>
      <c r="C208" s="1">
        <v>45451</v>
      </c>
      <c r="D208" s="2">
        <v>0.98263888888888884</v>
      </c>
      <c r="E208" t="s">
        <v>2</v>
      </c>
      <c r="F208" t="s">
        <v>3</v>
      </c>
      <c r="G208" s="3">
        <v>17.55</v>
      </c>
      <c r="H208" s="3">
        <v>2.63</v>
      </c>
    </row>
    <row r="209" spans="1:8" x14ac:dyDescent="0.35">
      <c r="A209" t="s">
        <v>40</v>
      </c>
      <c r="B209" t="s">
        <v>928</v>
      </c>
      <c r="C209" s="1">
        <v>45452</v>
      </c>
      <c r="D209" s="2">
        <v>1.3194444444444444E-2</v>
      </c>
      <c r="E209" t="s">
        <v>2</v>
      </c>
      <c r="F209" t="s">
        <v>3</v>
      </c>
      <c r="G209" s="3">
        <v>90.18</v>
      </c>
      <c r="H209" s="3">
        <v>13.5</v>
      </c>
    </row>
    <row r="210" spans="1:8" x14ac:dyDescent="0.35">
      <c r="A210" t="s">
        <v>40</v>
      </c>
      <c r="B210" t="s">
        <v>929</v>
      </c>
      <c r="C210" s="1">
        <v>45452</v>
      </c>
      <c r="D210" s="2">
        <v>0.76736111111111116</v>
      </c>
      <c r="E210" t="s">
        <v>2</v>
      </c>
      <c r="F210" t="s">
        <v>3</v>
      </c>
      <c r="G210" s="3">
        <v>49.27</v>
      </c>
      <c r="H210" s="3">
        <v>7.38</v>
      </c>
    </row>
    <row r="211" spans="1:8" x14ac:dyDescent="0.35">
      <c r="A211" t="s">
        <v>40</v>
      </c>
      <c r="B211" t="s">
        <v>930</v>
      </c>
      <c r="C211" s="1">
        <v>45452</v>
      </c>
      <c r="D211" s="2">
        <v>0.89861111111111114</v>
      </c>
      <c r="E211" t="s">
        <v>2</v>
      </c>
      <c r="F211" t="s">
        <v>3</v>
      </c>
      <c r="G211" s="3">
        <v>20.88</v>
      </c>
      <c r="H211" s="3">
        <v>3.13</v>
      </c>
    </row>
    <row r="212" spans="1:8" x14ac:dyDescent="0.35">
      <c r="A212" t="s">
        <v>40</v>
      </c>
      <c r="B212" t="s">
        <v>931</v>
      </c>
      <c r="C212" s="1">
        <v>45453</v>
      </c>
      <c r="D212" s="2">
        <v>0.13749999999999998</v>
      </c>
      <c r="E212" t="s">
        <v>2</v>
      </c>
      <c r="F212" t="s">
        <v>3</v>
      </c>
      <c r="G212" s="3">
        <v>31.29</v>
      </c>
      <c r="H212" s="3">
        <v>4.6900000000000004</v>
      </c>
    </row>
    <row r="213" spans="1:8" x14ac:dyDescent="0.35">
      <c r="A213" t="s">
        <v>40</v>
      </c>
      <c r="B213" t="s">
        <v>932</v>
      </c>
      <c r="C213" s="1">
        <v>45453</v>
      </c>
      <c r="D213" s="2">
        <v>0.98541666666666661</v>
      </c>
      <c r="E213" t="s">
        <v>2</v>
      </c>
      <c r="F213" t="s">
        <v>3</v>
      </c>
      <c r="G213" s="3">
        <v>3.5</v>
      </c>
      <c r="H213" s="3">
        <v>0.52</v>
      </c>
    </row>
    <row r="214" spans="1:8" x14ac:dyDescent="0.35">
      <c r="A214" t="s">
        <v>40</v>
      </c>
      <c r="B214" t="s">
        <v>933</v>
      </c>
      <c r="C214" s="1">
        <v>45454</v>
      </c>
      <c r="D214" s="2">
        <v>0.14375000000000002</v>
      </c>
      <c r="E214" t="s">
        <v>2</v>
      </c>
      <c r="F214" t="s">
        <v>3</v>
      </c>
      <c r="G214" s="3">
        <v>46.18</v>
      </c>
      <c r="H214" s="3">
        <v>6.92</v>
      </c>
    </row>
    <row r="215" spans="1:8" x14ac:dyDescent="0.35">
      <c r="A215" t="s">
        <v>40</v>
      </c>
      <c r="B215" t="s">
        <v>934</v>
      </c>
      <c r="C215" s="1">
        <v>45454</v>
      </c>
      <c r="D215" s="2">
        <v>0.15347222222222223</v>
      </c>
      <c r="E215" t="s">
        <v>2</v>
      </c>
      <c r="F215" t="s">
        <v>3</v>
      </c>
      <c r="G215" s="3">
        <v>16.89</v>
      </c>
      <c r="H215" s="3">
        <v>2.5299999999999998</v>
      </c>
    </row>
    <row r="216" spans="1:8" x14ac:dyDescent="0.35">
      <c r="A216" t="s">
        <v>40</v>
      </c>
      <c r="B216" t="s">
        <v>935</v>
      </c>
      <c r="C216" s="1">
        <v>45455</v>
      </c>
      <c r="D216" s="2">
        <v>0.78263888888888899</v>
      </c>
      <c r="E216" t="s">
        <v>2</v>
      </c>
      <c r="F216" t="s">
        <v>3</v>
      </c>
      <c r="G216" s="3">
        <v>20.239999999999998</v>
      </c>
      <c r="H216" s="3">
        <v>3.03</v>
      </c>
    </row>
    <row r="217" spans="1:8" x14ac:dyDescent="0.35">
      <c r="A217" t="s">
        <v>40</v>
      </c>
      <c r="B217" t="s">
        <v>936</v>
      </c>
      <c r="C217" s="1">
        <v>45456</v>
      </c>
      <c r="D217" s="2">
        <v>3.7499999999999999E-2</v>
      </c>
      <c r="E217" t="s">
        <v>2</v>
      </c>
      <c r="F217" t="s">
        <v>3</v>
      </c>
      <c r="G217" s="3">
        <v>18.59</v>
      </c>
      <c r="H217" s="3">
        <v>2.78</v>
      </c>
    </row>
    <row r="218" spans="1:8" x14ac:dyDescent="0.35">
      <c r="A218" t="s">
        <v>40</v>
      </c>
      <c r="B218" t="s">
        <v>937</v>
      </c>
      <c r="C218" s="1">
        <v>45456</v>
      </c>
      <c r="D218" s="2">
        <v>0.25486111111111109</v>
      </c>
      <c r="E218" t="s">
        <v>2</v>
      </c>
      <c r="F218" t="s">
        <v>3</v>
      </c>
      <c r="G218" s="3">
        <v>22.29</v>
      </c>
      <c r="H218" s="3">
        <v>3.34</v>
      </c>
    </row>
    <row r="219" spans="1:8" x14ac:dyDescent="0.35">
      <c r="A219" t="s">
        <v>40</v>
      </c>
      <c r="B219" t="s">
        <v>938</v>
      </c>
      <c r="C219" s="1">
        <v>45457</v>
      </c>
      <c r="D219" s="2">
        <v>0.83750000000000002</v>
      </c>
      <c r="E219" t="s">
        <v>2</v>
      </c>
      <c r="F219" t="s">
        <v>3</v>
      </c>
      <c r="G219" s="3">
        <v>75.989999999999995</v>
      </c>
      <c r="H219" s="3">
        <v>11.38</v>
      </c>
    </row>
    <row r="220" spans="1:8" x14ac:dyDescent="0.35">
      <c r="A220" t="s">
        <v>40</v>
      </c>
      <c r="B220" t="s">
        <v>939</v>
      </c>
      <c r="C220" s="1">
        <v>45458</v>
      </c>
      <c r="D220" s="2">
        <v>0.20069444444444443</v>
      </c>
      <c r="E220" t="s">
        <v>2</v>
      </c>
      <c r="F220" t="s">
        <v>3</v>
      </c>
      <c r="G220" s="3">
        <v>29.6</v>
      </c>
      <c r="H220" s="3">
        <v>4.43</v>
      </c>
    </row>
    <row r="221" spans="1:8" x14ac:dyDescent="0.35">
      <c r="A221" t="s">
        <v>40</v>
      </c>
      <c r="B221" t="s">
        <v>940</v>
      </c>
      <c r="C221" s="1">
        <v>45459</v>
      </c>
      <c r="D221" s="2">
        <v>0.47569444444444442</v>
      </c>
      <c r="E221" t="s">
        <v>2</v>
      </c>
      <c r="F221" t="s">
        <v>3</v>
      </c>
      <c r="G221" s="3">
        <v>29</v>
      </c>
      <c r="H221" s="3">
        <v>4.34</v>
      </c>
    </row>
    <row r="222" spans="1:8" x14ac:dyDescent="0.35">
      <c r="A222" t="s">
        <v>40</v>
      </c>
      <c r="B222" t="s">
        <v>941</v>
      </c>
      <c r="C222" s="1">
        <v>45459</v>
      </c>
      <c r="D222" s="2">
        <v>0.73541666666666661</v>
      </c>
      <c r="E222" t="s">
        <v>2</v>
      </c>
      <c r="F222" t="s">
        <v>3</v>
      </c>
      <c r="G222" s="3">
        <v>23.44</v>
      </c>
      <c r="H222" s="3">
        <v>3.51</v>
      </c>
    </row>
    <row r="223" spans="1:8" x14ac:dyDescent="0.35">
      <c r="A223" t="s">
        <v>40</v>
      </c>
      <c r="B223" t="s">
        <v>942</v>
      </c>
      <c r="C223" s="1">
        <v>45459</v>
      </c>
      <c r="D223" s="2">
        <v>0.88541666666666663</v>
      </c>
      <c r="E223" t="s">
        <v>2</v>
      </c>
      <c r="F223" t="s">
        <v>3</v>
      </c>
      <c r="G223" s="3">
        <v>29.03</v>
      </c>
      <c r="H223" s="3">
        <v>4.3499999999999996</v>
      </c>
    </row>
    <row r="224" spans="1:8" x14ac:dyDescent="0.35">
      <c r="A224" t="s">
        <v>40</v>
      </c>
      <c r="B224" t="s">
        <v>943</v>
      </c>
      <c r="C224" s="1">
        <v>45460</v>
      </c>
      <c r="D224" s="2">
        <v>0.78680555555555554</v>
      </c>
      <c r="E224" t="s">
        <v>2</v>
      </c>
      <c r="F224" t="s">
        <v>3</v>
      </c>
      <c r="G224" s="3">
        <v>12.05</v>
      </c>
      <c r="H224" s="3">
        <v>1.8</v>
      </c>
    </row>
    <row r="225" spans="1:8" x14ac:dyDescent="0.35">
      <c r="A225" t="s">
        <v>40</v>
      </c>
      <c r="B225" t="s">
        <v>944</v>
      </c>
      <c r="C225" s="1">
        <v>45461</v>
      </c>
      <c r="D225" s="2">
        <v>1.3194444444444444E-2</v>
      </c>
      <c r="E225" t="s">
        <v>2</v>
      </c>
      <c r="F225" t="s">
        <v>3</v>
      </c>
      <c r="G225" s="3">
        <v>18.260000000000002</v>
      </c>
      <c r="H225" s="3">
        <v>2.73</v>
      </c>
    </row>
    <row r="226" spans="1:8" x14ac:dyDescent="0.35">
      <c r="A226" t="s">
        <v>40</v>
      </c>
      <c r="B226" t="s">
        <v>945</v>
      </c>
      <c r="C226" s="1">
        <v>45463</v>
      </c>
      <c r="D226" s="2">
        <v>0.82777777777777783</v>
      </c>
      <c r="E226" t="s">
        <v>2</v>
      </c>
      <c r="F226" t="s">
        <v>3</v>
      </c>
      <c r="G226" s="3">
        <v>21.15</v>
      </c>
      <c r="H226" s="3">
        <v>3.17</v>
      </c>
    </row>
    <row r="227" spans="1:8" x14ac:dyDescent="0.35">
      <c r="A227" t="s">
        <v>40</v>
      </c>
      <c r="B227" t="s">
        <v>946</v>
      </c>
      <c r="C227" s="1">
        <v>45465</v>
      </c>
      <c r="D227" s="2">
        <v>0.14375000000000002</v>
      </c>
      <c r="E227" t="s">
        <v>2</v>
      </c>
      <c r="F227" t="s">
        <v>3</v>
      </c>
      <c r="G227" s="3">
        <v>38.82</v>
      </c>
      <c r="H227" s="3">
        <v>5.81</v>
      </c>
    </row>
    <row r="228" spans="1:8" x14ac:dyDescent="0.35">
      <c r="A228" t="s">
        <v>40</v>
      </c>
      <c r="B228" t="s">
        <v>947</v>
      </c>
      <c r="C228" s="1">
        <v>45465</v>
      </c>
      <c r="D228" s="2">
        <v>0.19444444444444445</v>
      </c>
      <c r="E228" t="s">
        <v>2</v>
      </c>
      <c r="F228" t="s">
        <v>3</v>
      </c>
      <c r="G228" s="3">
        <v>15.84</v>
      </c>
      <c r="H228" s="3">
        <v>2.37</v>
      </c>
    </row>
    <row r="229" spans="1:8" x14ac:dyDescent="0.35">
      <c r="A229" t="s">
        <v>40</v>
      </c>
      <c r="B229" t="s">
        <v>948</v>
      </c>
      <c r="C229" s="1">
        <v>45465</v>
      </c>
      <c r="D229" s="2">
        <v>0.99305555555555547</v>
      </c>
      <c r="E229" t="s">
        <v>2</v>
      </c>
      <c r="F229" t="s">
        <v>3</v>
      </c>
      <c r="G229" s="3">
        <v>23.46</v>
      </c>
      <c r="H229" s="3">
        <v>3.51</v>
      </c>
    </row>
    <row r="230" spans="1:8" x14ac:dyDescent="0.35">
      <c r="A230" t="s">
        <v>40</v>
      </c>
      <c r="B230" t="s">
        <v>949</v>
      </c>
      <c r="C230" s="1">
        <v>45466</v>
      </c>
      <c r="D230" s="2">
        <v>9.3055555555555558E-2</v>
      </c>
      <c r="E230" t="s">
        <v>2</v>
      </c>
      <c r="F230" t="s">
        <v>3</v>
      </c>
      <c r="G230" s="3">
        <v>52.09</v>
      </c>
      <c r="H230" s="3">
        <v>7.8</v>
      </c>
    </row>
    <row r="231" spans="1:8" x14ac:dyDescent="0.35">
      <c r="A231" t="s">
        <v>40</v>
      </c>
      <c r="B231" t="s">
        <v>950</v>
      </c>
      <c r="C231" s="1">
        <v>45467</v>
      </c>
      <c r="D231" s="2">
        <v>0.62430555555555556</v>
      </c>
      <c r="E231" t="s">
        <v>2</v>
      </c>
      <c r="F231" t="s">
        <v>3</v>
      </c>
      <c r="G231" s="3">
        <v>24.45</v>
      </c>
      <c r="H231" s="3">
        <v>3.66</v>
      </c>
    </row>
    <row r="232" spans="1:8" x14ac:dyDescent="0.35">
      <c r="A232" t="s">
        <v>40</v>
      </c>
      <c r="B232" t="s">
        <v>951</v>
      </c>
      <c r="C232" s="1">
        <v>45468</v>
      </c>
      <c r="D232" s="2">
        <v>0.13541666666666666</v>
      </c>
      <c r="E232" t="s">
        <v>2</v>
      </c>
      <c r="F232" t="s">
        <v>3</v>
      </c>
      <c r="G232" s="3">
        <v>14.8</v>
      </c>
      <c r="H232" s="3">
        <v>2.2200000000000002</v>
      </c>
    </row>
    <row r="233" spans="1:8" x14ac:dyDescent="0.35">
      <c r="A233" t="s">
        <v>40</v>
      </c>
      <c r="B233" t="s">
        <v>952</v>
      </c>
      <c r="C233" s="1">
        <v>45468</v>
      </c>
      <c r="D233" s="2">
        <v>0.89583333333333337</v>
      </c>
      <c r="E233" t="s">
        <v>2</v>
      </c>
      <c r="F233" t="s">
        <v>3</v>
      </c>
      <c r="G233" s="3">
        <v>10.44</v>
      </c>
      <c r="H233" s="3">
        <v>1.56</v>
      </c>
    </row>
    <row r="234" spans="1:8" x14ac:dyDescent="0.35">
      <c r="A234" t="s">
        <v>40</v>
      </c>
      <c r="B234" t="s">
        <v>953</v>
      </c>
      <c r="C234" s="1">
        <v>45472</v>
      </c>
      <c r="D234" s="2">
        <v>0.16458333333333333</v>
      </c>
      <c r="E234" t="s">
        <v>2</v>
      </c>
      <c r="F234" t="s">
        <v>3</v>
      </c>
      <c r="G234" s="3">
        <v>36.11</v>
      </c>
      <c r="H234" s="3">
        <v>5.41</v>
      </c>
    </row>
    <row r="235" spans="1:8" x14ac:dyDescent="0.35">
      <c r="A235" t="s">
        <v>40</v>
      </c>
      <c r="B235" t="s">
        <v>954</v>
      </c>
      <c r="C235" s="1">
        <v>45473</v>
      </c>
      <c r="D235" s="2">
        <v>0.16250000000000001</v>
      </c>
      <c r="E235" t="s">
        <v>2</v>
      </c>
      <c r="F235" t="s">
        <v>3</v>
      </c>
      <c r="G235" s="3">
        <v>18.95</v>
      </c>
      <c r="H235" s="3">
        <v>2.84</v>
      </c>
    </row>
    <row r="236" spans="1:8" x14ac:dyDescent="0.35">
      <c r="A236" t="s">
        <v>40</v>
      </c>
      <c r="B236" t="s">
        <v>955</v>
      </c>
      <c r="C236" s="1">
        <v>45473</v>
      </c>
      <c r="D236" s="2">
        <v>0.86388888888888893</v>
      </c>
      <c r="E236" t="s">
        <v>2</v>
      </c>
      <c r="F236" t="s">
        <v>3</v>
      </c>
      <c r="G236" s="3">
        <v>6.65</v>
      </c>
      <c r="H236" s="3">
        <v>1</v>
      </c>
    </row>
    <row r="237" spans="1:8" x14ac:dyDescent="0.35">
      <c r="A237" s="16" t="s">
        <v>40</v>
      </c>
      <c r="B237" s="16" t="s">
        <v>956</v>
      </c>
      <c r="C237" s="17">
        <v>45473</v>
      </c>
      <c r="D237" s="18">
        <v>0.90902777777777777</v>
      </c>
      <c r="E237" s="16" t="s">
        <v>2</v>
      </c>
      <c r="F237" s="16" t="s">
        <v>3</v>
      </c>
      <c r="G237" s="19">
        <v>53.48</v>
      </c>
      <c r="H237" s="19">
        <v>8.01</v>
      </c>
    </row>
    <row r="238" spans="1:8" x14ac:dyDescent="0.35">
      <c r="A238" t="s">
        <v>2227</v>
      </c>
      <c r="G238" s="9">
        <f>SUM(G189:G237)</f>
        <v>1396.27</v>
      </c>
      <c r="H238" s="9">
        <f>SUM(H189:H237)</f>
        <v>209.07999999999996</v>
      </c>
    </row>
    <row r="240" spans="1:8" ht="15" thickBot="1" x14ac:dyDescent="0.4"/>
    <row r="241" spans="1:8" ht="15" thickBot="1" x14ac:dyDescent="0.4">
      <c r="A241" s="11" t="s">
        <v>411</v>
      </c>
      <c r="B241" s="12" t="s">
        <v>163</v>
      </c>
      <c r="C241" s="12" t="s">
        <v>165</v>
      </c>
      <c r="D241" s="12" t="s">
        <v>166</v>
      </c>
      <c r="E241" s="12" t="s">
        <v>164</v>
      </c>
      <c r="F241" s="12" t="s">
        <v>167</v>
      </c>
      <c r="G241" s="12" t="s">
        <v>412</v>
      </c>
      <c r="H241" s="13" t="s">
        <v>169</v>
      </c>
    </row>
    <row r="242" spans="1:8" x14ac:dyDescent="0.35">
      <c r="A242" t="s">
        <v>148</v>
      </c>
      <c r="B242" t="s">
        <v>957</v>
      </c>
      <c r="C242" s="1">
        <v>45444</v>
      </c>
      <c r="D242" s="2">
        <v>0.20347222222222219</v>
      </c>
      <c r="E242" t="s">
        <v>2</v>
      </c>
      <c r="F242" t="s">
        <v>3</v>
      </c>
      <c r="G242" s="3">
        <v>35.49</v>
      </c>
      <c r="H242" s="3">
        <v>5.31</v>
      </c>
    </row>
    <row r="243" spans="1:8" x14ac:dyDescent="0.35">
      <c r="A243" t="s">
        <v>148</v>
      </c>
      <c r="B243" t="s">
        <v>958</v>
      </c>
      <c r="C243" s="1">
        <v>45444</v>
      </c>
      <c r="D243" s="2">
        <v>0.2388888888888889</v>
      </c>
      <c r="E243" t="s">
        <v>2</v>
      </c>
      <c r="F243" t="s">
        <v>3</v>
      </c>
      <c r="G243" s="3">
        <v>36.590000000000003</v>
      </c>
      <c r="H243" s="3">
        <v>5.48</v>
      </c>
    </row>
    <row r="244" spans="1:8" x14ac:dyDescent="0.35">
      <c r="A244" t="s">
        <v>148</v>
      </c>
      <c r="B244" t="s">
        <v>959</v>
      </c>
      <c r="C244" s="1">
        <v>45444</v>
      </c>
      <c r="D244" s="2">
        <v>0.52083333333333337</v>
      </c>
      <c r="E244" t="s">
        <v>2</v>
      </c>
      <c r="F244" t="s">
        <v>3</v>
      </c>
      <c r="G244" s="3">
        <v>17.100000000000001</v>
      </c>
      <c r="H244" s="3">
        <v>2.56</v>
      </c>
    </row>
    <row r="245" spans="1:8" x14ac:dyDescent="0.35">
      <c r="A245" t="s">
        <v>148</v>
      </c>
      <c r="B245" t="s">
        <v>960</v>
      </c>
      <c r="C245" s="1">
        <v>45445</v>
      </c>
      <c r="D245" s="2">
        <v>0.31597222222222221</v>
      </c>
      <c r="E245" t="s">
        <v>2</v>
      </c>
      <c r="F245" t="s">
        <v>3</v>
      </c>
      <c r="G245" s="3">
        <v>24.99</v>
      </c>
      <c r="H245" s="3">
        <v>3.74</v>
      </c>
    </row>
    <row r="246" spans="1:8" x14ac:dyDescent="0.35">
      <c r="A246" t="s">
        <v>148</v>
      </c>
      <c r="B246" t="s">
        <v>961</v>
      </c>
      <c r="C246" s="1">
        <v>45445</v>
      </c>
      <c r="D246" s="2">
        <v>0.34930555555555554</v>
      </c>
      <c r="E246" t="s">
        <v>2</v>
      </c>
      <c r="F246" t="s">
        <v>3</v>
      </c>
      <c r="G246" s="3">
        <v>24.99</v>
      </c>
      <c r="H246" s="3">
        <v>3.74</v>
      </c>
    </row>
    <row r="247" spans="1:8" x14ac:dyDescent="0.35">
      <c r="A247" t="s">
        <v>148</v>
      </c>
      <c r="B247" t="s">
        <v>962</v>
      </c>
      <c r="C247" s="1">
        <v>45447</v>
      </c>
      <c r="D247" s="2">
        <v>0.32222222222222224</v>
      </c>
      <c r="E247" t="s">
        <v>2</v>
      </c>
      <c r="F247" t="s">
        <v>3</v>
      </c>
      <c r="G247" s="3">
        <v>16.899999999999999</v>
      </c>
      <c r="H247" s="3">
        <v>2.5299999999999998</v>
      </c>
    </row>
    <row r="248" spans="1:8" x14ac:dyDescent="0.35">
      <c r="A248" t="s">
        <v>148</v>
      </c>
      <c r="B248" t="s">
        <v>963</v>
      </c>
      <c r="C248" s="1">
        <v>45448</v>
      </c>
      <c r="D248" s="2">
        <v>0.18958333333333333</v>
      </c>
      <c r="E248" t="s">
        <v>2</v>
      </c>
      <c r="F248" t="s">
        <v>3</v>
      </c>
      <c r="G248" s="3">
        <v>24.58</v>
      </c>
      <c r="H248" s="3">
        <v>3.68</v>
      </c>
    </row>
    <row r="249" spans="1:8" x14ac:dyDescent="0.35">
      <c r="A249" t="s">
        <v>148</v>
      </c>
      <c r="B249" t="s">
        <v>964</v>
      </c>
      <c r="C249" s="1">
        <v>45448</v>
      </c>
      <c r="D249" s="2">
        <v>0.37361111111111112</v>
      </c>
      <c r="E249" t="s">
        <v>2</v>
      </c>
      <c r="F249" t="s">
        <v>3</v>
      </c>
      <c r="G249" s="3">
        <v>55.65</v>
      </c>
      <c r="H249" s="3">
        <v>8.33</v>
      </c>
    </row>
    <row r="250" spans="1:8" x14ac:dyDescent="0.35">
      <c r="A250" t="s">
        <v>148</v>
      </c>
      <c r="B250" t="s">
        <v>965</v>
      </c>
      <c r="C250" s="1">
        <v>45451</v>
      </c>
      <c r="D250" s="2">
        <v>0.43194444444444446</v>
      </c>
      <c r="E250" t="s">
        <v>2</v>
      </c>
      <c r="F250" t="s">
        <v>3</v>
      </c>
      <c r="G250" s="3">
        <v>21.09</v>
      </c>
      <c r="H250" s="3">
        <v>3.16</v>
      </c>
    </row>
    <row r="251" spans="1:8" x14ac:dyDescent="0.35">
      <c r="A251" t="s">
        <v>148</v>
      </c>
      <c r="B251" t="s">
        <v>966</v>
      </c>
      <c r="C251" s="1">
        <v>45452</v>
      </c>
      <c r="D251" s="2">
        <v>2.0833333333333333E-3</v>
      </c>
      <c r="E251" t="s">
        <v>2</v>
      </c>
      <c r="F251" t="s">
        <v>3</v>
      </c>
      <c r="G251" s="3">
        <v>13.98</v>
      </c>
      <c r="H251" s="3">
        <v>2.09</v>
      </c>
    </row>
    <row r="252" spans="1:8" x14ac:dyDescent="0.35">
      <c r="A252" t="s">
        <v>148</v>
      </c>
      <c r="B252" t="s">
        <v>967</v>
      </c>
      <c r="C252" s="1">
        <v>45455</v>
      </c>
      <c r="D252" s="2">
        <v>0.15833333333333333</v>
      </c>
      <c r="E252" t="s">
        <v>2</v>
      </c>
      <c r="F252" t="s">
        <v>3</v>
      </c>
      <c r="G252" s="3">
        <v>15.67</v>
      </c>
      <c r="H252" s="3">
        <v>2.35</v>
      </c>
    </row>
    <row r="253" spans="1:8" x14ac:dyDescent="0.35">
      <c r="A253" t="s">
        <v>148</v>
      </c>
      <c r="B253" t="s">
        <v>968</v>
      </c>
      <c r="C253" s="1">
        <v>45455</v>
      </c>
      <c r="D253" s="2">
        <v>0.37083333333333335</v>
      </c>
      <c r="E253" t="s">
        <v>2</v>
      </c>
      <c r="F253" t="s">
        <v>3</v>
      </c>
      <c r="G253" s="3">
        <v>16.899999999999999</v>
      </c>
      <c r="H253" s="3">
        <v>2.5299999999999998</v>
      </c>
    </row>
    <row r="254" spans="1:8" x14ac:dyDescent="0.35">
      <c r="A254" t="s">
        <v>148</v>
      </c>
      <c r="B254" t="s">
        <v>969</v>
      </c>
      <c r="C254" s="1">
        <v>45456</v>
      </c>
      <c r="D254" s="2">
        <v>0.33680555555555558</v>
      </c>
      <c r="E254" t="s">
        <v>2</v>
      </c>
      <c r="F254" t="s">
        <v>3</v>
      </c>
      <c r="G254" s="3">
        <v>13.93</v>
      </c>
      <c r="H254" s="3">
        <v>2.09</v>
      </c>
    </row>
    <row r="255" spans="1:8" x14ac:dyDescent="0.35">
      <c r="A255" t="s">
        <v>148</v>
      </c>
      <c r="B255" t="s">
        <v>970</v>
      </c>
      <c r="C255" s="1">
        <v>45458</v>
      </c>
      <c r="D255" s="2">
        <v>0.4694444444444445</v>
      </c>
      <c r="E255" t="s">
        <v>2</v>
      </c>
      <c r="F255" t="s">
        <v>3</v>
      </c>
      <c r="G255" s="3">
        <v>30.53</v>
      </c>
      <c r="H255" s="3">
        <v>4.57</v>
      </c>
    </row>
    <row r="256" spans="1:8" x14ac:dyDescent="0.35">
      <c r="A256" t="s">
        <v>148</v>
      </c>
      <c r="B256" t="s">
        <v>971</v>
      </c>
      <c r="C256" s="1">
        <v>45460</v>
      </c>
      <c r="D256" s="2">
        <v>3.472222222222222E-3</v>
      </c>
      <c r="E256" t="s">
        <v>2</v>
      </c>
      <c r="F256" t="s">
        <v>3</v>
      </c>
      <c r="G256" s="3">
        <v>50.23</v>
      </c>
      <c r="H256" s="3">
        <v>7.52</v>
      </c>
    </row>
    <row r="257" spans="1:8" x14ac:dyDescent="0.35">
      <c r="A257" t="s">
        <v>148</v>
      </c>
      <c r="B257" t="s">
        <v>972</v>
      </c>
      <c r="C257" s="1">
        <v>45462</v>
      </c>
      <c r="D257" s="2">
        <v>0.16874999999999998</v>
      </c>
      <c r="E257" t="s">
        <v>2</v>
      </c>
      <c r="F257" t="s">
        <v>3</v>
      </c>
      <c r="G257" s="3">
        <v>26.27</v>
      </c>
      <c r="H257" s="3">
        <v>3.93</v>
      </c>
    </row>
    <row r="258" spans="1:8" x14ac:dyDescent="0.35">
      <c r="A258" t="s">
        <v>148</v>
      </c>
      <c r="B258" t="s">
        <v>973</v>
      </c>
      <c r="C258" s="1">
        <v>45462</v>
      </c>
      <c r="D258" s="2">
        <v>0.99444444444444446</v>
      </c>
      <c r="E258" t="s">
        <v>2</v>
      </c>
      <c r="F258" t="s">
        <v>3</v>
      </c>
      <c r="G258" s="3">
        <v>48.7</v>
      </c>
      <c r="H258" s="3">
        <v>7.29</v>
      </c>
    </row>
    <row r="259" spans="1:8" x14ac:dyDescent="0.35">
      <c r="A259" t="s">
        <v>148</v>
      </c>
      <c r="B259" t="s">
        <v>974</v>
      </c>
      <c r="C259" s="1">
        <v>45464</v>
      </c>
      <c r="D259" s="2">
        <v>0.14722222222222223</v>
      </c>
      <c r="E259" t="s">
        <v>2</v>
      </c>
      <c r="F259" t="s">
        <v>3</v>
      </c>
      <c r="G259" s="3">
        <v>22.53</v>
      </c>
      <c r="H259" s="3">
        <v>3.37</v>
      </c>
    </row>
    <row r="260" spans="1:8" x14ac:dyDescent="0.35">
      <c r="A260" t="s">
        <v>148</v>
      </c>
      <c r="B260" t="s">
        <v>975</v>
      </c>
      <c r="C260" s="1">
        <v>45466</v>
      </c>
      <c r="D260" s="2">
        <v>0.62708333333333333</v>
      </c>
      <c r="E260" t="s">
        <v>2</v>
      </c>
      <c r="F260" t="s">
        <v>3</v>
      </c>
      <c r="G260" s="3">
        <v>34.14</v>
      </c>
      <c r="H260" s="3">
        <v>5.1100000000000003</v>
      </c>
    </row>
    <row r="261" spans="1:8" x14ac:dyDescent="0.35">
      <c r="A261" t="s">
        <v>148</v>
      </c>
      <c r="B261" t="s">
        <v>976</v>
      </c>
      <c r="C261" s="1">
        <v>45466</v>
      </c>
      <c r="D261" s="2">
        <v>0.99097222222222225</v>
      </c>
      <c r="E261" t="s">
        <v>2</v>
      </c>
      <c r="F261" t="s">
        <v>3</v>
      </c>
      <c r="G261" s="3">
        <v>12.32</v>
      </c>
      <c r="H261" s="3">
        <v>1.84</v>
      </c>
    </row>
    <row r="262" spans="1:8" x14ac:dyDescent="0.35">
      <c r="A262" t="s">
        <v>148</v>
      </c>
      <c r="B262" t="s">
        <v>977</v>
      </c>
      <c r="C262" s="1">
        <v>45469</v>
      </c>
      <c r="D262" s="2">
        <v>0.25347222222222221</v>
      </c>
      <c r="E262" t="s">
        <v>2</v>
      </c>
      <c r="F262" t="s">
        <v>3</v>
      </c>
      <c r="G262" s="3">
        <v>17.170000000000002</v>
      </c>
      <c r="H262" s="3">
        <v>2.57</v>
      </c>
    </row>
    <row r="263" spans="1:8" x14ac:dyDescent="0.35">
      <c r="A263" t="s">
        <v>148</v>
      </c>
      <c r="B263" t="s">
        <v>978</v>
      </c>
      <c r="C263" s="1">
        <v>45470</v>
      </c>
      <c r="D263" s="2">
        <v>0.3263888888888889</v>
      </c>
      <c r="E263" t="s">
        <v>2</v>
      </c>
      <c r="F263" t="s">
        <v>3</v>
      </c>
      <c r="G263" s="3">
        <v>23.01</v>
      </c>
      <c r="H263" s="3">
        <v>3.45</v>
      </c>
    </row>
    <row r="264" spans="1:8" x14ac:dyDescent="0.35">
      <c r="A264" t="s">
        <v>148</v>
      </c>
      <c r="B264" t="s">
        <v>979</v>
      </c>
      <c r="C264" s="1">
        <v>45471</v>
      </c>
      <c r="D264" s="2">
        <v>0.24791666666666667</v>
      </c>
      <c r="E264" t="s">
        <v>2</v>
      </c>
      <c r="F264" t="s">
        <v>3</v>
      </c>
      <c r="G264" s="3">
        <v>23.8</v>
      </c>
      <c r="H264" s="3">
        <v>3.56</v>
      </c>
    </row>
    <row r="265" spans="1:8" x14ac:dyDescent="0.35">
      <c r="A265" t="s">
        <v>148</v>
      </c>
      <c r="B265" t="s">
        <v>980</v>
      </c>
      <c r="C265" s="1">
        <v>45472</v>
      </c>
      <c r="D265" s="2">
        <v>0.32430555555555557</v>
      </c>
      <c r="E265" t="s">
        <v>2</v>
      </c>
      <c r="F265" t="s">
        <v>3</v>
      </c>
      <c r="G265" s="3">
        <v>33.119999999999997</v>
      </c>
      <c r="H265" s="3">
        <v>4.96</v>
      </c>
    </row>
    <row r="266" spans="1:8" x14ac:dyDescent="0.35">
      <c r="A266" t="s">
        <v>148</v>
      </c>
      <c r="B266" t="s">
        <v>981</v>
      </c>
      <c r="C266" s="1">
        <v>45472</v>
      </c>
      <c r="D266" s="2">
        <v>0.5</v>
      </c>
      <c r="E266" t="s">
        <v>2</v>
      </c>
      <c r="F266" t="s">
        <v>3</v>
      </c>
      <c r="G266" s="3">
        <v>18.010000000000002</v>
      </c>
      <c r="H266" s="3">
        <v>2.7</v>
      </c>
    </row>
    <row r="267" spans="1:8" x14ac:dyDescent="0.35">
      <c r="A267" s="16" t="s">
        <v>148</v>
      </c>
      <c r="B267" s="16" t="s">
        <v>982</v>
      </c>
      <c r="C267" s="17">
        <v>45473</v>
      </c>
      <c r="D267" s="18">
        <v>0.22500000000000001</v>
      </c>
      <c r="E267" s="16" t="s">
        <v>2</v>
      </c>
      <c r="F267" s="16" t="s">
        <v>3</v>
      </c>
      <c r="G267" s="19">
        <v>18.190000000000001</v>
      </c>
      <c r="H267" s="19">
        <v>2.72</v>
      </c>
    </row>
    <row r="268" spans="1:8" x14ac:dyDescent="0.35">
      <c r="A268" t="s">
        <v>2227</v>
      </c>
      <c r="G268" s="9">
        <f>SUM(G242:G267)</f>
        <v>675.88</v>
      </c>
      <c r="H268" s="9">
        <f>SUM(H242:H267)</f>
        <v>101.18</v>
      </c>
    </row>
    <row r="269" spans="1:8" ht="15" thickBot="1" x14ac:dyDescent="0.4"/>
    <row r="270" spans="1:8" ht="15" thickBot="1" x14ac:dyDescent="0.4">
      <c r="A270" s="11" t="s">
        <v>411</v>
      </c>
      <c r="B270" s="12" t="s">
        <v>163</v>
      </c>
      <c r="C270" s="12" t="s">
        <v>165</v>
      </c>
      <c r="D270" s="12" t="s">
        <v>166</v>
      </c>
      <c r="E270" s="12" t="s">
        <v>164</v>
      </c>
      <c r="F270" s="12" t="s">
        <v>167</v>
      </c>
      <c r="G270" s="12" t="s">
        <v>412</v>
      </c>
      <c r="H270" s="13" t="s">
        <v>169</v>
      </c>
    </row>
    <row r="271" spans="1:8" x14ac:dyDescent="0.35">
      <c r="A271" t="s">
        <v>743</v>
      </c>
      <c r="B271" t="s">
        <v>983</v>
      </c>
      <c r="C271" s="1">
        <v>45460</v>
      </c>
      <c r="D271" s="2">
        <v>5.9722222222222225E-2</v>
      </c>
      <c r="E271" t="s">
        <v>2</v>
      </c>
      <c r="F271" t="s">
        <v>3</v>
      </c>
      <c r="G271" s="3">
        <v>18.59</v>
      </c>
      <c r="H271" s="3">
        <v>2.78</v>
      </c>
    </row>
    <row r="272" spans="1:8" x14ac:dyDescent="0.35">
      <c r="A272" t="s">
        <v>743</v>
      </c>
      <c r="B272" t="s">
        <v>984</v>
      </c>
      <c r="C272" s="1">
        <v>45465</v>
      </c>
      <c r="D272" s="2">
        <v>0.47361111111111115</v>
      </c>
      <c r="E272" t="s">
        <v>2</v>
      </c>
      <c r="F272" t="s">
        <v>3</v>
      </c>
      <c r="G272" s="3">
        <v>24.2</v>
      </c>
      <c r="H272" s="3">
        <v>3.62</v>
      </c>
    </row>
    <row r="273" spans="1:8" x14ac:dyDescent="0.35">
      <c r="A273" s="16" t="s">
        <v>743</v>
      </c>
      <c r="B273" s="16" t="s">
        <v>985</v>
      </c>
      <c r="C273" s="17">
        <v>45471</v>
      </c>
      <c r="D273" s="18">
        <v>0.31597222222222221</v>
      </c>
      <c r="E273" s="16" t="s">
        <v>2</v>
      </c>
      <c r="F273" s="16" t="s">
        <v>3</v>
      </c>
      <c r="G273" s="19">
        <v>16.05</v>
      </c>
      <c r="H273" s="19">
        <v>2.4</v>
      </c>
    </row>
    <row r="274" spans="1:8" x14ac:dyDescent="0.35">
      <c r="A274" t="s">
        <v>2227</v>
      </c>
      <c r="G274" s="9">
        <f>SUM(G271:G273)</f>
        <v>58.84</v>
      </c>
      <c r="H274" s="9">
        <f>SUM(H271:H273)</f>
        <v>8.8000000000000007</v>
      </c>
    </row>
    <row r="275" spans="1:8" ht="15" thickBot="1" x14ac:dyDescent="0.4"/>
    <row r="276" spans="1:8" ht="15" thickBot="1" x14ac:dyDescent="0.4">
      <c r="A276" s="11" t="s">
        <v>411</v>
      </c>
      <c r="B276" s="12" t="s">
        <v>163</v>
      </c>
      <c r="C276" s="12" t="s">
        <v>165</v>
      </c>
      <c r="D276" s="12" t="s">
        <v>166</v>
      </c>
      <c r="E276" s="12" t="s">
        <v>164</v>
      </c>
      <c r="F276" s="12" t="s">
        <v>167</v>
      </c>
      <c r="G276" s="12" t="s">
        <v>412</v>
      </c>
      <c r="H276" s="13" t="s">
        <v>169</v>
      </c>
    </row>
    <row r="277" spans="1:8" x14ac:dyDescent="0.35">
      <c r="A277" t="s">
        <v>403</v>
      </c>
      <c r="B277" t="s">
        <v>986</v>
      </c>
      <c r="C277" s="1">
        <v>45460</v>
      </c>
      <c r="D277" s="2">
        <v>3.4027777777777775E-2</v>
      </c>
      <c r="E277" t="s">
        <v>2</v>
      </c>
      <c r="F277" t="s">
        <v>3</v>
      </c>
      <c r="G277" s="3">
        <v>19.2</v>
      </c>
      <c r="H277" s="3">
        <v>2.88</v>
      </c>
    </row>
    <row r="278" spans="1:8" x14ac:dyDescent="0.35">
      <c r="A278" t="s">
        <v>403</v>
      </c>
      <c r="B278" t="s">
        <v>987</v>
      </c>
      <c r="C278" s="1">
        <v>45460</v>
      </c>
      <c r="D278" s="2">
        <v>0.51736111111111105</v>
      </c>
      <c r="E278" t="s">
        <v>2</v>
      </c>
      <c r="F278" t="s">
        <v>3</v>
      </c>
      <c r="G278" s="3">
        <v>50.67</v>
      </c>
      <c r="H278" s="3">
        <v>7.59</v>
      </c>
    </row>
    <row r="279" spans="1:8" x14ac:dyDescent="0.35">
      <c r="A279" s="16" t="s">
        <v>403</v>
      </c>
      <c r="B279" s="16" t="s">
        <v>988</v>
      </c>
      <c r="C279" s="17">
        <v>45465</v>
      </c>
      <c r="D279" s="18">
        <v>0.22430555555555556</v>
      </c>
      <c r="E279" s="16" t="s">
        <v>2</v>
      </c>
      <c r="F279" s="16" t="s">
        <v>3</v>
      </c>
      <c r="G279" s="19">
        <v>79.28</v>
      </c>
      <c r="H279" s="19">
        <v>11.87</v>
      </c>
    </row>
    <row r="280" spans="1:8" x14ac:dyDescent="0.35">
      <c r="A280" t="s">
        <v>2227</v>
      </c>
      <c r="G280" s="9">
        <f>SUM(G277:G279)</f>
        <v>149.15</v>
      </c>
      <c r="H280" s="9">
        <f>SUM(H277:H279)</f>
        <v>22.339999999999996</v>
      </c>
    </row>
    <row r="284" spans="1:8" x14ac:dyDescent="0.35">
      <c r="A284" t="s">
        <v>2248</v>
      </c>
      <c r="G284" s="9">
        <f>SUM(G280,G274,G268,G238,G185,G124,G104,G91,G82,G43,G23)</f>
        <v>6736.5</v>
      </c>
    </row>
    <row r="285" spans="1:8" x14ac:dyDescent="0.35">
      <c r="A285" t="s">
        <v>2249</v>
      </c>
      <c r="H285" s="9">
        <f>SUM(H280,H274,H268,H238,H185,H124,H104,H91,H82,H43,H23)</f>
        <v>1008.7199999999998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277"/>
  <sheetViews>
    <sheetView topLeftCell="A225" zoomScale="50" zoomScaleNormal="50" workbookViewId="0">
      <selection activeCell="G276" sqref="G276"/>
    </sheetView>
  </sheetViews>
  <sheetFormatPr defaultRowHeight="14.5" x14ac:dyDescent="0.35"/>
  <cols>
    <col min="1" max="1" width="37.36328125" customWidth="1"/>
    <col min="2" max="2" width="10.26953125" customWidth="1"/>
    <col min="3" max="3" width="16" customWidth="1"/>
    <col min="6" max="6" width="11.7265625" customWidth="1"/>
    <col min="7" max="7" width="14.26953125" customWidth="1"/>
    <col min="8" max="8" width="12.54296875" customWidth="1"/>
  </cols>
  <sheetData>
    <row r="4" spans="1:8" ht="15.75" thickBot="1" x14ac:dyDescent="0.3"/>
    <row r="5" spans="1:8" ht="15.75" thickBot="1" x14ac:dyDescent="0.3">
      <c r="A5" s="11" t="s">
        <v>411</v>
      </c>
      <c r="B5" s="12" t="s">
        <v>163</v>
      </c>
      <c r="C5" s="12" t="s">
        <v>165</v>
      </c>
      <c r="D5" s="12" t="s">
        <v>166</v>
      </c>
      <c r="E5" s="12" t="s">
        <v>164</v>
      </c>
      <c r="F5" s="12" t="s">
        <v>167</v>
      </c>
      <c r="G5" s="12" t="s">
        <v>412</v>
      </c>
      <c r="H5" s="13" t="s">
        <v>169</v>
      </c>
    </row>
    <row r="6" spans="1:8" x14ac:dyDescent="0.35">
      <c r="A6" t="s">
        <v>414</v>
      </c>
      <c r="B6" t="s">
        <v>989</v>
      </c>
      <c r="C6" s="1">
        <v>45481</v>
      </c>
      <c r="D6" s="2">
        <v>0.36944444444444446</v>
      </c>
      <c r="E6" t="s">
        <v>2</v>
      </c>
      <c r="F6" t="s">
        <v>3</v>
      </c>
      <c r="G6" s="3">
        <v>16.3</v>
      </c>
      <c r="H6" s="3">
        <v>2.44</v>
      </c>
    </row>
    <row r="7" spans="1:8" x14ac:dyDescent="0.35">
      <c r="A7" t="s">
        <v>414</v>
      </c>
      <c r="B7" t="s">
        <v>990</v>
      </c>
      <c r="C7" s="1">
        <v>45482</v>
      </c>
      <c r="D7" s="2">
        <v>0.75</v>
      </c>
      <c r="E7" t="s">
        <v>2</v>
      </c>
      <c r="F7" t="s">
        <v>3</v>
      </c>
      <c r="G7" s="3">
        <v>22.1</v>
      </c>
      <c r="H7" s="3">
        <v>3.31</v>
      </c>
    </row>
    <row r="8" spans="1:8" x14ac:dyDescent="0.35">
      <c r="A8" t="s">
        <v>414</v>
      </c>
      <c r="B8" t="s">
        <v>991</v>
      </c>
      <c r="C8" s="1">
        <v>45495</v>
      </c>
      <c r="D8" s="2">
        <v>0.95138888888888884</v>
      </c>
      <c r="E8" t="s">
        <v>2</v>
      </c>
      <c r="F8" t="s">
        <v>3</v>
      </c>
      <c r="G8" s="3">
        <v>14.3</v>
      </c>
      <c r="H8" s="3">
        <v>2.14</v>
      </c>
    </row>
    <row r="9" spans="1:8" x14ac:dyDescent="0.35">
      <c r="A9" t="s">
        <v>414</v>
      </c>
      <c r="B9" t="s">
        <v>992</v>
      </c>
      <c r="C9" s="1">
        <v>45503</v>
      </c>
      <c r="D9" s="2">
        <v>0.87569444444444444</v>
      </c>
      <c r="E9" t="s">
        <v>2</v>
      </c>
      <c r="F9" t="s">
        <v>3</v>
      </c>
      <c r="G9" s="3">
        <v>19.829999999999998</v>
      </c>
      <c r="H9" s="3">
        <v>2.97</v>
      </c>
    </row>
    <row r="10" spans="1:8" ht="15" thickBot="1" x14ac:dyDescent="0.4">
      <c r="A10" s="4" t="s">
        <v>414</v>
      </c>
      <c r="B10" s="4" t="s">
        <v>993</v>
      </c>
      <c r="C10" s="6">
        <v>45504</v>
      </c>
      <c r="D10" s="7">
        <v>0.47916666666666669</v>
      </c>
      <c r="E10" s="4" t="s">
        <v>2</v>
      </c>
      <c r="F10" s="4" t="s">
        <v>3</v>
      </c>
      <c r="G10" s="5">
        <v>16.239999999999998</v>
      </c>
      <c r="H10" s="5">
        <v>2.4300000000000002</v>
      </c>
    </row>
    <row r="11" spans="1:8" x14ac:dyDescent="0.35">
      <c r="A11" s="26" t="s">
        <v>2228</v>
      </c>
      <c r="G11" s="9">
        <f t="shared" ref="G11:H11" si="0">SUM(G6:G10)</f>
        <v>88.77</v>
      </c>
      <c r="H11" s="9">
        <f t="shared" si="0"/>
        <v>13.290000000000001</v>
      </c>
    </row>
    <row r="12" spans="1:8" ht="15.75" thickBot="1" x14ac:dyDescent="0.3"/>
    <row r="13" spans="1:8" ht="15.75" thickBot="1" x14ac:dyDescent="0.3">
      <c r="A13" s="11" t="s">
        <v>411</v>
      </c>
      <c r="B13" s="12" t="s">
        <v>163</v>
      </c>
      <c r="C13" s="12" t="s">
        <v>165</v>
      </c>
      <c r="D13" s="12" t="s">
        <v>166</v>
      </c>
      <c r="E13" s="12" t="s">
        <v>164</v>
      </c>
      <c r="F13" s="12" t="s">
        <v>167</v>
      </c>
      <c r="G13" s="12" t="s">
        <v>412</v>
      </c>
      <c r="H13" s="13" t="s">
        <v>169</v>
      </c>
    </row>
    <row r="14" spans="1:8" x14ac:dyDescent="0.35">
      <c r="A14" t="s">
        <v>173</v>
      </c>
      <c r="B14" t="s">
        <v>994</v>
      </c>
      <c r="C14" s="1">
        <v>45476</v>
      </c>
      <c r="D14" s="2">
        <v>0.83333333333333337</v>
      </c>
      <c r="E14" t="s">
        <v>2</v>
      </c>
      <c r="F14" t="s">
        <v>3</v>
      </c>
      <c r="G14" s="3">
        <v>35.090000000000003</v>
      </c>
      <c r="H14" s="3">
        <v>5.25</v>
      </c>
    </row>
    <row r="15" spans="1:8" x14ac:dyDescent="0.35">
      <c r="A15" t="s">
        <v>173</v>
      </c>
      <c r="B15" t="s">
        <v>995</v>
      </c>
      <c r="C15" s="1">
        <v>45476</v>
      </c>
      <c r="D15" s="2">
        <v>0.97361111111111109</v>
      </c>
      <c r="E15" t="s">
        <v>2</v>
      </c>
      <c r="F15" t="s">
        <v>3</v>
      </c>
      <c r="G15" s="3">
        <v>17.809999999999999</v>
      </c>
      <c r="H15" s="3">
        <v>2.67</v>
      </c>
    </row>
    <row r="16" spans="1:8" x14ac:dyDescent="0.35">
      <c r="A16" t="s">
        <v>173</v>
      </c>
      <c r="B16" t="s">
        <v>996</v>
      </c>
      <c r="C16" s="1">
        <v>45479</v>
      </c>
      <c r="D16" s="2">
        <v>0.97986111111111107</v>
      </c>
      <c r="E16" t="s">
        <v>2</v>
      </c>
      <c r="F16" t="s">
        <v>3</v>
      </c>
      <c r="G16" s="3">
        <v>17.809999999999999</v>
      </c>
      <c r="H16" s="3">
        <v>2.67</v>
      </c>
    </row>
    <row r="17" spans="1:8" x14ac:dyDescent="0.35">
      <c r="A17" t="s">
        <v>173</v>
      </c>
      <c r="B17" t="s">
        <v>997</v>
      </c>
      <c r="C17" s="1">
        <v>45480</v>
      </c>
      <c r="D17" s="2">
        <v>0.19027777777777777</v>
      </c>
      <c r="E17" t="s">
        <v>2</v>
      </c>
      <c r="F17" t="s">
        <v>3</v>
      </c>
      <c r="G17" s="3">
        <v>27.95</v>
      </c>
      <c r="H17" s="3">
        <v>4.1900000000000004</v>
      </c>
    </row>
    <row r="18" spans="1:8" x14ac:dyDescent="0.35">
      <c r="A18" t="s">
        <v>173</v>
      </c>
      <c r="B18" t="s">
        <v>998</v>
      </c>
      <c r="C18" s="1">
        <v>45483</v>
      </c>
      <c r="D18" s="2">
        <v>0.72430555555555554</v>
      </c>
      <c r="E18" t="s">
        <v>2</v>
      </c>
      <c r="F18" t="s">
        <v>3</v>
      </c>
      <c r="G18" s="3">
        <v>17.809999999999999</v>
      </c>
      <c r="H18" s="3">
        <v>2.67</v>
      </c>
    </row>
    <row r="19" spans="1:8" x14ac:dyDescent="0.35">
      <c r="A19" t="s">
        <v>173</v>
      </c>
      <c r="B19" t="s">
        <v>999</v>
      </c>
      <c r="C19" s="1">
        <v>45484</v>
      </c>
      <c r="D19" s="2">
        <v>2.8472222222222222E-2</v>
      </c>
      <c r="E19" t="s">
        <v>2</v>
      </c>
      <c r="F19" t="s">
        <v>3</v>
      </c>
      <c r="G19" s="3">
        <v>72.34</v>
      </c>
      <c r="H19" s="3">
        <v>10.83</v>
      </c>
    </row>
    <row r="20" spans="1:8" x14ac:dyDescent="0.35">
      <c r="A20" t="s">
        <v>173</v>
      </c>
      <c r="B20" t="s">
        <v>1000</v>
      </c>
      <c r="C20" s="1">
        <v>45484</v>
      </c>
      <c r="D20" s="2">
        <v>0.44722222222222219</v>
      </c>
      <c r="E20" t="s">
        <v>2</v>
      </c>
      <c r="F20" t="s">
        <v>3</v>
      </c>
      <c r="G20" s="3">
        <v>24.7</v>
      </c>
      <c r="H20" s="3">
        <v>3.7</v>
      </c>
    </row>
    <row r="21" spans="1:8" x14ac:dyDescent="0.35">
      <c r="A21" t="s">
        <v>173</v>
      </c>
      <c r="B21" t="s">
        <v>1001</v>
      </c>
      <c r="C21" s="1">
        <v>45485</v>
      </c>
      <c r="D21" s="2">
        <v>0.3430555555555555</v>
      </c>
      <c r="E21" t="s">
        <v>2</v>
      </c>
      <c r="F21" t="s">
        <v>3</v>
      </c>
      <c r="G21" s="3">
        <v>20.79</v>
      </c>
      <c r="H21" s="3">
        <v>3.11</v>
      </c>
    </row>
    <row r="22" spans="1:8" x14ac:dyDescent="0.35">
      <c r="A22" t="s">
        <v>173</v>
      </c>
      <c r="B22" t="s">
        <v>1002</v>
      </c>
      <c r="C22" s="1">
        <v>45486</v>
      </c>
      <c r="D22" s="2">
        <v>0.17916666666666667</v>
      </c>
      <c r="E22" t="s">
        <v>2</v>
      </c>
      <c r="F22" t="s">
        <v>3</v>
      </c>
      <c r="G22" s="3">
        <v>9.1</v>
      </c>
      <c r="H22" s="3">
        <v>1.36</v>
      </c>
    </row>
    <row r="23" spans="1:8" x14ac:dyDescent="0.35">
      <c r="A23" t="s">
        <v>173</v>
      </c>
      <c r="B23" t="s">
        <v>1003</v>
      </c>
      <c r="C23" s="1">
        <v>45486</v>
      </c>
      <c r="D23" s="2">
        <v>0.30972222222222223</v>
      </c>
      <c r="E23" t="s">
        <v>2</v>
      </c>
      <c r="F23" t="s">
        <v>3</v>
      </c>
      <c r="G23" s="3">
        <v>16.89</v>
      </c>
      <c r="H23" s="3">
        <v>2.5299999999999998</v>
      </c>
    </row>
    <row r="24" spans="1:8" x14ac:dyDescent="0.35">
      <c r="A24" t="s">
        <v>173</v>
      </c>
      <c r="B24" t="s">
        <v>1004</v>
      </c>
      <c r="C24" s="1">
        <v>45492</v>
      </c>
      <c r="D24" s="2">
        <v>0.87777777777777777</v>
      </c>
      <c r="E24" t="s">
        <v>2</v>
      </c>
      <c r="F24" t="s">
        <v>3</v>
      </c>
      <c r="G24" s="3">
        <v>21.26</v>
      </c>
      <c r="H24" s="3">
        <v>3.18</v>
      </c>
    </row>
    <row r="25" spans="1:8" x14ac:dyDescent="0.35">
      <c r="A25" t="s">
        <v>173</v>
      </c>
      <c r="B25" t="s">
        <v>1005</v>
      </c>
      <c r="C25" s="1">
        <v>45497</v>
      </c>
      <c r="D25" s="2">
        <v>0.38819444444444445</v>
      </c>
      <c r="E25" t="s">
        <v>2</v>
      </c>
      <c r="F25" t="s">
        <v>3</v>
      </c>
      <c r="G25" s="3">
        <v>41.84</v>
      </c>
      <c r="H25" s="3">
        <v>6.27</v>
      </c>
    </row>
    <row r="26" spans="1:8" x14ac:dyDescent="0.35">
      <c r="A26" t="s">
        <v>173</v>
      </c>
      <c r="B26" t="s">
        <v>1006</v>
      </c>
      <c r="C26" s="1">
        <v>45497</v>
      </c>
      <c r="D26" s="2">
        <v>0.97986111111111107</v>
      </c>
      <c r="E26" t="s">
        <v>2</v>
      </c>
      <c r="F26" t="s">
        <v>3</v>
      </c>
      <c r="G26" s="3">
        <v>25.99</v>
      </c>
      <c r="H26" s="3">
        <v>3.89</v>
      </c>
    </row>
    <row r="27" spans="1:8" x14ac:dyDescent="0.35">
      <c r="A27" t="s">
        <v>173</v>
      </c>
      <c r="B27" t="s">
        <v>1007</v>
      </c>
      <c r="C27" s="1">
        <v>45502</v>
      </c>
      <c r="D27" s="2">
        <v>0.22916666666666666</v>
      </c>
      <c r="E27" t="s">
        <v>2</v>
      </c>
      <c r="F27" t="s">
        <v>3</v>
      </c>
      <c r="G27" s="3">
        <v>31.74</v>
      </c>
      <c r="H27" s="3">
        <v>4.75</v>
      </c>
    </row>
    <row r="28" spans="1:8" ht="15" thickBot="1" x14ac:dyDescent="0.4">
      <c r="A28" s="4" t="s">
        <v>173</v>
      </c>
      <c r="B28" s="4" t="s">
        <v>1008</v>
      </c>
      <c r="C28" s="6">
        <v>45503</v>
      </c>
      <c r="D28" s="7">
        <v>0.94513888888888886</v>
      </c>
      <c r="E28" s="4" t="s">
        <v>2</v>
      </c>
      <c r="F28" s="4" t="s">
        <v>3</v>
      </c>
      <c r="G28" s="5">
        <v>18.2</v>
      </c>
      <c r="H28" s="5">
        <v>2.73</v>
      </c>
    </row>
    <row r="29" spans="1:8" x14ac:dyDescent="0.35">
      <c r="A29" t="s">
        <v>2228</v>
      </c>
      <c r="G29" s="9">
        <f t="shared" ref="G29:H29" si="1">SUM(G14:G28)</f>
        <v>399.32</v>
      </c>
      <c r="H29" s="9">
        <f t="shared" si="1"/>
        <v>59.800000000000004</v>
      </c>
    </row>
    <row r="32" spans="1:8" ht="15.75" thickBot="1" x14ac:dyDescent="0.3"/>
    <row r="33" spans="1:8" ht="15.75" thickBot="1" x14ac:dyDescent="0.3">
      <c r="A33" s="11" t="s">
        <v>411</v>
      </c>
      <c r="B33" s="12" t="s">
        <v>163</v>
      </c>
      <c r="C33" s="12" t="s">
        <v>165</v>
      </c>
      <c r="D33" s="12" t="s">
        <v>166</v>
      </c>
      <c r="E33" s="12" t="s">
        <v>164</v>
      </c>
      <c r="F33" s="12" t="s">
        <v>167</v>
      </c>
      <c r="G33" s="12" t="s">
        <v>412</v>
      </c>
      <c r="H33" s="13" t="s">
        <v>169</v>
      </c>
    </row>
    <row r="34" spans="1:8" x14ac:dyDescent="0.35">
      <c r="A34" t="s">
        <v>0</v>
      </c>
      <c r="B34" t="s">
        <v>1009</v>
      </c>
      <c r="C34" s="1">
        <v>45473</v>
      </c>
      <c r="D34" s="2">
        <v>0.9819444444444444</v>
      </c>
      <c r="E34" t="s">
        <v>2</v>
      </c>
      <c r="F34" t="s">
        <v>3</v>
      </c>
      <c r="G34" s="3">
        <v>68.92</v>
      </c>
      <c r="H34" s="3">
        <v>10.32</v>
      </c>
    </row>
    <row r="35" spans="1:8" x14ac:dyDescent="0.35">
      <c r="A35" t="s">
        <v>0</v>
      </c>
      <c r="B35" t="s">
        <v>1010</v>
      </c>
      <c r="C35" s="1">
        <v>45475</v>
      </c>
      <c r="D35" s="2">
        <v>0.24722222222222223</v>
      </c>
      <c r="E35" t="s">
        <v>2</v>
      </c>
      <c r="F35" t="s">
        <v>58</v>
      </c>
      <c r="G35" s="3">
        <v>30.92</v>
      </c>
      <c r="H35" s="3">
        <v>4.63</v>
      </c>
    </row>
    <row r="36" spans="1:8" x14ac:dyDescent="0.35">
      <c r="A36" t="s">
        <v>0</v>
      </c>
      <c r="B36" t="s">
        <v>1011</v>
      </c>
      <c r="C36" s="1">
        <v>45476</v>
      </c>
      <c r="D36" s="2">
        <v>0.16041666666666668</v>
      </c>
      <c r="E36" t="s">
        <v>2</v>
      </c>
      <c r="F36" t="s">
        <v>3</v>
      </c>
      <c r="G36" s="3">
        <v>28.95</v>
      </c>
      <c r="H36" s="3">
        <v>4.34</v>
      </c>
    </row>
    <row r="37" spans="1:8" x14ac:dyDescent="0.35">
      <c r="A37" t="s">
        <v>0</v>
      </c>
      <c r="B37" t="s">
        <v>1012</v>
      </c>
      <c r="C37" s="1">
        <v>45476</v>
      </c>
      <c r="D37" s="2">
        <v>0.42499999999999999</v>
      </c>
      <c r="E37" t="s">
        <v>2</v>
      </c>
      <c r="F37" t="s">
        <v>3</v>
      </c>
      <c r="G37" s="3">
        <v>63.05</v>
      </c>
      <c r="H37" s="3">
        <v>9.44</v>
      </c>
    </row>
    <row r="38" spans="1:8" x14ac:dyDescent="0.35">
      <c r="A38" t="s">
        <v>0</v>
      </c>
      <c r="B38" t="s">
        <v>1013</v>
      </c>
      <c r="C38" s="1">
        <v>45476</v>
      </c>
      <c r="D38" s="2">
        <v>0.44861111111111113</v>
      </c>
      <c r="E38" t="s">
        <v>2</v>
      </c>
      <c r="F38" t="s">
        <v>3</v>
      </c>
      <c r="G38" s="3">
        <v>19.5</v>
      </c>
      <c r="H38" s="3">
        <v>2.92</v>
      </c>
    </row>
    <row r="39" spans="1:8" x14ac:dyDescent="0.35">
      <c r="A39" t="s">
        <v>0</v>
      </c>
      <c r="B39" t="s">
        <v>1014</v>
      </c>
      <c r="C39" s="1">
        <v>45477</v>
      </c>
      <c r="D39" s="2">
        <v>2.2916666666666669E-2</v>
      </c>
      <c r="E39" t="s">
        <v>2</v>
      </c>
      <c r="F39" t="s">
        <v>3</v>
      </c>
      <c r="G39" s="3">
        <v>62.39</v>
      </c>
      <c r="H39" s="3">
        <v>9.34</v>
      </c>
    </row>
    <row r="40" spans="1:8" x14ac:dyDescent="0.35">
      <c r="A40" t="s">
        <v>0</v>
      </c>
      <c r="B40" t="s">
        <v>1015</v>
      </c>
      <c r="C40" s="1">
        <v>45477</v>
      </c>
      <c r="D40" s="2">
        <v>7.9166666666666663E-2</v>
      </c>
      <c r="E40" t="s">
        <v>2</v>
      </c>
      <c r="F40" t="s">
        <v>3</v>
      </c>
      <c r="G40" s="3">
        <v>76.38</v>
      </c>
      <c r="H40" s="3">
        <v>11.44</v>
      </c>
    </row>
    <row r="41" spans="1:8" x14ac:dyDescent="0.35">
      <c r="A41" t="s">
        <v>0</v>
      </c>
      <c r="B41" t="s">
        <v>1016</v>
      </c>
      <c r="C41" s="1">
        <v>45478</v>
      </c>
      <c r="D41" s="2">
        <v>0.77430555555555547</v>
      </c>
      <c r="E41" t="s">
        <v>2</v>
      </c>
      <c r="F41" t="s">
        <v>3</v>
      </c>
      <c r="G41" s="3">
        <v>18.2</v>
      </c>
      <c r="H41" s="3">
        <v>2.73</v>
      </c>
    </row>
    <row r="42" spans="1:8" x14ac:dyDescent="0.35">
      <c r="A42" t="s">
        <v>0</v>
      </c>
      <c r="B42" t="s">
        <v>1017</v>
      </c>
      <c r="C42" s="1">
        <v>45478</v>
      </c>
      <c r="D42" s="2">
        <v>0.99722222222222223</v>
      </c>
      <c r="E42" t="s">
        <v>2</v>
      </c>
      <c r="F42" t="s">
        <v>3</v>
      </c>
      <c r="G42" s="3">
        <v>35.1</v>
      </c>
      <c r="H42" s="3">
        <v>5.26</v>
      </c>
    </row>
    <row r="43" spans="1:8" x14ac:dyDescent="0.35">
      <c r="A43" t="s">
        <v>0</v>
      </c>
      <c r="B43" t="s">
        <v>1018</v>
      </c>
      <c r="C43" s="1">
        <v>45482</v>
      </c>
      <c r="D43" s="2">
        <v>0.15555555555555556</v>
      </c>
      <c r="E43" t="s">
        <v>2</v>
      </c>
      <c r="F43" t="s">
        <v>3</v>
      </c>
      <c r="G43" s="3">
        <v>31.19</v>
      </c>
      <c r="H43" s="3">
        <v>4.67</v>
      </c>
    </row>
    <row r="44" spans="1:8" x14ac:dyDescent="0.35">
      <c r="A44" t="s">
        <v>0</v>
      </c>
      <c r="B44" t="s">
        <v>1019</v>
      </c>
      <c r="C44" s="1">
        <v>45483</v>
      </c>
      <c r="D44" s="2">
        <v>0.14791666666666667</v>
      </c>
      <c r="E44" t="s">
        <v>2</v>
      </c>
      <c r="F44" t="s">
        <v>3</v>
      </c>
      <c r="G44" s="3">
        <v>22.1</v>
      </c>
      <c r="H44" s="3">
        <v>3.31</v>
      </c>
    </row>
    <row r="45" spans="1:8" x14ac:dyDescent="0.35">
      <c r="A45" t="s">
        <v>0</v>
      </c>
      <c r="B45" t="s">
        <v>1020</v>
      </c>
      <c r="C45" s="1">
        <v>45483</v>
      </c>
      <c r="D45" s="2">
        <v>0.90416666666666667</v>
      </c>
      <c r="E45" t="s">
        <v>2</v>
      </c>
      <c r="F45" t="s">
        <v>3</v>
      </c>
      <c r="G45" s="3">
        <v>25.68</v>
      </c>
      <c r="H45" s="3">
        <v>3.85</v>
      </c>
    </row>
    <row r="46" spans="1:8" x14ac:dyDescent="0.35">
      <c r="A46" t="s">
        <v>0</v>
      </c>
      <c r="B46" t="s">
        <v>1021</v>
      </c>
      <c r="C46" s="1">
        <v>45485</v>
      </c>
      <c r="D46" s="2">
        <v>0.86805555555555547</v>
      </c>
      <c r="E46" t="s">
        <v>2</v>
      </c>
      <c r="F46" t="s">
        <v>3</v>
      </c>
      <c r="G46" s="3">
        <v>70.2</v>
      </c>
      <c r="H46" s="3">
        <v>10.51</v>
      </c>
    </row>
    <row r="47" spans="1:8" x14ac:dyDescent="0.35">
      <c r="A47" t="s">
        <v>0</v>
      </c>
      <c r="B47" t="s">
        <v>1022</v>
      </c>
      <c r="C47" s="1">
        <v>45485</v>
      </c>
      <c r="D47" s="2">
        <v>0.91111111111111109</v>
      </c>
      <c r="E47" t="s">
        <v>2</v>
      </c>
      <c r="F47" t="s">
        <v>3</v>
      </c>
      <c r="G47" s="3">
        <v>19.5</v>
      </c>
      <c r="H47" s="3">
        <v>2.92</v>
      </c>
    </row>
    <row r="48" spans="1:8" x14ac:dyDescent="0.35">
      <c r="A48" t="s">
        <v>0</v>
      </c>
      <c r="B48" t="s">
        <v>1023</v>
      </c>
      <c r="C48" s="1">
        <v>45487</v>
      </c>
      <c r="D48" s="2">
        <v>7.9166666666666663E-2</v>
      </c>
      <c r="E48" t="s">
        <v>2</v>
      </c>
      <c r="F48" t="s">
        <v>3</v>
      </c>
      <c r="G48" s="3">
        <v>44.38</v>
      </c>
      <c r="H48" s="3">
        <v>6.65</v>
      </c>
    </row>
    <row r="49" spans="1:8" x14ac:dyDescent="0.35">
      <c r="A49" t="s">
        <v>0</v>
      </c>
      <c r="B49" t="s">
        <v>1024</v>
      </c>
      <c r="C49" s="1">
        <v>45488</v>
      </c>
      <c r="D49" s="2">
        <v>0.1875</v>
      </c>
      <c r="E49" t="s">
        <v>2</v>
      </c>
      <c r="F49" t="s">
        <v>3</v>
      </c>
      <c r="G49" s="3">
        <v>28.59</v>
      </c>
      <c r="H49" s="3">
        <v>4.28</v>
      </c>
    </row>
    <row r="50" spans="1:8" x14ac:dyDescent="0.35">
      <c r="A50" t="s">
        <v>0</v>
      </c>
      <c r="B50" t="s">
        <v>1025</v>
      </c>
      <c r="C50" s="1">
        <v>45489</v>
      </c>
      <c r="D50" s="2">
        <v>3.6111111111111115E-2</v>
      </c>
      <c r="E50" t="s">
        <v>2</v>
      </c>
      <c r="F50" t="s">
        <v>3</v>
      </c>
      <c r="G50" s="3">
        <v>24.7</v>
      </c>
      <c r="H50" s="3">
        <v>3.7</v>
      </c>
    </row>
    <row r="51" spans="1:8" x14ac:dyDescent="0.35">
      <c r="A51" t="s">
        <v>0</v>
      </c>
      <c r="B51" t="s">
        <v>1026</v>
      </c>
      <c r="C51" s="1">
        <v>45489</v>
      </c>
      <c r="D51" s="2">
        <v>0.14097222222222222</v>
      </c>
      <c r="E51" t="s">
        <v>2</v>
      </c>
      <c r="F51" t="s">
        <v>3</v>
      </c>
      <c r="G51" s="3">
        <v>24.7</v>
      </c>
      <c r="H51" s="3">
        <v>3.7</v>
      </c>
    </row>
    <row r="52" spans="1:8" x14ac:dyDescent="0.35">
      <c r="A52" t="s">
        <v>0</v>
      </c>
      <c r="B52" t="s">
        <v>1027</v>
      </c>
      <c r="C52" s="1">
        <v>45494</v>
      </c>
      <c r="D52" s="2">
        <v>2.6388888888888889E-2</v>
      </c>
      <c r="E52" t="s">
        <v>2</v>
      </c>
      <c r="F52" t="s">
        <v>3</v>
      </c>
      <c r="G52" s="3">
        <v>32.520000000000003</v>
      </c>
      <c r="H52" s="3">
        <v>4.87</v>
      </c>
    </row>
    <row r="53" spans="1:8" x14ac:dyDescent="0.35">
      <c r="A53" t="s">
        <v>0</v>
      </c>
      <c r="B53" t="s">
        <v>1028</v>
      </c>
      <c r="C53" s="1">
        <v>45499</v>
      </c>
      <c r="D53" s="2">
        <v>0.90347222222222223</v>
      </c>
      <c r="E53" t="s">
        <v>2</v>
      </c>
      <c r="F53" t="s">
        <v>3</v>
      </c>
      <c r="G53" s="3">
        <v>36.700000000000003</v>
      </c>
      <c r="H53" s="3">
        <v>5.5</v>
      </c>
    </row>
    <row r="54" spans="1:8" x14ac:dyDescent="0.35">
      <c r="A54" t="s">
        <v>0</v>
      </c>
      <c r="B54" t="s">
        <v>1029</v>
      </c>
      <c r="C54" s="1">
        <v>45500</v>
      </c>
      <c r="D54" s="2">
        <v>0.26111111111111113</v>
      </c>
      <c r="E54" t="s">
        <v>2</v>
      </c>
      <c r="F54" t="s">
        <v>3</v>
      </c>
      <c r="G54" s="3">
        <v>32.79</v>
      </c>
      <c r="H54" s="3">
        <v>4.91</v>
      </c>
    </row>
    <row r="55" spans="1:8" ht="15" thickBot="1" x14ac:dyDescent="0.4">
      <c r="A55" s="4" t="s">
        <v>0</v>
      </c>
      <c r="B55" s="4" t="s">
        <v>1030</v>
      </c>
      <c r="C55" s="6">
        <v>45502</v>
      </c>
      <c r="D55" s="7">
        <v>0.17291666666666669</v>
      </c>
      <c r="E55" s="4" t="s">
        <v>2</v>
      </c>
      <c r="F55" s="4" t="s">
        <v>3</v>
      </c>
      <c r="G55" s="5">
        <v>17.7</v>
      </c>
      <c r="H55" s="5">
        <v>2.65</v>
      </c>
    </row>
    <row r="56" spans="1:8" x14ac:dyDescent="0.35">
      <c r="A56" t="s">
        <v>2228</v>
      </c>
      <c r="G56" s="9">
        <f t="shared" ref="G56:H56" si="2">SUM(G34:G55)</f>
        <v>814.1600000000002</v>
      </c>
      <c r="H56" s="9">
        <f t="shared" si="2"/>
        <v>121.94000000000001</v>
      </c>
    </row>
    <row r="58" spans="1:8" ht="15.75" thickBot="1" x14ac:dyDescent="0.3"/>
    <row r="59" spans="1:8" ht="15" thickBot="1" x14ac:dyDescent="0.4">
      <c r="A59" s="11" t="s">
        <v>411</v>
      </c>
      <c r="B59" s="12" t="s">
        <v>163</v>
      </c>
      <c r="C59" s="12" t="s">
        <v>165</v>
      </c>
      <c r="D59" s="12" t="s">
        <v>166</v>
      </c>
      <c r="E59" s="12" t="s">
        <v>164</v>
      </c>
      <c r="F59" s="12" t="s">
        <v>167</v>
      </c>
      <c r="G59" s="12" t="s">
        <v>412</v>
      </c>
      <c r="H59" s="13" t="s">
        <v>169</v>
      </c>
    </row>
    <row r="60" spans="1:8" ht="15" thickBot="1" x14ac:dyDescent="0.4">
      <c r="A60" s="12" t="s">
        <v>496</v>
      </c>
      <c r="B60" s="12" t="s">
        <v>1031</v>
      </c>
      <c r="C60" s="23">
        <v>45480</v>
      </c>
      <c r="D60" s="24">
        <v>0.1451388888888889</v>
      </c>
      <c r="E60" s="12" t="s">
        <v>2</v>
      </c>
      <c r="F60" s="12" t="s">
        <v>3</v>
      </c>
      <c r="G60" s="25">
        <v>37.69</v>
      </c>
      <c r="H60" s="25">
        <v>5.64</v>
      </c>
    </row>
    <row r="61" spans="1:8" x14ac:dyDescent="0.35">
      <c r="A61" t="s">
        <v>2228</v>
      </c>
      <c r="G61" s="9">
        <f t="shared" ref="G61:H61" si="3">SUM(G60)</f>
        <v>37.69</v>
      </c>
      <c r="H61" s="9">
        <f t="shared" si="3"/>
        <v>5.64</v>
      </c>
    </row>
    <row r="63" spans="1:8" ht="15.75" thickBot="1" x14ac:dyDescent="0.3"/>
    <row r="64" spans="1:8" ht="15.75" thickBot="1" x14ac:dyDescent="0.3">
      <c r="A64" s="11" t="s">
        <v>411</v>
      </c>
      <c r="B64" s="12" t="s">
        <v>163</v>
      </c>
      <c r="C64" s="12" t="s">
        <v>165</v>
      </c>
      <c r="D64" s="12" t="s">
        <v>166</v>
      </c>
      <c r="E64" s="12" t="s">
        <v>164</v>
      </c>
      <c r="F64" s="12" t="s">
        <v>167</v>
      </c>
      <c r="G64" s="12" t="s">
        <v>412</v>
      </c>
      <c r="H64" s="13" t="s">
        <v>169</v>
      </c>
    </row>
    <row r="65" spans="1:8" x14ac:dyDescent="0.35">
      <c r="A65" t="s">
        <v>33</v>
      </c>
      <c r="B65" t="s">
        <v>1032</v>
      </c>
      <c r="C65" s="1">
        <v>45475</v>
      </c>
      <c r="D65" s="2">
        <v>0.43055555555555558</v>
      </c>
      <c r="E65" t="s">
        <v>2</v>
      </c>
      <c r="F65" t="s">
        <v>3</v>
      </c>
      <c r="G65" s="3">
        <v>20.23</v>
      </c>
      <c r="H65" s="3">
        <v>3.03</v>
      </c>
    </row>
    <row r="66" spans="1:8" x14ac:dyDescent="0.35">
      <c r="A66" t="s">
        <v>33</v>
      </c>
      <c r="B66" t="s">
        <v>1033</v>
      </c>
      <c r="C66" s="1">
        <v>45476</v>
      </c>
      <c r="D66" s="2">
        <v>6.1111111111111116E-2</v>
      </c>
      <c r="E66" t="s">
        <v>2</v>
      </c>
      <c r="F66" t="s">
        <v>3</v>
      </c>
      <c r="G66" s="3">
        <v>20.18</v>
      </c>
      <c r="H66" s="3">
        <v>3.02</v>
      </c>
    </row>
    <row r="67" spans="1:8" x14ac:dyDescent="0.35">
      <c r="A67" t="s">
        <v>33</v>
      </c>
      <c r="B67" t="s">
        <v>1034</v>
      </c>
      <c r="C67" s="1">
        <v>45477</v>
      </c>
      <c r="D67" s="2">
        <v>8.1944444444444445E-2</v>
      </c>
      <c r="E67" t="s">
        <v>2</v>
      </c>
      <c r="F67" t="s">
        <v>3</v>
      </c>
      <c r="G67" s="3">
        <v>34.04</v>
      </c>
      <c r="H67" s="3">
        <v>5.0999999999999996</v>
      </c>
    </row>
    <row r="68" spans="1:8" x14ac:dyDescent="0.35">
      <c r="A68" t="s">
        <v>33</v>
      </c>
      <c r="B68" t="s">
        <v>1035</v>
      </c>
      <c r="C68" s="1">
        <v>45483</v>
      </c>
      <c r="D68" s="2">
        <v>0.21458333333333335</v>
      </c>
      <c r="E68" t="s">
        <v>2</v>
      </c>
      <c r="F68" t="s">
        <v>3</v>
      </c>
      <c r="G68" s="3">
        <v>16.3</v>
      </c>
      <c r="H68" s="3">
        <v>2.44</v>
      </c>
    </row>
    <row r="69" spans="1:8" x14ac:dyDescent="0.35">
      <c r="A69" t="s">
        <v>33</v>
      </c>
      <c r="B69" t="s">
        <v>1036</v>
      </c>
      <c r="C69" s="1">
        <v>45484</v>
      </c>
      <c r="D69" s="2">
        <v>8.5416666666666655E-2</v>
      </c>
      <c r="E69" t="s">
        <v>2</v>
      </c>
      <c r="F69" t="s">
        <v>3</v>
      </c>
      <c r="G69" s="3">
        <v>23.77</v>
      </c>
      <c r="H69" s="3">
        <v>3.56</v>
      </c>
    </row>
    <row r="70" spans="1:8" x14ac:dyDescent="0.35">
      <c r="A70" t="s">
        <v>33</v>
      </c>
      <c r="B70" t="s">
        <v>1037</v>
      </c>
      <c r="C70" s="1">
        <v>45485</v>
      </c>
      <c r="D70" s="2">
        <v>0.98472222222222217</v>
      </c>
      <c r="E70" t="s">
        <v>2</v>
      </c>
      <c r="F70" t="s">
        <v>3</v>
      </c>
      <c r="G70" s="3">
        <v>46.2</v>
      </c>
      <c r="H70" s="3">
        <v>6.92</v>
      </c>
    </row>
    <row r="71" spans="1:8" x14ac:dyDescent="0.35">
      <c r="A71" t="s">
        <v>33</v>
      </c>
      <c r="B71" t="s">
        <v>1038</v>
      </c>
      <c r="C71" s="1">
        <v>45494</v>
      </c>
      <c r="D71" s="2">
        <v>0.26527777777777778</v>
      </c>
      <c r="E71" t="s">
        <v>2</v>
      </c>
      <c r="F71" t="s">
        <v>3</v>
      </c>
      <c r="G71" s="3">
        <v>37.53</v>
      </c>
      <c r="H71" s="3">
        <v>5.62</v>
      </c>
    </row>
    <row r="72" spans="1:8" x14ac:dyDescent="0.35">
      <c r="A72" t="s">
        <v>33</v>
      </c>
      <c r="B72" t="s">
        <v>1039</v>
      </c>
      <c r="C72" s="1">
        <v>45496</v>
      </c>
      <c r="D72" s="2">
        <v>0.67291666666666661</v>
      </c>
      <c r="E72" t="s">
        <v>2</v>
      </c>
      <c r="F72" t="s">
        <v>3</v>
      </c>
      <c r="G72" s="3">
        <v>11.69</v>
      </c>
      <c r="H72" s="3">
        <v>1.75</v>
      </c>
    </row>
    <row r="73" spans="1:8" x14ac:dyDescent="0.35">
      <c r="A73" t="s">
        <v>33</v>
      </c>
      <c r="B73" t="s">
        <v>1040</v>
      </c>
      <c r="C73" s="1">
        <v>45496</v>
      </c>
      <c r="D73" s="2">
        <v>0.93194444444444446</v>
      </c>
      <c r="E73" t="s">
        <v>2</v>
      </c>
      <c r="F73" t="s">
        <v>3</v>
      </c>
      <c r="G73" s="3">
        <v>34.04</v>
      </c>
      <c r="H73" s="3">
        <v>5.0999999999999996</v>
      </c>
    </row>
    <row r="74" spans="1:8" x14ac:dyDescent="0.35">
      <c r="A74" t="s">
        <v>33</v>
      </c>
      <c r="B74" t="s">
        <v>1041</v>
      </c>
      <c r="C74" s="1">
        <v>45500</v>
      </c>
      <c r="D74" s="2">
        <v>0.88611111111111107</v>
      </c>
      <c r="E74" t="s">
        <v>2</v>
      </c>
      <c r="F74" t="s">
        <v>3</v>
      </c>
      <c r="G74" s="3">
        <v>16.3</v>
      </c>
      <c r="H74" s="3">
        <v>2.44</v>
      </c>
    </row>
    <row r="75" spans="1:8" x14ac:dyDescent="0.35">
      <c r="A75" t="s">
        <v>33</v>
      </c>
      <c r="B75" t="s">
        <v>1042</v>
      </c>
      <c r="C75" s="1">
        <v>45502</v>
      </c>
      <c r="D75" s="2">
        <v>9.1666666666666674E-2</v>
      </c>
      <c r="E75" t="s">
        <v>2</v>
      </c>
      <c r="F75" t="s">
        <v>3</v>
      </c>
      <c r="G75" s="3">
        <v>13.33</v>
      </c>
      <c r="H75" s="3">
        <v>2</v>
      </c>
    </row>
    <row r="76" spans="1:8" ht="15" thickBot="1" x14ac:dyDescent="0.4">
      <c r="A76" s="4" t="s">
        <v>33</v>
      </c>
      <c r="B76" s="4" t="s">
        <v>1043</v>
      </c>
      <c r="C76" s="6">
        <v>45504</v>
      </c>
      <c r="D76" s="7">
        <v>0.16180555555555556</v>
      </c>
      <c r="E76" s="4" t="s">
        <v>2</v>
      </c>
      <c r="F76" s="4" t="s">
        <v>3</v>
      </c>
      <c r="G76" s="5">
        <v>19.5</v>
      </c>
      <c r="H76" s="5">
        <v>2.92</v>
      </c>
    </row>
    <row r="77" spans="1:8" x14ac:dyDescent="0.35">
      <c r="A77" t="s">
        <v>2228</v>
      </c>
      <c r="G77" s="9">
        <f t="shared" ref="G77:H77" si="4">SUM(G65:G76)</f>
        <v>293.10999999999996</v>
      </c>
      <c r="H77" s="9">
        <f t="shared" si="4"/>
        <v>43.9</v>
      </c>
    </row>
    <row r="80" spans="1:8" ht="15.75" thickBot="1" x14ac:dyDescent="0.3"/>
    <row r="81" spans="1:8" ht="15.75" thickBot="1" x14ac:dyDescent="0.3">
      <c r="A81" s="11" t="s">
        <v>411</v>
      </c>
      <c r="B81" s="12" t="s">
        <v>163</v>
      </c>
      <c r="C81" s="12" t="s">
        <v>165</v>
      </c>
      <c r="D81" s="12" t="s">
        <v>166</v>
      </c>
      <c r="E81" s="12" t="s">
        <v>164</v>
      </c>
      <c r="F81" s="12" t="s">
        <v>167</v>
      </c>
      <c r="G81" s="12" t="s">
        <v>412</v>
      </c>
      <c r="H81" s="13" t="s">
        <v>169</v>
      </c>
    </row>
    <row r="82" spans="1:8" x14ac:dyDescent="0.35">
      <c r="A82" t="s">
        <v>246</v>
      </c>
      <c r="B82" t="s">
        <v>1044</v>
      </c>
      <c r="C82" s="1">
        <v>45474</v>
      </c>
      <c r="D82" s="2">
        <v>0.87847222222222221</v>
      </c>
      <c r="E82" t="s">
        <v>2</v>
      </c>
      <c r="F82" t="s">
        <v>3</v>
      </c>
      <c r="G82" s="3">
        <v>7.18</v>
      </c>
      <c r="H82" s="3">
        <v>1.08</v>
      </c>
    </row>
    <row r="83" spans="1:8" x14ac:dyDescent="0.35">
      <c r="A83" t="s">
        <v>246</v>
      </c>
      <c r="B83" t="s">
        <v>1045</v>
      </c>
      <c r="C83" s="1">
        <v>45475</v>
      </c>
      <c r="D83" s="2">
        <v>4.0972222222222222E-2</v>
      </c>
      <c r="E83" t="s">
        <v>2</v>
      </c>
      <c r="F83" t="s">
        <v>3</v>
      </c>
      <c r="G83" s="3">
        <v>18.3</v>
      </c>
      <c r="H83" s="3">
        <v>2.74</v>
      </c>
    </row>
    <row r="84" spans="1:8" x14ac:dyDescent="0.35">
      <c r="A84" t="s">
        <v>246</v>
      </c>
      <c r="B84" t="s">
        <v>1046</v>
      </c>
      <c r="C84" s="1">
        <v>45475</v>
      </c>
      <c r="D84" s="2">
        <v>0.68888888888888899</v>
      </c>
      <c r="E84" t="s">
        <v>2</v>
      </c>
      <c r="F84" t="s">
        <v>3</v>
      </c>
      <c r="G84" s="3">
        <v>20.88</v>
      </c>
      <c r="H84" s="3">
        <v>3.13</v>
      </c>
    </row>
    <row r="85" spans="1:8" x14ac:dyDescent="0.35">
      <c r="A85" t="s">
        <v>246</v>
      </c>
      <c r="B85" t="s">
        <v>1047</v>
      </c>
      <c r="C85" s="1">
        <v>45476</v>
      </c>
      <c r="D85" s="2">
        <v>1.5277777777777777E-2</v>
      </c>
      <c r="E85" t="s">
        <v>2</v>
      </c>
      <c r="F85" t="s">
        <v>3</v>
      </c>
      <c r="G85" s="3">
        <v>5.4</v>
      </c>
      <c r="H85" s="3">
        <v>0.81</v>
      </c>
    </row>
    <row r="86" spans="1:8" x14ac:dyDescent="0.35">
      <c r="A86" t="s">
        <v>246</v>
      </c>
      <c r="B86" t="s">
        <v>1048</v>
      </c>
      <c r="C86" s="1">
        <v>45476</v>
      </c>
      <c r="D86" s="2">
        <v>0.98541666666666661</v>
      </c>
      <c r="E86" t="s">
        <v>2</v>
      </c>
      <c r="F86" t="s">
        <v>3</v>
      </c>
      <c r="G86" s="3">
        <v>8.15</v>
      </c>
      <c r="H86" s="3">
        <v>1.22</v>
      </c>
    </row>
    <row r="87" spans="1:8" x14ac:dyDescent="0.35">
      <c r="A87" t="s">
        <v>246</v>
      </c>
      <c r="B87" t="s">
        <v>1049</v>
      </c>
      <c r="C87" s="1">
        <v>45477</v>
      </c>
      <c r="D87" s="2">
        <v>0.75902777777777775</v>
      </c>
      <c r="E87" t="s">
        <v>2</v>
      </c>
      <c r="F87" t="s">
        <v>3</v>
      </c>
      <c r="G87" s="3">
        <v>11.44</v>
      </c>
      <c r="H87" s="3">
        <v>1.71</v>
      </c>
    </row>
    <row r="88" spans="1:8" x14ac:dyDescent="0.35">
      <c r="A88" t="s">
        <v>246</v>
      </c>
      <c r="B88" t="s">
        <v>1050</v>
      </c>
      <c r="C88" s="1">
        <v>45478</v>
      </c>
      <c r="D88" s="2">
        <v>0.86805555555555547</v>
      </c>
      <c r="E88" t="s">
        <v>2</v>
      </c>
      <c r="F88" t="s">
        <v>3</v>
      </c>
      <c r="G88" s="3">
        <v>18.600000000000001</v>
      </c>
      <c r="H88" s="3">
        <v>2.79</v>
      </c>
    </row>
    <row r="89" spans="1:8" x14ac:dyDescent="0.35">
      <c r="A89" t="s">
        <v>246</v>
      </c>
      <c r="B89" t="s">
        <v>1051</v>
      </c>
      <c r="C89" s="1">
        <v>45479</v>
      </c>
      <c r="D89" s="2">
        <v>0.6479166666666667</v>
      </c>
      <c r="E89" t="s">
        <v>2</v>
      </c>
      <c r="F89" t="s">
        <v>3</v>
      </c>
      <c r="G89" s="3">
        <v>5.4</v>
      </c>
      <c r="H89" s="3">
        <v>0.81</v>
      </c>
    </row>
    <row r="90" spans="1:8" x14ac:dyDescent="0.35">
      <c r="A90" t="s">
        <v>246</v>
      </c>
      <c r="B90" t="s">
        <v>1052</v>
      </c>
      <c r="C90" s="1">
        <v>45479</v>
      </c>
      <c r="D90" s="2">
        <v>0.96388888888888891</v>
      </c>
      <c r="E90" t="s">
        <v>2</v>
      </c>
      <c r="F90" t="s">
        <v>3</v>
      </c>
      <c r="G90" s="3">
        <v>24</v>
      </c>
      <c r="H90" s="3">
        <v>3.59</v>
      </c>
    </row>
    <row r="91" spans="1:8" x14ac:dyDescent="0.35">
      <c r="A91" t="s">
        <v>246</v>
      </c>
      <c r="B91" t="s">
        <v>1053</v>
      </c>
      <c r="C91" s="1">
        <v>45480</v>
      </c>
      <c r="D91" s="2">
        <v>2.6388888888888889E-2</v>
      </c>
      <c r="E91" t="s">
        <v>2</v>
      </c>
      <c r="F91" t="s">
        <v>3</v>
      </c>
      <c r="G91" s="3">
        <v>6.65</v>
      </c>
      <c r="H91" s="3">
        <v>1</v>
      </c>
    </row>
    <row r="92" spans="1:8" x14ac:dyDescent="0.35">
      <c r="A92" t="s">
        <v>246</v>
      </c>
      <c r="B92" t="s">
        <v>1054</v>
      </c>
      <c r="C92" s="1">
        <v>45481</v>
      </c>
      <c r="D92" s="2">
        <v>2.2222222222222223E-2</v>
      </c>
      <c r="E92" t="s">
        <v>2</v>
      </c>
      <c r="F92" t="s">
        <v>3</v>
      </c>
      <c r="G92" s="3">
        <v>10.44</v>
      </c>
      <c r="H92" s="3">
        <v>1.56</v>
      </c>
    </row>
    <row r="93" spans="1:8" x14ac:dyDescent="0.35">
      <c r="A93" t="s">
        <v>246</v>
      </c>
      <c r="B93" t="s">
        <v>1055</v>
      </c>
      <c r="C93" s="1">
        <v>45481</v>
      </c>
      <c r="D93" s="2">
        <v>2.6388888888888889E-2</v>
      </c>
      <c r="E93" t="s">
        <v>2</v>
      </c>
      <c r="F93" t="s">
        <v>3</v>
      </c>
      <c r="G93" s="3">
        <v>19.600000000000001</v>
      </c>
      <c r="H93" s="3">
        <v>2.94</v>
      </c>
    </row>
    <row r="94" spans="1:8" x14ac:dyDescent="0.35">
      <c r="A94" t="s">
        <v>246</v>
      </c>
      <c r="B94" t="s">
        <v>1056</v>
      </c>
      <c r="C94" s="1">
        <v>45481</v>
      </c>
      <c r="D94" s="2">
        <v>0.1076388888888889</v>
      </c>
      <c r="E94" t="s">
        <v>2</v>
      </c>
      <c r="F94" t="s">
        <v>3</v>
      </c>
      <c r="G94" s="3">
        <v>39.64</v>
      </c>
      <c r="H94" s="3">
        <v>5.94</v>
      </c>
    </row>
    <row r="95" spans="1:8" x14ac:dyDescent="0.35">
      <c r="A95" t="s">
        <v>246</v>
      </c>
      <c r="B95" t="s">
        <v>1057</v>
      </c>
      <c r="C95" s="1">
        <v>45482</v>
      </c>
      <c r="D95" s="2">
        <v>0.53819444444444442</v>
      </c>
      <c r="E95" t="s">
        <v>2</v>
      </c>
      <c r="F95" t="s">
        <v>3</v>
      </c>
      <c r="G95" s="3">
        <v>9.0500000000000007</v>
      </c>
      <c r="H95" s="3">
        <v>1.36</v>
      </c>
    </row>
    <row r="96" spans="1:8" x14ac:dyDescent="0.35">
      <c r="A96" t="s">
        <v>246</v>
      </c>
      <c r="B96" t="s">
        <v>1058</v>
      </c>
      <c r="C96" s="1">
        <v>45482</v>
      </c>
      <c r="D96" s="2">
        <v>0.92291666666666661</v>
      </c>
      <c r="E96" t="s">
        <v>2</v>
      </c>
      <c r="F96" t="s">
        <v>3</v>
      </c>
      <c r="G96" s="3">
        <v>13.46</v>
      </c>
      <c r="H96" s="3">
        <v>2.02</v>
      </c>
    </row>
    <row r="97" spans="1:8" x14ac:dyDescent="0.35">
      <c r="A97" t="s">
        <v>246</v>
      </c>
      <c r="B97" t="s">
        <v>1059</v>
      </c>
      <c r="C97" s="1">
        <v>45484</v>
      </c>
      <c r="D97" s="2">
        <v>1.3194444444444444E-2</v>
      </c>
      <c r="E97" t="s">
        <v>2</v>
      </c>
      <c r="F97" t="s">
        <v>3</v>
      </c>
      <c r="G97" s="3">
        <v>23.81</v>
      </c>
      <c r="H97" s="3">
        <v>3.57</v>
      </c>
    </row>
    <row r="98" spans="1:8" x14ac:dyDescent="0.35">
      <c r="A98" t="s">
        <v>246</v>
      </c>
      <c r="B98" t="s">
        <v>1060</v>
      </c>
      <c r="C98" s="1">
        <v>45485</v>
      </c>
      <c r="D98" s="2">
        <v>1.5277777777777777E-2</v>
      </c>
      <c r="E98" t="s">
        <v>2</v>
      </c>
      <c r="F98" t="s">
        <v>3</v>
      </c>
      <c r="G98" s="3">
        <v>22.36</v>
      </c>
      <c r="H98" s="3">
        <v>3.35</v>
      </c>
    </row>
    <row r="99" spans="1:8" x14ac:dyDescent="0.35">
      <c r="A99" t="s">
        <v>246</v>
      </c>
      <c r="B99" t="s">
        <v>1061</v>
      </c>
      <c r="C99" s="1">
        <v>45485</v>
      </c>
      <c r="D99" s="2">
        <v>3.1944444444444449E-2</v>
      </c>
      <c r="E99" t="s">
        <v>2</v>
      </c>
      <c r="F99" t="s">
        <v>3</v>
      </c>
      <c r="G99" s="3">
        <v>33.99</v>
      </c>
      <c r="H99" s="3">
        <v>5.09</v>
      </c>
    </row>
    <row r="100" spans="1:8" x14ac:dyDescent="0.35">
      <c r="A100" t="s">
        <v>246</v>
      </c>
      <c r="B100" t="s">
        <v>1062</v>
      </c>
      <c r="C100" s="1">
        <v>45494</v>
      </c>
      <c r="D100" s="2">
        <v>0.95416666666666661</v>
      </c>
      <c r="E100" t="s">
        <v>2</v>
      </c>
      <c r="F100" t="s">
        <v>3</v>
      </c>
      <c r="G100" s="3">
        <v>19.82</v>
      </c>
      <c r="H100" s="3">
        <v>2.97</v>
      </c>
    </row>
    <row r="101" spans="1:8" x14ac:dyDescent="0.35">
      <c r="A101" t="s">
        <v>246</v>
      </c>
      <c r="B101" t="s">
        <v>1063</v>
      </c>
      <c r="C101" s="1">
        <v>45495</v>
      </c>
      <c r="D101" s="2">
        <v>0.91805555555555562</v>
      </c>
      <c r="E101" t="s">
        <v>2</v>
      </c>
      <c r="F101" t="s">
        <v>3</v>
      </c>
      <c r="G101" s="3">
        <v>10.8</v>
      </c>
      <c r="H101" s="3">
        <v>1.62</v>
      </c>
    </row>
    <row r="102" spans="1:8" x14ac:dyDescent="0.35">
      <c r="A102" t="s">
        <v>246</v>
      </c>
      <c r="B102" t="s">
        <v>1064</v>
      </c>
      <c r="C102" s="1">
        <v>45496</v>
      </c>
      <c r="D102" s="2">
        <v>0.57916666666666672</v>
      </c>
      <c r="E102" t="s">
        <v>2</v>
      </c>
      <c r="F102" t="s">
        <v>3</v>
      </c>
      <c r="G102" s="3">
        <v>8.15</v>
      </c>
      <c r="H102" s="3">
        <v>1.22</v>
      </c>
    </row>
    <row r="103" spans="1:8" x14ac:dyDescent="0.35">
      <c r="A103" t="s">
        <v>246</v>
      </c>
      <c r="B103" t="s">
        <v>1065</v>
      </c>
      <c r="C103" s="1">
        <v>45497</v>
      </c>
      <c r="D103" s="2">
        <v>1.3888888888888888E-2</v>
      </c>
      <c r="E103" t="s">
        <v>2</v>
      </c>
      <c r="F103" t="s">
        <v>3</v>
      </c>
      <c r="G103" s="3">
        <v>13.22</v>
      </c>
      <c r="H103" s="3">
        <v>1.98</v>
      </c>
    </row>
    <row r="104" spans="1:8" x14ac:dyDescent="0.35">
      <c r="A104" t="s">
        <v>246</v>
      </c>
      <c r="B104" t="s">
        <v>1066</v>
      </c>
      <c r="C104" s="1">
        <v>45497</v>
      </c>
      <c r="D104" s="2">
        <v>5.4166666666666669E-2</v>
      </c>
      <c r="E104" t="s">
        <v>2</v>
      </c>
      <c r="F104" t="s">
        <v>3</v>
      </c>
      <c r="G104" s="3">
        <v>7.8</v>
      </c>
      <c r="H104" s="3">
        <v>1.17</v>
      </c>
    </row>
    <row r="105" spans="1:8" x14ac:dyDescent="0.35">
      <c r="A105" t="s">
        <v>246</v>
      </c>
      <c r="B105" t="s">
        <v>1067</v>
      </c>
      <c r="C105" s="1">
        <v>45497</v>
      </c>
      <c r="D105" s="2">
        <v>0.6958333333333333</v>
      </c>
      <c r="E105" t="s">
        <v>2</v>
      </c>
      <c r="F105" t="s">
        <v>3</v>
      </c>
      <c r="G105" s="3">
        <v>7.8</v>
      </c>
      <c r="H105" s="3">
        <v>1.17</v>
      </c>
    </row>
    <row r="106" spans="1:8" x14ac:dyDescent="0.35">
      <c r="A106" t="s">
        <v>246</v>
      </c>
      <c r="B106" t="s">
        <v>1068</v>
      </c>
      <c r="C106" s="1">
        <v>45497</v>
      </c>
      <c r="D106" s="2">
        <v>0.91875000000000007</v>
      </c>
      <c r="E106" t="s">
        <v>2</v>
      </c>
      <c r="F106" t="s">
        <v>3</v>
      </c>
      <c r="G106" s="3">
        <v>34.03</v>
      </c>
      <c r="H106" s="3">
        <v>5.0999999999999996</v>
      </c>
    </row>
    <row r="107" spans="1:8" x14ac:dyDescent="0.35">
      <c r="A107" t="s">
        <v>246</v>
      </c>
      <c r="B107" t="s">
        <v>1069</v>
      </c>
      <c r="C107" s="1">
        <v>45498</v>
      </c>
      <c r="D107" s="2">
        <v>2.7777777777777776E-2</v>
      </c>
      <c r="E107" t="s">
        <v>2</v>
      </c>
      <c r="F107" t="s">
        <v>3</v>
      </c>
      <c r="G107" s="3">
        <v>8.76</v>
      </c>
      <c r="H107" s="3">
        <v>1.31</v>
      </c>
    </row>
    <row r="108" spans="1:8" x14ac:dyDescent="0.35">
      <c r="A108" t="s">
        <v>246</v>
      </c>
      <c r="B108" t="s">
        <v>1070</v>
      </c>
      <c r="C108" s="1">
        <v>45498</v>
      </c>
      <c r="D108" s="2">
        <v>0.10902777777777778</v>
      </c>
      <c r="E108" t="s">
        <v>2</v>
      </c>
      <c r="F108" t="s">
        <v>3</v>
      </c>
      <c r="G108" s="3">
        <v>31.59</v>
      </c>
      <c r="H108" s="3">
        <v>4.7300000000000004</v>
      </c>
    </row>
    <row r="109" spans="1:8" x14ac:dyDescent="0.35">
      <c r="A109" t="s">
        <v>246</v>
      </c>
      <c r="B109" t="s">
        <v>1071</v>
      </c>
      <c r="C109" s="1">
        <v>45498</v>
      </c>
      <c r="D109" s="2">
        <v>0.86458333333333337</v>
      </c>
      <c r="E109" t="s">
        <v>2</v>
      </c>
      <c r="F109" t="s">
        <v>3</v>
      </c>
      <c r="G109" s="3">
        <v>29.84</v>
      </c>
      <c r="H109" s="3">
        <v>4.47</v>
      </c>
    </row>
    <row r="110" spans="1:8" x14ac:dyDescent="0.35">
      <c r="A110" t="s">
        <v>246</v>
      </c>
      <c r="B110" t="s">
        <v>1072</v>
      </c>
      <c r="C110" s="1">
        <v>45498</v>
      </c>
      <c r="D110" s="2">
        <v>0.8847222222222223</v>
      </c>
      <c r="E110" t="s">
        <v>2</v>
      </c>
      <c r="F110" t="s">
        <v>3</v>
      </c>
      <c r="G110" s="3">
        <v>14.16</v>
      </c>
      <c r="H110" s="3">
        <v>2.12</v>
      </c>
    </row>
    <row r="111" spans="1:8" x14ac:dyDescent="0.35">
      <c r="A111" t="s">
        <v>246</v>
      </c>
      <c r="B111" t="s">
        <v>1073</v>
      </c>
      <c r="C111" s="1">
        <v>45499</v>
      </c>
      <c r="D111" s="2">
        <v>0.69027777777777777</v>
      </c>
      <c r="E111" t="s">
        <v>2</v>
      </c>
      <c r="F111" t="s">
        <v>3</v>
      </c>
      <c r="G111" s="3">
        <v>13</v>
      </c>
      <c r="H111" s="3">
        <v>1.95</v>
      </c>
    </row>
    <row r="112" spans="1:8" x14ac:dyDescent="0.35">
      <c r="A112" t="s">
        <v>246</v>
      </c>
      <c r="B112" t="s">
        <v>1074</v>
      </c>
      <c r="C112" s="1">
        <v>45501</v>
      </c>
      <c r="D112" s="2">
        <v>5.6944444444444443E-2</v>
      </c>
      <c r="E112" t="s">
        <v>2</v>
      </c>
      <c r="F112" t="s">
        <v>3</v>
      </c>
      <c r="G112" s="3">
        <v>30.46</v>
      </c>
      <c r="H112" s="3">
        <v>4.5599999999999996</v>
      </c>
    </row>
    <row r="113" spans="1:8" x14ac:dyDescent="0.35">
      <c r="A113" t="s">
        <v>246</v>
      </c>
      <c r="B113" t="s">
        <v>1075</v>
      </c>
      <c r="C113" s="1">
        <v>45501</v>
      </c>
      <c r="D113" s="2">
        <v>0.89097222222222217</v>
      </c>
      <c r="E113" t="s">
        <v>2</v>
      </c>
      <c r="F113" t="s">
        <v>3</v>
      </c>
      <c r="G113" s="3">
        <v>15.84</v>
      </c>
      <c r="H113" s="3">
        <v>2.37</v>
      </c>
    </row>
    <row r="114" spans="1:8" x14ac:dyDescent="0.35">
      <c r="A114" t="s">
        <v>246</v>
      </c>
      <c r="B114" t="s">
        <v>1076</v>
      </c>
      <c r="C114" s="1">
        <v>45502</v>
      </c>
      <c r="D114" s="2">
        <v>0.81458333333333333</v>
      </c>
      <c r="E114" t="s">
        <v>2</v>
      </c>
      <c r="F114" t="s">
        <v>3</v>
      </c>
      <c r="G114" s="3">
        <v>6.65</v>
      </c>
      <c r="H114" s="3">
        <v>1</v>
      </c>
    </row>
    <row r="115" spans="1:8" x14ac:dyDescent="0.35">
      <c r="A115" t="s">
        <v>246</v>
      </c>
      <c r="B115" t="s">
        <v>1077</v>
      </c>
      <c r="C115" s="1">
        <v>45502</v>
      </c>
      <c r="D115" s="2">
        <v>0.94097222222222221</v>
      </c>
      <c r="E115" t="s">
        <v>2</v>
      </c>
      <c r="F115" t="s">
        <v>3</v>
      </c>
      <c r="G115" s="3">
        <v>20.88</v>
      </c>
      <c r="H115" s="3">
        <v>3.13</v>
      </c>
    </row>
    <row r="116" spans="1:8" x14ac:dyDescent="0.35">
      <c r="A116" t="s">
        <v>246</v>
      </c>
      <c r="B116" t="s">
        <v>1078</v>
      </c>
      <c r="C116" s="1">
        <v>45502</v>
      </c>
      <c r="D116" s="2">
        <v>0.95694444444444438</v>
      </c>
      <c r="E116" t="s">
        <v>2</v>
      </c>
      <c r="F116" t="s">
        <v>3</v>
      </c>
      <c r="G116" s="3">
        <v>13.65</v>
      </c>
      <c r="H116" s="3">
        <v>2.04</v>
      </c>
    </row>
    <row r="117" spans="1:8" x14ac:dyDescent="0.35">
      <c r="A117" t="s">
        <v>246</v>
      </c>
      <c r="B117" t="s">
        <v>1079</v>
      </c>
      <c r="C117" s="1">
        <v>45502</v>
      </c>
      <c r="D117" s="2">
        <v>0.98958333333333337</v>
      </c>
      <c r="E117" t="s">
        <v>2</v>
      </c>
      <c r="F117" t="s">
        <v>3</v>
      </c>
      <c r="G117" s="3">
        <v>32.25</v>
      </c>
      <c r="H117" s="3">
        <v>4.83</v>
      </c>
    </row>
    <row r="118" spans="1:8" x14ac:dyDescent="0.35">
      <c r="A118" t="s">
        <v>246</v>
      </c>
      <c r="B118" t="s">
        <v>1080</v>
      </c>
      <c r="C118" s="1">
        <v>45503</v>
      </c>
      <c r="D118" s="2">
        <v>2.361111111111111E-2</v>
      </c>
      <c r="E118" t="s">
        <v>2</v>
      </c>
      <c r="F118" t="s">
        <v>3</v>
      </c>
      <c r="G118" s="3">
        <v>25.34</v>
      </c>
      <c r="H118" s="3">
        <v>3.79</v>
      </c>
    </row>
    <row r="119" spans="1:8" x14ac:dyDescent="0.35">
      <c r="A119" t="s">
        <v>246</v>
      </c>
      <c r="B119" t="s">
        <v>1081</v>
      </c>
      <c r="C119" s="1">
        <v>45503</v>
      </c>
      <c r="D119" s="2">
        <v>0.88680555555555562</v>
      </c>
      <c r="E119" t="s">
        <v>2</v>
      </c>
      <c r="F119" t="s">
        <v>3</v>
      </c>
      <c r="G119" s="3">
        <v>7.15</v>
      </c>
      <c r="H119" s="3">
        <v>1.07</v>
      </c>
    </row>
    <row r="120" spans="1:8" ht="15" thickBot="1" x14ac:dyDescent="0.4">
      <c r="A120" s="4" t="s">
        <v>246</v>
      </c>
      <c r="B120" s="4" t="s">
        <v>1082</v>
      </c>
      <c r="C120" s="6">
        <v>45503</v>
      </c>
      <c r="D120" s="7">
        <v>0.93263888888888891</v>
      </c>
      <c r="E120" s="4" t="s">
        <v>2</v>
      </c>
      <c r="F120" s="4" t="s">
        <v>3</v>
      </c>
      <c r="G120" s="5">
        <v>30.08</v>
      </c>
      <c r="H120" s="5">
        <v>4.5</v>
      </c>
    </row>
    <row r="121" spans="1:8" x14ac:dyDescent="0.35">
      <c r="A121" t="s">
        <v>2228</v>
      </c>
      <c r="G121" s="9">
        <f t="shared" ref="G121:H121" si="5">SUM(G82:G120)</f>
        <v>679.62</v>
      </c>
      <c r="H121" s="9">
        <f t="shared" si="5"/>
        <v>101.81000000000002</v>
      </c>
    </row>
    <row r="124" spans="1:8" ht="15.75" thickBot="1" x14ac:dyDescent="0.3"/>
    <row r="125" spans="1:8" ht="15.75" thickBot="1" x14ac:dyDescent="0.3">
      <c r="A125" s="11" t="s">
        <v>411</v>
      </c>
      <c r="B125" s="12" t="s">
        <v>163</v>
      </c>
      <c r="C125" s="12" t="s">
        <v>165</v>
      </c>
      <c r="D125" s="12" t="s">
        <v>166</v>
      </c>
      <c r="E125" s="12" t="s">
        <v>164</v>
      </c>
      <c r="F125" s="12" t="s">
        <v>167</v>
      </c>
      <c r="G125" s="12" t="s">
        <v>412</v>
      </c>
      <c r="H125" s="13" t="s">
        <v>169</v>
      </c>
    </row>
    <row r="126" spans="1:8" ht="15" x14ac:dyDescent="0.25">
      <c r="A126" t="s">
        <v>543</v>
      </c>
      <c r="B126" t="s">
        <v>1083</v>
      </c>
      <c r="C126" s="1">
        <v>45473</v>
      </c>
      <c r="D126" s="2">
        <v>0.98263888888888884</v>
      </c>
      <c r="E126" t="s">
        <v>2</v>
      </c>
      <c r="F126" t="s">
        <v>3</v>
      </c>
      <c r="G126" s="3">
        <v>12.34</v>
      </c>
      <c r="H126" s="3">
        <v>1.85</v>
      </c>
    </row>
    <row r="127" spans="1:8" ht="15" x14ac:dyDescent="0.25">
      <c r="A127" t="s">
        <v>543</v>
      </c>
      <c r="B127" t="s">
        <v>1084</v>
      </c>
      <c r="C127" s="1">
        <v>45474</v>
      </c>
      <c r="D127" s="2">
        <v>2.4305555555555556E-2</v>
      </c>
      <c r="E127" t="s">
        <v>2</v>
      </c>
      <c r="F127" t="s">
        <v>3</v>
      </c>
      <c r="G127" s="3">
        <v>10.14</v>
      </c>
      <c r="H127" s="3">
        <v>1.52</v>
      </c>
    </row>
    <row r="128" spans="1:8" ht="15" x14ac:dyDescent="0.25">
      <c r="A128" t="s">
        <v>543</v>
      </c>
      <c r="B128" t="s">
        <v>1085</v>
      </c>
      <c r="C128" s="1">
        <v>45474</v>
      </c>
      <c r="D128" s="2">
        <v>0.13125000000000001</v>
      </c>
      <c r="E128" t="s">
        <v>2</v>
      </c>
      <c r="F128" t="s">
        <v>3</v>
      </c>
      <c r="G128" s="3">
        <v>15.59</v>
      </c>
      <c r="H128" s="3">
        <v>2.33</v>
      </c>
    </row>
    <row r="129" spans="1:8" ht="15" x14ac:dyDescent="0.25">
      <c r="A129" t="s">
        <v>543</v>
      </c>
      <c r="B129" t="s">
        <v>1086</v>
      </c>
      <c r="C129" s="1">
        <v>45474</v>
      </c>
      <c r="D129" s="2">
        <v>0.87777777777777777</v>
      </c>
      <c r="E129" t="s">
        <v>2</v>
      </c>
      <c r="F129" t="s">
        <v>3</v>
      </c>
      <c r="G129" s="3">
        <v>96.02</v>
      </c>
      <c r="H129" s="3">
        <v>14.38</v>
      </c>
    </row>
    <row r="130" spans="1:8" ht="15" x14ac:dyDescent="0.25">
      <c r="A130" t="s">
        <v>543</v>
      </c>
      <c r="B130" t="s">
        <v>1087</v>
      </c>
      <c r="C130" s="1">
        <v>45475</v>
      </c>
      <c r="D130" s="2">
        <v>0.35069444444444442</v>
      </c>
      <c r="E130" t="s">
        <v>2</v>
      </c>
      <c r="F130" t="s">
        <v>3</v>
      </c>
      <c r="G130" s="3">
        <v>25.69</v>
      </c>
      <c r="H130" s="3">
        <v>3.85</v>
      </c>
    </row>
    <row r="131" spans="1:8" ht="15" x14ac:dyDescent="0.25">
      <c r="A131" t="s">
        <v>543</v>
      </c>
      <c r="B131" t="s">
        <v>1088</v>
      </c>
      <c r="C131" s="1">
        <v>45475</v>
      </c>
      <c r="D131" s="2">
        <v>0.97291666666666676</v>
      </c>
      <c r="E131" t="s">
        <v>2</v>
      </c>
      <c r="F131" t="s">
        <v>3</v>
      </c>
      <c r="G131" s="3">
        <v>22.09</v>
      </c>
      <c r="H131" s="3">
        <v>3.31</v>
      </c>
    </row>
    <row r="132" spans="1:8" ht="15" x14ac:dyDescent="0.25">
      <c r="A132" t="s">
        <v>543</v>
      </c>
      <c r="B132" t="s">
        <v>1089</v>
      </c>
      <c r="C132" s="1">
        <v>45476</v>
      </c>
      <c r="D132" s="2">
        <v>0.15972222222222224</v>
      </c>
      <c r="E132" t="s">
        <v>2</v>
      </c>
      <c r="F132" t="s">
        <v>3</v>
      </c>
      <c r="G132" s="3">
        <v>48.58</v>
      </c>
      <c r="H132" s="3">
        <v>7.27</v>
      </c>
    </row>
    <row r="133" spans="1:8" ht="15" x14ac:dyDescent="0.25">
      <c r="A133" t="s">
        <v>543</v>
      </c>
      <c r="B133" t="s">
        <v>1090</v>
      </c>
      <c r="C133" s="1">
        <v>45476</v>
      </c>
      <c r="D133" s="2">
        <v>0.92499999999999993</v>
      </c>
      <c r="E133" t="s">
        <v>2</v>
      </c>
      <c r="F133" t="s">
        <v>3</v>
      </c>
      <c r="G133" s="3">
        <v>20.79</v>
      </c>
      <c r="H133" s="3">
        <v>3.11</v>
      </c>
    </row>
    <row r="134" spans="1:8" ht="15" x14ac:dyDescent="0.25">
      <c r="A134" t="s">
        <v>543</v>
      </c>
      <c r="B134" t="s">
        <v>1091</v>
      </c>
      <c r="C134" s="1">
        <v>45477</v>
      </c>
      <c r="D134" s="2">
        <v>0.19722222222222222</v>
      </c>
      <c r="E134" t="s">
        <v>2</v>
      </c>
      <c r="F134" t="s">
        <v>3</v>
      </c>
      <c r="G134" s="3">
        <v>12.34</v>
      </c>
      <c r="H134" s="3">
        <v>1.85</v>
      </c>
    </row>
    <row r="135" spans="1:8" ht="15" x14ac:dyDescent="0.25">
      <c r="A135" t="s">
        <v>543</v>
      </c>
      <c r="B135" t="s">
        <v>1092</v>
      </c>
      <c r="C135" s="1">
        <v>45477</v>
      </c>
      <c r="D135" s="2">
        <v>0.98055555555555562</v>
      </c>
      <c r="E135" t="s">
        <v>2</v>
      </c>
      <c r="F135" t="s">
        <v>3</v>
      </c>
      <c r="G135" s="3">
        <v>58.85</v>
      </c>
      <c r="H135" s="3">
        <v>8.81</v>
      </c>
    </row>
    <row r="136" spans="1:8" ht="15" x14ac:dyDescent="0.25">
      <c r="A136" t="s">
        <v>543</v>
      </c>
      <c r="B136" t="s">
        <v>1093</v>
      </c>
      <c r="C136" s="1">
        <v>45478</v>
      </c>
      <c r="D136" s="2">
        <v>0.41111111111111115</v>
      </c>
      <c r="E136" t="s">
        <v>2</v>
      </c>
      <c r="F136" t="s">
        <v>3</v>
      </c>
      <c r="G136" s="3">
        <v>25.33</v>
      </c>
      <c r="H136" s="3">
        <v>3.79</v>
      </c>
    </row>
    <row r="137" spans="1:8" ht="15" x14ac:dyDescent="0.25">
      <c r="A137" t="s">
        <v>543</v>
      </c>
      <c r="B137" t="s">
        <v>1094</v>
      </c>
      <c r="C137" s="1">
        <v>45478</v>
      </c>
      <c r="D137" s="2">
        <v>0.50902777777777775</v>
      </c>
      <c r="E137" t="s">
        <v>2</v>
      </c>
      <c r="F137" t="s">
        <v>3</v>
      </c>
      <c r="G137" s="3">
        <v>6.23</v>
      </c>
      <c r="H137" s="3">
        <v>0.93</v>
      </c>
    </row>
    <row r="138" spans="1:8" x14ac:dyDescent="0.35">
      <c r="A138" t="s">
        <v>543</v>
      </c>
      <c r="B138" t="s">
        <v>1095</v>
      </c>
      <c r="C138" s="1">
        <v>45478</v>
      </c>
      <c r="D138" s="2">
        <v>0.84513888888888899</v>
      </c>
      <c r="E138" t="s">
        <v>2</v>
      </c>
      <c r="F138" t="s">
        <v>3</v>
      </c>
      <c r="G138" s="3">
        <v>26</v>
      </c>
      <c r="H138" s="3">
        <v>3.89</v>
      </c>
    </row>
    <row r="139" spans="1:8" x14ac:dyDescent="0.35">
      <c r="A139" t="s">
        <v>543</v>
      </c>
      <c r="B139" t="s">
        <v>1096</v>
      </c>
      <c r="C139" s="1">
        <v>45478</v>
      </c>
      <c r="D139" s="2">
        <v>0.97569444444444453</v>
      </c>
      <c r="E139" t="s">
        <v>2</v>
      </c>
      <c r="F139" t="s">
        <v>3</v>
      </c>
      <c r="G139" s="3">
        <v>23.74</v>
      </c>
      <c r="H139" s="3">
        <v>3.56</v>
      </c>
    </row>
    <row r="140" spans="1:8" x14ac:dyDescent="0.35">
      <c r="A140" t="s">
        <v>543</v>
      </c>
      <c r="B140" t="s">
        <v>1097</v>
      </c>
      <c r="C140" s="1">
        <v>45479</v>
      </c>
      <c r="D140" s="2">
        <v>0.3576388888888889</v>
      </c>
      <c r="E140" t="s">
        <v>2</v>
      </c>
      <c r="F140" t="s">
        <v>3</v>
      </c>
      <c r="G140" s="3">
        <v>52.94</v>
      </c>
      <c r="H140" s="3">
        <v>7.93</v>
      </c>
    </row>
    <row r="141" spans="1:8" x14ac:dyDescent="0.35">
      <c r="A141" t="s">
        <v>543</v>
      </c>
      <c r="B141" t="s">
        <v>1098</v>
      </c>
      <c r="C141" s="1">
        <v>45479</v>
      </c>
      <c r="D141" s="2">
        <v>0.57916666666666672</v>
      </c>
      <c r="E141" t="s">
        <v>2</v>
      </c>
      <c r="F141" t="s">
        <v>3</v>
      </c>
      <c r="G141" s="3">
        <v>45.4</v>
      </c>
      <c r="H141" s="3">
        <v>6.8</v>
      </c>
    </row>
    <row r="142" spans="1:8" x14ac:dyDescent="0.35">
      <c r="A142" t="s">
        <v>543</v>
      </c>
      <c r="B142" t="s">
        <v>1099</v>
      </c>
      <c r="C142" s="1">
        <v>45480</v>
      </c>
      <c r="D142" s="2">
        <v>0.12291666666666667</v>
      </c>
      <c r="E142" t="s">
        <v>2</v>
      </c>
      <c r="F142" t="s">
        <v>3</v>
      </c>
      <c r="G142" s="3">
        <v>30.41</v>
      </c>
      <c r="H142" s="3">
        <v>4.55</v>
      </c>
    </row>
    <row r="143" spans="1:8" x14ac:dyDescent="0.35">
      <c r="A143" t="s">
        <v>543</v>
      </c>
      <c r="B143" t="s">
        <v>1100</v>
      </c>
      <c r="C143" s="1">
        <v>45481</v>
      </c>
      <c r="D143" s="2">
        <v>0.74513888888888891</v>
      </c>
      <c r="E143" t="s">
        <v>2</v>
      </c>
      <c r="F143" t="s">
        <v>3</v>
      </c>
      <c r="G143" s="3">
        <v>61.45</v>
      </c>
      <c r="H143" s="3">
        <v>9.1999999999999993</v>
      </c>
    </row>
    <row r="144" spans="1:8" x14ac:dyDescent="0.35">
      <c r="A144" t="s">
        <v>543</v>
      </c>
      <c r="B144" t="s">
        <v>1101</v>
      </c>
      <c r="C144" s="1">
        <v>45482</v>
      </c>
      <c r="D144" s="2">
        <v>0.33124999999999999</v>
      </c>
      <c r="E144" t="s">
        <v>2</v>
      </c>
      <c r="F144" t="s">
        <v>3</v>
      </c>
      <c r="G144" s="3">
        <v>18.2</v>
      </c>
      <c r="H144" s="3">
        <v>2.73</v>
      </c>
    </row>
    <row r="145" spans="1:8" x14ac:dyDescent="0.35">
      <c r="A145" t="s">
        <v>543</v>
      </c>
      <c r="B145" t="s">
        <v>1102</v>
      </c>
      <c r="C145" s="1">
        <v>45483</v>
      </c>
      <c r="D145" s="2">
        <v>0.94305555555555554</v>
      </c>
      <c r="E145" t="s">
        <v>2</v>
      </c>
      <c r="F145" t="s">
        <v>3</v>
      </c>
      <c r="G145" s="3">
        <v>35.81</v>
      </c>
      <c r="H145" s="3">
        <v>5.36</v>
      </c>
    </row>
    <row r="146" spans="1:8" x14ac:dyDescent="0.35">
      <c r="A146" t="s">
        <v>543</v>
      </c>
      <c r="B146" t="s">
        <v>1103</v>
      </c>
      <c r="C146" s="1">
        <v>45484</v>
      </c>
      <c r="D146" s="2">
        <v>4.6527777777777779E-2</v>
      </c>
      <c r="E146" t="s">
        <v>2</v>
      </c>
      <c r="F146" t="s">
        <v>3</v>
      </c>
      <c r="G146" s="3">
        <v>24.42</v>
      </c>
      <c r="H146" s="3">
        <v>3.66</v>
      </c>
    </row>
    <row r="147" spans="1:8" x14ac:dyDescent="0.35">
      <c r="A147" t="s">
        <v>543</v>
      </c>
      <c r="B147" t="s">
        <v>1104</v>
      </c>
      <c r="C147" s="1">
        <v>45484</v>
      </c>
      <c r="D147" s="2">
        <v>0.73749999999999993</v>
      </c>
      <c r="E147" t="s">
        <v>2</v>
      </c>
      <c r="F147" t="s">
        <v>3</v>
      </c>
      <c r="G147" s="3">
        <v>39.47</v>
      </c>
      <c r="H147" s="3">
        <v>5.91</v>
      </c>
    </row>
    <row r="148" spans="1:8" x14ac:dyDescent="0.35">
      <c r="A148" t="s">
        <v>543</v>
      </c>
      <c r="B148" t="s">
        <v>1105</v>
      </c>
      <c r="C148" s="1">
        <v>45485</v>
      </c>
      <c r="D148" s="2">
        <v>0.40625</v>
      </c>
      <c r="E148" t="s">
        <v>2</v>
      </c>
      <c r="F148" t="s">
        <v>3</v>
      </c>
      <c r="G148" s="3">
        <v>12.34</v>
      </c>
      <c r="H148" s="3">
        <v>1.85</v>
      </c>
    </row>
    <row r="149" spans="1:8" x14ac:dyDescent="0.35">
      <c r="A149" t="s">
        <v>543</v>
      </c>
      <c r="B149" t="s">
        <v>1106</v>
      </c>
      <c r="C149" s="1">
        <v>45486</v>
      </c>
      <c r="D149" s="2">
        <v>0.83958333333333324</v>
      </c>
      <c r="E149" t="s">
        <v>2</v>
      </c>
      <c r="F149" t="s">
        <v>3</v>
      </c>
      <c r="G149" s="3">
        <v>12.34</v>
      </c>
      <c r="H149" s="3">
        <v>1.85</v>
      </c>
    </row>
    <row r="150" spans="1:8" x14ac:dyDescent="0.35">
      <c r="A150" t="s">
        <v>543</v>
      </c>
      <c r="B150" t="s">
        <v>1107</v>
      </c>
      <c r="C150" s="1">
        <v>45487</v>
      </c>
      <c r="D150" s="2">
        <v>0.94513888888888886</v>
      </c>
      <c r="E150" t="s">
        <v>180</v>
      </c>
      <c r="F150" t="s">
        <v>3</v>
      </c>
      <c r="G150" s="3">
        <v>28.61</v>
      </c>
      <c r="H150" s="3">
        <v>4.28</v>
      </c>
    </row>
    <row r="151" spans="1:8" x14ac:dyDescent="0.35">
      <c r="A151" t="s">
        <v>543</v>
      </c>
      <c r="B151" t="s">
        <v>1108</v>
      </c>
      <c r="C151" s="1">
        <v>45488</v>
      </c>
      <c r="D151" s="2">
        <v>0.22916666666666666</v>
      </c>
      <c r="E151" t="s">
        <v>2</v>
      </c>
      <c r="F151" t="s">
        <v>3</v>
      </c>
      <c r="G151" s="3">
        <v>34.68</v>
      </c>
      <c r="H151" s="3">
        <v>5.19</v>
      </c>
    </row>
    <row r="152" spans="1:8" x14ac:dyDescent="0.35">
      <c r="A152" t="s">
        <v>543</v>
      </c>
      <c r="B152" t="s">
        <v>1109</v>
      </c>
      <c r="C152" s="1">
        <v>45489</v>
      </c>
      <c r="D152" s="2">
        <v>0.1361111111111111</v>
      </c>
      <c r="E152" t="s">
        <v>2</v>
      </c>
      <c r="F152" t="s">
        <v>3</v>
      </c>
      <c r="G152" s="3">
        <v>40.380000000000003</v>
      </c>
      <c r="H152" s="3">
        <v>6.05</v>
      </c>
    </row>
    <row r="153" spans="1:8" x14ac:dyDescent="0.35">
      <c r="A153" t="s">
        <v>543</v>
      </c>
      <c r="B153" t="s">
        <v>1110</v>
      </c>
      <c r="C153" s="1">
        <v>45489</v>
      </c>
      <c r="D153" s="2">
        <v>0.93472222222222223</v>
      </c>
      <c r="E153" t="s">
        <v>2</v>
      </c>
      <c r="F153" t="s">
        <v>3</v>
      </c>
      <c r="G153" s="3">
        <v>16.760000000000002</v>
      </c>
      <c r="H153" s="3">
        <v>2.5099999999999998</v>
      </c>
    </row>
    <row r="154" spans="1:8" x14ac:dyDescent="0.35">
      <c r="A154" t="s">
        <v>543</v>
      </c>
      <c r="B154" t="s">
        <v>1111</v>
      </c>
      <c r="C154" s="1">
        <v>45490</v>
      </c>
      <c r="D154" s="2">
        <v>0.94166666666666676</v>
      </c>
      <c r="E154" t="s">
        <v>2</v>
      </c>
      <c r="F154" t="s">
        <v>3</v>
      </c>
      <c r="G154" s="3">
        <v>14.81</v>
      </c>
      <c r="H154" s="3">
        <v>2.2200000000000002</v>
      </c>
    </row>
    <row r="155" spans="1:8" x14ac:dyDescent="0.35">
      <c r="A155" t="s">
        <v>543</v>
      </c>
      <c r="B155" t="s">
        <v>1112</v>
      </c>
      <c r="C155" s="1">
        <v>45492</v>
      </c>
      <c r="D155" s="2">
        <v>1.2499999999999999E-2</v>
      </c>
      <c r="E155" t="s">
        <v>2</v>
      </c>
      <c r="F155" t="s">
        <v>3</v>
      </c>
      <c r="G155" s="3">
        <v>15.59</v>
      </c>
      <c r="H155" s="3">
        <v>2.33</v>
      </c>
    </row>
    <row r="156" spans="1:8" x14ac:dyDescent="0.35">
      <c r="A156" t="s">
        <v>543</v>
      </c>
      <c r="B156" t="s">
        <v>1113</v>
      </c>
      <c r="C156" s="1">
        <v>45492</v>
      </c>
      <c r="D156" s="2">
        <v>0.4680555555555555</v>
      </c>
      <c r="E156" t="s">
        <v>2</v>
      </c>
      <c r="F156" t="s">
        <v>3</v>
      </c>
      <c r="G156" s="3">
        <v>26.55</v>
      </c>
      <c r="H156" s="3">
        <v>3.98</v>
      </c>
    </row>
    <row r="157" spans="1:8" x14ac:dyDescent="0.35">
      <c r="A157" t="s">
        <v>543</v>
      </c>
      <c r="B157" t="s">
        <v>1114</v>
      </c>
      <c r="C157" s="1">
        <v>45493</v>
      </c>
      <c r="D157" s="2">
        <v>1.8055555555555557E-2</v>
      </c>
      <c r="E157" t="s">
        <v>2</v>
      </c>
      <c r="F157" t="s">
        <v>3</v>
      </c>
      <c r="G157" s="3">
        <v>31.19</v>
      </c>
      <c r="H157" s="3">
        <v>4.67</v>
      </c>
    </row>
    <row r="158" spans="1:8" x14ac:dyDescent="0.35">
      <c r="A158" t="s">
        <v>543</v>
      </c>
      <c r="B158" t="s">
        <v>1115</v>
      </c>
      <c r="C158" s="1">
        <v>45494</v>
      </c>
      <c r="D158" s="2">
        <v>3.0555555555555555E-2</v>
      </c>
      <c r="E158" t="s">
        <v>2</v>
      </c>
      <c r="F158" t="s">
        <v>3</v>
      </c>
      <c r="G158" s="3">
        <v>19.350000000000001</v>
      </c>
      <c r="H158" s="3">
        <v>2.9</v>
      </c>
    </row>
    <row r="159" spans="1:8" x14ac:dyDescent="0.35">
      <c r="A159" t="s">
        <v>543</v>
      </c>
      <c r="B159" t="s">
        <v>1116</v>
      </c>
      <c r="C159" s="1">
        <v>45494</v>
      </c>
      <c r="D159" s="2">
        <v>0.96180555555555547</v>
      </c>
      <c r="E159" t="s">
        <v>2</v>
      </c>
      <c r="F159" t="s">
        <v>3</v>
      </c>
      <c r="G159" s="3">
        <v>27.94</v>
      </c>
      <c r="H159" s="3">
        <v>4.18</v>
      </c>
    </row>
    <row r="160" spans="1:8" x14ac:dyDescent="0.35">
      <c r="A160" t="s">
        <v>543</v>
      </c>
      <c r="B160" t="s">
        <v>1117</v>
      </c>
      <c r="C160" s="1">
        <v>45495</v>
      </c>
      <c r="D160" s="2">
        <v>6.458333333333334E-2</v>
      </c>
      <c r="E160" t="s">
        <v>2</v>
      </c>
      <c r="F160" t="s">
        <v>3</v>
      </c>
      <c r="G160" s="3">
        <v>16.760000000000002</v>
      </c>
      <c r="H160" s="3">
        <v>2.5099999999999998</v>
      </c>
    </row>
    <row r="161" spans="1:8" x14ac:dyDescent="0.35">
      <c r="A161" t="s">
        <v>543</v>
      </c>
      <c r="B161" t="s">
        <v>1118</v>
      </c>
      <c r="C161" s="1">
        <v>45495</v>
      </c>
      <c r="D161" s="2">
        <v>0.10625</v>
      </c>
      <c r="E161" t="s">
        <v>2</v>
      </c>
      <c r="F161" t="s">
        <v>3</v>
      </c>
      <c r="G161" s="3">
        <v>16.760000000000002</v>
      </c>
      <c r="H161" s="3">
        <v>2.5099999999999998</v>
      </c>
    </row>
    <row r="162" spans="1:8" x14ac:dyDescent="0.35">
      <c r="A162" t="s">
        <v>543</v>
      </c>
      <c r="B162" t="s">
        <v>1119</v>
      </c>
      <c r="C162" s="1">
        <v>45495</v>
      </c>
      <c r="D162" s="2">
        <v>0.49236111111111108</v>
      </c>
      <c r="E162" t="s">
        <v>2</v>
      </c>
      <c r="F162" t="s">
        <v>3</v>
      </c>
      <c r="G162" s="3">
        <v>110.48</v>
      </c>
      <c r="H162" s="3">
        <v>16.54</v>
      </c>
    </row>
    <row r="163" spans="1:8" x14ac:dyDescent="0.35">
      <c r="A163" t="s">
        <v>543</v>
      </c>
      <c r="B163" t="s">
        <v>1120</v>
      </c>
      <c r="C163" s="1">
        <v>45495</v>
      </c>
      <c r="D163" s="2">
        <v>0.61388888888888882</v>
      </c>
      <c r="E163" t="s">
        <v>2</v>
      </c>
      <c r="F163" t="s">
        <v>3</v>
      </c>
      <c r="G163" s="3">
        <v>16.760000000000002</v>
      </c>
      <c r="H163" s="3">
        <v>2.5099999999999998</v>
      </c>
    </row>
    <row r="164" spans="1:8" x14ac:dyDescent="0.35">
      <c r="A164" t="s">
        <v>543</v>
      </c>
      <c r="B164" t="s">
        <v>1121</v>
      </c>
      <c r="C164" s="1">
        <v>45495</v>
      </c>
      <c r="D164" s="2">
        <v>0.91041666666666676</v>
      </c>
      <c r="E164" t="s">
        <v>180</v>
      </c>
      <c r="F164" t="s">
        <v>3</v>
      </c>
      <c r="G164" s="3">
        <v>18.39</v>
      </c>
      <c r="H164" s="3">
        <v>2.75</v>
      </c>
    </row>
    <row r="165" spans="1:8" x14ac:dyDescent="0.35">
      <c r="A165" t="s">
        <v>543</v>
      </c>
      <c r="B165" t="s">
        <v>1122</v>
      </c>
      <c r="C165" s="1">
        <v>45495</v>
      </c>
      <c r="D165" s="2">
        <v>0.99236111111111114</v>
      </c>
      <c r="E165" t="s">
        <v>2</v>
      </c>
      <c r="F165" t="s">
        <v>3</v>
      </c>
      <c r="G165" s="3">
        <v>42.75</v>
      </c>
      <c r="H165" s="3">
        <v>6.4</v>
      </c>
    </row>
    <row r="166" spans="1:8" x14ac:dyDescent="0.35">
      <c r="A166" t="s">
        <v>543</v>
      </c>
      <c r="B166" t="s">
        <v>1123</v>
      </c>
      <c r="C166" s="1">
        <v>45496</v>
      </c>
      <c r="D166" s="2">
        <v>8.4027777777777771E-2</v>
      </c>
      <c r="E166" t="s">
        <v>2</v>
      </c>
      <c r="F166" t="s">
        <v>3</v>
      </c>
      <c r="G166" s="3">
        <v>16.100000000000001</v>
      </c>
      <c r="H166" s="3">
        <v>2.41</v>
      </c>
    </row>
    <row r="167" spans="1:8" x14ac:dyDescent="0.35">
      <c r="A167" t="s">
        <v>543</v>
      </c>
      <c r="B167" t="s">
        <v>1124</v>
      </c>
      <c r="C167" s="1">
        <v>45496</v>
      </c>
      <c r="D167" s="2">
        <v>0.48402777777777778</v>
      </c>
      <c r="E167" t="s">
        <v>2</v>
      </c>
      <c r="F167" t="s">
        <v>3</v>
      </c>
      <c r="G167" s="3">
        <v>16.760000000000002</v>
      </c>
      <c r="H167" s="3">
        <v>2.5099999999999998</v>
      </c>
    </row>
    <row r="168" spans="1:8" x14ac:dyDescent="0.35">
      <c r="A168" t="s">
        <v>543</v>
      </c>
      <c r="B168" t="s">
        <v>1125</v>
      </c>
      <c r="C168" s="1">
        <v>45497</v>
      </c>
      <c r="D168" s="2">
        <v>7.9861111111111105E-2</v>
      </c>
      <c r="E168" t="s">
        <v>180</v>
      </c>
      <c r="F168" t="s">
        <v>3</v>
      </c>
      <c r="G168" s="3">
        <v>8.15</v>
      </c>
      <c r="H168" s="3">
        <v>1.22</v>
      </c>
    </row>
    <row r="169" spans="1:8" x14ac:dyDescent="0.35">
      <c r="A169" t="s">
        <v>543</v>
      </c>
      <c r="B169" t="s">
        <v>1126</v>
      </c>
      <c r="C169" s="1">
        <v>45497</v>
      </c>
      <c r="D169" s="2">
        <v>0.3444444444444445</v>
      </c>
      <c r="E169" t="s">
        <v>2</v>
      </c>
      <c r="F169" t="s">
        <v>3</v>
      </c>
      <c r="G169" s="3">
        <v>31.18</v>
      </c>
      <c r="H169" s="3">
        <v>4.67</v>
      </c>
    </row>
    <row r="170" spans="1:8" x14ac:dyDescent="0.35">
      <c r="A170" t="s">
        <v>543</v>
      </c>
      <c r="B170" t="s">
        <v>1127</v>
      </c>
      <c r="C170" s="1">
        <v>45499</v>
      </c>
      <c r="D170" s="2">
        <v>0.24027777777777778</v>
      </c>
      <c r="E170" t="s">
        <v>2</v>
      </c>
      <c r="F170" t="s">
        <v>3</v>
      </c>
      <c r="G170" s="3">
        <v>28.29</v>
      </c>
      <c r="H170" s="3">
        <v>4.24</v>
      </c>
    </row>
    <row r="171" spans="1:8" x14ac:dyDescent="0.35">
      <c r="A171" t="s">
        <v>543</v>
      </c>
      <c r="B171" t="s">
        <v>1128</v>
      </c>
      <c r="C171" s="1">
        <v>45499</v>
      </c>
      <c r="D171" s="2">
        <v>0.34027777777777773</v>
      </c>
      <c r="E171" t="s">
        <v>2</v>
      </c>
      <c r="F171" t="s">
        <v>3</v>
      </c>
      <c r="G171" s="3">
        <v>42.1</v>
      </c>
      <c r="H171" s="3">
        <v>6.3</v>
      </c>
    </row>
    <row r="172" spans="1:8" x14ac:dyDescent="0.35">
      <c r="A172" t="s">
        <v>543</v>
      </c>
      <c r="B172" t="s">
        <v>1129</v>
      </c>
      <c r="C172" s="1">
        <v>45499</v>
      </c>
      <c r="D172" s="2">
        <v>0.37638888888888888</v>
      </c>
      <c r="E172" t="s">
        <v>2</v>
      </c>
      <c r="F172" t="s">
        <v>3</v>
      </c>
      <c r="G172" s="3">
        <v>16.760000000000002</v>
      </c>
      <c r="H172" s="3">
        <v>2.5099999999999998</v>
      </c>
    </row>
    <row r="173" spans="1:8" x14ac:dyDescent="0.35">
      <c r="A173" t="s">
        <v>543</v>
      </c>
      <c r="B173" t="s">
        <v>1130</v>
      </c>
      <c r="C173" s="1">
        <v>45499</v>
      </c>
      <c r="D173" s="2">
        <v>0.64236111111111105</v>
      </c>
      <c r="E173" t="s">
        <v>2</v>
      </c>
      <c r="F173" t="s">
        <v>3</v>
      </c>
      <c r="G173" s="3">
        <v>16.760000000000002</v>
      </c>
      <c r="H173" s="3">
        <v>2.5099999999999998</v>
      </c>
    </row>
    <row r="174" spans="1:8" x14ac:dyDescent="0.35">
      <c r="A174" t="s">
        <v>543</v>
      </c>
      <c r="B174" t="s">
        <v>1131</v>
      </c>
      <c r="C174" s="1">
        <v>45501</v>
      </c>
      <c r="D174" s="2">
        <v>0.12638888888888888</v>
      </c>
      <c r="E174" t="s">
        <v>2</v>
      </c>
      <c r="F174" t="s">
        <v>3</v>
      </c>
      <c r="G174" s="3">
        <v>61.32</v>
      </c>
      <c r="H174" s="3">
        <v>9.18</v>
      </c>
    </row>
    <row r="175" spans="1:8" x14ac:dyDescent="0.35">
      <c r="A175" t="s">
        <v>543</v>
      </c>
      <c r="B175" t="s">
        <v>1132</v>
      </c>
      <c r="C175" s="1">
        <v>45501</v>
      </c>
      <c r="D175" s="2">
        <v>0.9868055555555556</v>
      </c>
      <c r="E175" t="s">
        <v>2</v>
      </c>
      <c r="F175" t="s">
        <v>3</v>
      </c>
      <c r="G175" s="3">
        <v>46.51</v>
      </c>
      <c r="H175" s="3">
        <v>6.96</v>
      </c>
    </row>
    <row r="176" spans="1:8" x14ac:dyDescent="0.35">
      <c r="A176" t="s">
        <v>543</v>
      </c>
      <c r="B176" t="s">
        <v>1133</v>
      </c>
      <c r="C176" s="1">
        <v>45501</v>
      </c>
      <c r="D176" s="2">
        <v>0.97222222222222221</v>
      </c>
      <c r="E176" t="s">
        <v>2</v>
      </c>
      <c r="F176" t="s">
        <v>3</v>
      </c>
      <c r="G176" s="3">
        <v>52.75</v>
      </c>
      <c r="H176" s="3">
        <v>7.9</v>
      </c>
    </row>
    <row r="177" spans="1:8" x14ac:dyDescent="0.35">
      <c r="A177" t="s">
        <v>543</v>
      </c>
      <c r="B177" t="s">
        <v>1134</v>
      </c>
      <c r="C177" s="1">
        <v>45502</v>
      </c>
      <c r="D177" s="2">
        <v>0.94513888888888886</v>
      </c>
      <c r="E177" t="s">
        <v>2</v>
      </c>
      <c r="F177" t="s">
        <v>3</v>
      </c>
      <c r="G177" s="3">
        <v>12.99</v>
      </c>
      <c r="H177" s="3">
        <v>1.95</v>
      </c>
    </row>
    <row r="178" spans="1:8" x14ac:dyDescent="0.35">
      <c r="A178" t="s">
        <v>543</v>
      </c>
      <c r="B178" t="s">
        <v>1135</v>
      </c>
      <c r="C178" s="1">
        <v>45504</v>
      </c>
      <c r="D178" s="2">
        <v>0.16180555555555556</v>
      </c>
      <c r="E178" t="s">
        <v>2</v>
      </c>
      <c r="F178" t="s">
        <v>3</v>
      </c>
      <c r="G178" s="3">
        <v>48.18</v>
      </c>
      <c r="H178" s="3">
        <v>7.21</v>
      </c>
    </row>
    <row r="179" spans="1:8" x14ac:dyDescent="0.35">
      <c r="A179" t="s">
        <v>543</v>
      </c>
      <c r="B179" t="s">
        <v>1136</v>
      </c>
      <c r="C179" s="1">
        <v>45504</v>
      </c>
      <c r="D179" s="2">
        <v>0.4548611111111111</v>
      </c>
      <c r="E179" t="s">
        <v>2</v>
      </c>
      <c r="F179" t="s">
        <v>3</v>
      </c>
      <c r="G179" s="3">
        <v>15.59</v>
      </c>
      <c r="H179" s="3">
        <v>2.33</v>
      </c>
    </row>
    <row r="180" spans="1:8" ht="15" thickBot="1" x14ac:dyDescent="0.4">
      <c r="A180" s="4" t="s">
        <v>543</v>
      </c>
      <c r="B180" s="4" t="s">
        <v>1137</v>
      </c>
      <c r="C180" s="6">
        <v>45504</v>
      </c>
      <c r="D180" s="7">
        <v>0.74236111111111114</v>
      </c>
      <c r="E180" s="4" t="s">
        <v>2</v>
      </c>
      <c r="F180" s="4" t="s">
        <v>3</v>
      </c>
      <c r="G180" s="5">
        <v>37.07</v>
      </c>
      <c r="H180" s="5">
        <v>5.55</v>
      </c>
    </row>
    <row r="181" spans="1:8" x14ac:dyDescent="0.35">
      <c r="A181" t="s">
        <v>2228</v>
      </c>
      <c r="G181" s="9">
        <f t="shared" ref="G181" si="6">SUM(G126:G180)</f>
        <v>1664.78</v>
      </c>
      <c r="H181" s="9">
        <f>SUM(H126:H180)</f>
        <v>249.26999999999998</v>
      </c>
    </row>
    <row r="183" spans="1:8" ht="15" thickBot="1" x14ac:dyDescent="0.4"/>
    <row r="184" spans="1:8" ht="15" thickBot="1" x14ac:dyDescent="0.4">
      <c r="A184" s="11" t="s">
        <v>411</v>
      </c>
      <c r="B184" s="12" t="s">
        <v>163</v>
      </c>
      <c r="C184" s="12" t="s">
        <v>165</v>
      </c>
      <c r="D184" s="12" t="s">
        <v>166</v>
      </c>
      <c r="E184" s="12" t="s">
        <v>164</v>
      </c>
      <c r="F184" s="12" t="s">
        <v>167</v>
      </c>
      <c r="G184" s="12" t="s">
        <v>412</v>
      </c>
      <c r="H184" s="13" t="s">
        <v>169</v>
      </c>
    </row>
    <row r="185" spans="1:8" x14ac:dyDescent="0.35">
      <c r="A185" t="s">
        <v>40</v>
      </c>
      <c r="B185" t="s">
        <v>1138</v>
      </c>
      <c r="C185" s="1">
        <v>45474</v>
      </c>
      <c r="D185" s="2">
        <v>0.2076388888888889</v>
      </c>
      <c r="E185" t="s">
        <v>2</v>
      </c>
      <c r="F185" t="s">
        <v>3</v>
      </c>
      <c r="G185" s="3">
        <v>20.82</v>
      </c>
      <c r="H185" s="3">
        <v>3.12</v>
      </c>
    </row>
    <row r="186" spans="1:8" x14ac:dyDescent="0.35">
      <c r="A186" t="s">
        <v>40</v>
      </c>
      <c r="B186" t="s">
        <v>1139</v>
      </c>
      <c r="C186" s="1">
        <v>45474</v>
      </c>
      <c r="D186" s="2">
        <v>0.36874999999999997</v>
      </c>
      <c r="E186" t="s">
        <v>2</v>
      </c>
      <c r="F186" t="s">
        <v>3</v>
      </c>
      <c r="G186" s="3">
        <v>50.12</v>
      </c>
      <c r="H186" s="3">
        <v>7.51</v>
      </c>
    </row>
    <row r="187" spans="1:8" x14ac:dyDescent="0.35">
      <c r="A187" t="s">
        <v>40</v>
      </c>
      <c r="B187" t="s">
        <v>1140</v>
      </c>
      <c r="C187" s="1">
        <v>45475</v>
      </c>
      <c r="D187" s="2">
        <v>6.7361111111111108E-2</v>
      </c>
      <c r="E187" t="s">
        <v>2</v>
      </c>
      <c r="F187" t="s">
        <v>3</v>
      </c>
      <c r="G187" s="3">
        <v>20.88</v>
      </c>
      <c r="H187" s="3">
        <v>3.13</v>
      </c>
    </row>
    <row r="188" spans="1:8" x14ac:dyDescent="0.35">
      <c r="A188" t="s">
        <v>40</v>
      </c>
      <c r="B188" t="s">
        <v>1141</v>
      </c>
      <c r="C188" s="1">
        <v>45476</v>
      </c>
      <c r="D188" s="2">
        <v>0.97222222222222221</v>
      </c>
      <c r="E188" t="s">
        <v>2</v>
      </c>
      <c r="F188" t="s">
        <v>3</v>
      </c>
      <c r="G188" s="3">
        <v>33.92</v>
      </c>
      <c r="H188" s="3">
        <v>5.08</v>
      </c>
    </row>
    <row r="189" spans="1:8" x14ac:dyDescent="0.35">
      <c r="A189" t="s">
        <v>40</v>
      </c>
      <c r="B189" t="s">
        <v>1142</v>
      </c>
      <c r="C189" s="1">
        <v>45479</v>
      </c>
      <c r="D189" s="2">
        <v>0.84722222222222221</v>
      </c>
      <c r="E189" t="s">
        <v>2</v>
      </c>
      <c r="F189" t="s">
        <v>3</v>
      </c>
      <c r="G189" s="3">
        <v>14.64</v>
      </c>
      <c r="H189" s="3">
        <v>2.19</v>
      </c>
    </row>
    <row r="190" spans="1:8" x14ac:dyDescent="0.35">
      <c r="A190" t="s">
        <v>40</v>
      </c>
      <c r="B190" t="s">
        <v>1143</v>
      </c>
      <c r="C190" s="1">
        <v>45481</v>
      </c>
      <c r="D190" s="2">
        <v>0.51250000000000007</v>
      </c>
      <c r="E190" t="s">
        <v>2</v>
      </c>
      <c r="F190" t="s">
        <v>3</v>
      </c>
      <c r="G190" s="3">
        <v>10.44</v>
      </c>
      <c r="H190" s="3">
        <v>1.56</v>
      </c>
    </row>
    <row r="191" spans="1:8" x14ac:dyDescent="0.35">
      <c r="A191" t="s">
        <v>40</v>
      </c>
      <c r="B191" t="s">
        <v>1144</v>
      </c>
      <c r="C191" s="1">
        <v>45481</v>
      </c>
      <c r="D191" s="2">
        <v>0.97777777777777775</v>
      </c>
      <c r="E191" t="s">
        <v>2</v>
      </c>
      <c r="F191" t="s">
        <v>3</v>
      </c>
      <c r="G191" s="3">
        <v>34.89</v>
      </c>
      <c r="H191" s="3">
        <v>5.22</v>
      </c>
    </row>
    <row r="192" spans="1:8" x14ac:dyDescent="0.35">
      <c r="A192" t="s">
        <v>40</v>
      </c>
      <c r="B192" t="s">
        <v>1145</v>
      </c>
      <c r="C192" s="1">
        <v>45485</v>
      </c>
      <c r="D192" s="2">
        <v>0.37986111111111115</v>
      </c>
      <c r="E192" t="s">
        <v>2</v>
      </c>
      <c r="F192" t="s">
        <v>3</v>
      </c>
      <c r="G192" s="3">
        <v>21.41</v>
      </c>
      <c r="H192" s="3">
        <v>3.21</v>
      </c>
    </row>
    <row r="193" spans="1:8" x14ac:dyDescent="0.35">
      <c r="A193" t="s">
        <v>40</v>
      </c>
      <c r="B193" t="s">
        <v>1146</v>
      </c>
      <c r="C193" s="1">
        <v>45486</v>
      </c>
      <c r="D193" s="2">
        <v>0.9194444444444444</v>
      </c>
      <c r="E193" t="s">
        <v>2</v>
      </c>
      <c r="F193" t="s">
        <v>3</v>
      </c>
      <c r="G193" s="3">
        <v>18.59</v>
      </c>
      <c r="H193" s="3">
        <v>2.78</v>
      </c>
    </row>
    <row r="194" spans="1:8" x14ac:dyDescent="0.35">
      <c r="A194" t="s">
        <v>40</v>
      </c>
      <c r="B194" t="s">
        <v>1147</v>
      </c>
      <c r="C194" s="1">
        <v>45487</v>
      </c>
      <c r="D194" s="2">
        <v>0.30624999999999997</v>
      </c>
      <c r="E194" t="s">
        <v>2</v>
      </c>
      <c r="F194" t="s">
        <v>3</v>
      </c>
      <c r="G194" s="3">
        <v>16.3</v>
      </c>
      <c r="H194" s="3">
        <v>2.44</v>
      </c>
    </row>
    <row r="195" spans="1:8" x14ac:dyDescent="0.35">
      <c r="A195" t="s">
        <v>40</v>
      </c>
      <c r="B195" t="s">
        <v>1148</v>
      </c>
      <c r="C195" s="1">
        <v>45488</v>
      </c>
      <c r="D195" s="2">
        <v>0.74791666666666667</v>
      </c>
      <c r="E195" t="s">
        <v>2</v>
      </c>
      <c r="F195" t="s">
        <v>3</v>
      </c>
      <c r="G195" s="3">
        <v>10.44</v>
      </c>
      <c r="H195" s="3">
        <v>1.56</v>
      </c>
    </row>
    <row r="196" spans="1:8" x14ac:dyDescent="0.35">
      <c r="A196" t="s">
        <v>40</v>
      </c>
      <c r="B196" t="s">
        <v>1149</v>
      </c>
      <c r="C196" s="1">
        <v>45489</v>
      </c>
      <c r="D196" s="2">
        <v>0.93541666666666667</v>
      </c>
      <c r="E196" t="s">
        <v>2</v>
      </c>
      <c r="F196" t="s">
        <v>3</v>
      </c>
      <c r="G196" s="3">
        <v>11.69</v>
      </c>
      <c r="H196" s="3">
        <v>1.75</v>
      </c>
    </row>
    <row r="197" spans="1:8" x14ac:dyDescent="0.35">
      <c r="A197" t="s">
        <v>40</v>
      </c>
      <c r="B197" t="s">
        <v>1150</v>
      </c>
      <c r="C197" s="1">
        <v>45491</v>
      </c>
      <c r="D197" s="2">
        <v>0.86458333333333337</v>
      </c>
      <c r="E197" t="s">
        <v>2</v>
      </c>
      <c r="F197" t="s">
        <v>3</v>
      </c>
      <c r="G197" s="3">
        <v>10.44</v>
      </c>
      <c r="H197" s="3">
        <v>1.56</v>
      </c>
    </row>
    <row r="198" spans="1:8" x14ac:dyDescent="0.35">
      <c r="A198" t="s">
        <v>40</v>
      </c>
      <c r="B198" t="s">
        <v>1151</v>
      </c>
      <c r="C198" s="1">
        <v>45493</v>
      </c>
      <c r="D198" s="2">
        <v>0.12152777777777778</v>
      </c>
      <c r="E198" t="s">
        <v>2</v>
      </c>
      <c r="F198" t="s">
        <v>3</v>
      </c>
      <c r="G198" s="3">
        <v>14.94</v>
      </c>
      <c r="H198" s="3">
        <v>2.2400000000000002</v>
      </c>
    </row>
    <row r="199" spans="1:8" x14ac:dyDescent="0.35">
      <c r="A199" t="s">
        <v>40</v>
      </c>
      <c r="B199" t="s">
        <v>1152</v>
      </c>
      <c r="C199" s="1">
        <v>45493</v>
      </c>
      <c r="D199" s="2">
        <v>0.71527777777777779</v>
      </c>
      <c r="E199" t="s">
        <v>2</v>
      </c>
      <c r="F199" t="s">
        <v>3</v>
      </c>
      <c r="G199" s="3">
        <v>33.82</v>
      </c>
      <c r="H199" s="3">
        <v>5.0599999999999996</v>
      </c>
    </row>
    <row r="200" spans="1:8" x14ac:dyDescent="0.35">
      <c r="A200" t="s">
        <v>40</v>
      </c>
      <c r="B200" t="s">
        <v>1153</v>
      </c>
      <c r="C200" s="1">
        <v>45493</v>
      </c>
      <c r="D200" s="2">
        <v>0.91319444444444453</v>
      </c>
      <c r="E200" t="s">
        <v>2</v>
      </c>
      <c r="F200" t="s">
        <v>3</v>
      </c>
      <c r="G200" s="3">
        <v>26.08</v>
      </c>
      <c r="H200" s="3">
        <v>3.91</v>
      </c>
    </row>
    <row r="201" spans="1:8" x14ac:dyDescent="0.35">
      <c r="A201" t="s">
        <v>40</v>
      </c>
      <c r="B201" t="s">
        <v>1154</v>
      </c>
      <c r="C201" s="1">
        <v>45493</v>
      </c>
      <c r="D201" s="2">
        <v>0.95000000000000007</v>
      </c>
      <c r="E201" t="s">
        <v>2</v>
      </c>
      <c r="F201" t="s">
        <v>3</v>
      </c>
      <c r="G201" s="3">
        <v>43.63</v>
      </c>
      <c r="H201" s="3">
        <v>6.53</v>
      </c>
    </row>
    <row r="202" spans="1:8" x14ac:dyDescent="0.35">
      <c r="A202" t="s">
        <v>40</v>
      </c>
      <c r="B202" t="s">
        <v>1155</v>
      </c>
      <c r="C202" s="1">
        <v>45494</v>
      </c>
      <c r="D202" s="2">
        <v>9.0277777777777787E-3</v>
      </c>
      <c r="E202" t="s">
        <v>2</v>
      </c>
      <c r="F202" t="s">
        <v>3</v>
      </c>
      <c r="G202" s="3">
        <v>29.03</v>
      </c>
      <c r="H202" s="3">
        <v>4.3499999999999996</v>
      </c>
    </row>
    <row r="203" spans="1:8" x14ac:dyDescent="0.35">
      <c r="A203" t="s">
        <v>40</v>
      </c>
      <c r="B203" t="s">
        <v>1156</v>
      </c>
      <c r="C203" s="1">
        <v>45494</v>
      </c>
      <c r="D203" s="2">
        <v>0.87986111111111109</v>
      </c>
      <c r="E203" t="s">
        <v>2</v>
      </c>
      <c r="F203" t="s">
        <v>3</v>
      </c>
      <c r="G203" s="3">
        <v>17.57</v>
      </c>
      <c r="H203" s="3">
        <v>2.63</v>
      </c>
    </row>
    <row r="204" spans="1:8" x14ac:dyDescent="0.35">
      <c r="A204" t="s">
        <v>40</v>
      </c>
      <c r="B204" t="s">
        <v>1157</v>
      </c>
      <c r="C204" s="1">
        <v>45496</v>
      </c>
      <c r="D204" s="2">
        <v>0.8125</v>
      </c>
      <c r="E204" t="s">
        <v>2</v>
      </c>
      <c r="F204" t="s">
        <v>3</v>
      </c>
      <c r="G204" s="3">
        <v>30.64</v>
      </c>
      <c r="H204" s="3">
        <v>4.59</v>
      </c>
    </row>
    <row r="205" spans="1:8" x14ac:dyDescent="0.35">
      <c r="A205" t="s">
        <v>40</v>
      </c>
      <c r="B205" t="s">
        <v>1158</v>
      </c>
      <c r="C205" s="1">
        <v>45497</v>
      </c>
      <c r="D205" s="2">
        <v>0.96805555555555556</v>
      </c>
      <c r="E205" t="s">
        <v>2</v>
      </c>
      <c r="F205" t="s">
        <v>3</v>
      </c>
      <c r="G205" s="3">
        <v>7.82</v>
      </c>
      <c r="H205" s="3">
        <v>1.17</v>
      </c>
    </row>
    <row r="206" spans="1:8" x14ac:dyDescent="0.35">
      <c r="A206" t="s">
        <v>40</v>
      </c>
      <c r="B206" t="s">
        <v>1159</v>
      </c>
      <c r="C206" s="1">
        <v>45498</v>
      </c>
      <c r="D206" s="2">
        <v>0.17152777777777775</v>
      </c>
      <c r="E206" t="s">
        <v>2</v>
      </c>
      <c r="F206" t="s">
        <v>3</v>
      </c>
      <c r="G206" s="3">
        <v>20.56</v>
      </c>
      <c r="H206" s="3">
        <v>3.08</v>
      </c>
    </row>
    <row r="207" spans="1:8" x14ac:dyDescent="0.35">
      <c r="A207" t="s">
        <v>40</v>
      </c>
      <c r="B207" t="s">
        <v>1160</v>
      </c>
      <c r="C207" s="1">
        <v>45499</v>
      </c>
      <c r="D207" s="2">
        <v>0.14027777777777778</v>
      </c>
      <c r="E207" t="s">
        <v>2</v>
      </c>
      <c r="F207" t="s">
        <v>3</v>
      </c>
      <c r="G207" s="3">
        <v>21.48</v>
      </c>
      <c r="H207" s="3">
        <v>3.22</v>
      </c>
    </row>
    <row r="208" spans="1:8" x14ac:dyDescent="0.35">
      <c r="A208" t="s">
        <v>40</v>
      </c>
      <c r="B208" t="s">
        <v>1161</v>
      </c>
      <c r="C208" s="1">
        <v>45500</v>
      </c>
      <c r="D208" s="2">
        <v>0.87638888888888899</v>
      </c>
      <c r="E208" t="s">
        <v>2</v>
      </c>
      <c r="F208" t="s">
        <v>3</v>
      </c>
      <c r="G208" s="3">
        <v>30.63</v>
      </c>
      <c r="H208" s="3">
        <v>4.59</v>
      </c>
    </row>
    <row r="209" spans="1:8" x14ac:dyDescent="0.35">
      <c r="A209" t="s">
        <v>40</v>
      </c>
      <c r="B209" t="s">
        <v>1162</v>
      </c>
      <c r="C209" s="1">
        <v>45503</v>
      </c>
      <c r="D209" s="2">
        <v>0.1076388888888889</v>
      </c>
      <c r="E209" t="s">
        <v>2</v>
      </c>
      <c r="F209" t="s">
        <v>3</v>
      </c>
      <c r="G209" s="3">
        <v>15.84</v>
      </c>
      <c r="H209" s="3">
        <v>2.37</v>
      </c>
    </row>
    <row r="210" spans="1:8" ht="15" thickBot="1" x14ac:dyDescent="0.4">
      <c r="A210" s="4" t="s">
        <v>40</v>
      </c>
      <c r="B210" s="4" t="s">
        <v>1163</v>
      </c>
      <c r="C210" s="6">
        <v>45504</v>
      </c>
      <c r="D210" s="7">
        <v>0.84513888888888899</v>
      </c>
      <c r="E210" s="4" t="s">
        <v>2</v>
      </c>
      <c r="F210" s="4" t="s">
        <v>3</v>
      </c>
      <c r="G210" s="5">
        <v>38.28</v>
      </c>
      <c r="H210" s="5">
        <v>5.73</v>
      </c>
    </row>
    <row r="211" spans="1:8" x14ac:dyDescent="0.35">
      <c r="A211" t="s">
        <v>2228</v>
      </c>
      <c r="G211" s="9">
        <f t="shared" ref="G211:H211" si="7">SUM(G185:G210)</f>
        <v>604.89999999999986</v>
      </c>
      <c r="H211" s="9">
        <f t="shared" si="7"/>
        <v>90.580000000000027</v>
      </c>
    </row>
    <row r="214" spans="1:8" ht="15" thickBot="1" x14ac:dyDescent="0.4"/>
    <row r="215" spans="1:8" ht="15" thickBot="1" x14ac:dyDescent="0.4">
      <c r="A215" s="11" t="s">
        <v>411</v>
      </c>
      <c r="B215" s="12" t="s">
        <v>163</v>
      </c>
      <c r="C215" s="12" t="s">
        <v>165</v>
      </c>
      <c r="D215" s="12" t="s">
        <v>166</v>
      </c>
      <c r="E215" s="12" t="s">
        <v>164</v>
      </c>
      <c r="F215" s="12" t="s">
        <v>167</v>
      </c>
      <c r="G215" s="12" t="s">
        <v>412</v>
      </c>
      <c r="H215" s="13" t="s">
        <v>169</v>
      </c>
    </row>
    <row r="216" spans="1:8" x14ac:dyDescent="0.35">
      <c r="A216" t="s">
        <v>148</v>
      </c>
      <c r="B216" t="s">
        <v>1164</v>
      </c>
      <c r="C216" s="1">
        <v>45474</v>
      </c>
      <c r="D216" s="2">
        <v>0.67291666666666661</v>
      </c>
      <c r="E216" t="s">
        <v>2</v>
      </c>
      <c r="F216" t="s">
        <v>3</v>
      </c>
      <c r="G216" s="3">
        <v>7.41</v>
      </c>
      <c r="H216" s="3">
        <v>1.1100000000000001</v>
      </c>
    </row>
    <row r="217" spans="1:8" x14ac:dyDescent="0.35">
      <c r="A217" t="s">
        <v>148</v>
      </c>
      <c r="B217" t="s">
        <v>1165</v>
      </c>
      <c r="C217" s="1">
        <v>45475</v>
      </c>
      <c r="D217" s="2">
        <v>0.54513888888888895</v>
      </c>
      <c r="E217" t="s">
        <v>2</v>
      </c>
      <c r="F217" t="s">
        <v>3</v>
      </c>
      <c r="G217" s="3">
        <v>50.53</v>
      </c>
      <c r="H217" s="3">
        <v>7.57</v>
      </c>
    </row>
    <row r="218" spans="1:8" x14ac:dyDescent="0.35">
      <c r="A218" t="s">
        <v>148</v>
      </c>
      <c r="B218" t="s">
        <v>1166</v>
      </c>
      <c r="C218" s="1">
        <v>45475</v>
      </c>
      <c r="D218" s="2">
        <v>0.79236111111111107</v>
      </c>
      <c r="E218" t="s">
        <v>2</v>
      </c>
      <c r="F218" t="s">
        <v>3</v>
      </c>
      <c r="G218" s="3">
        <v>20.99</v>
      </c>
      <c r="H218" s="3">
        <v>3.14</v>
      </c>
    </row>
    <row r="219" spans="1:8" x14ac:dyDescent="0.35">
      <c r="A219" t="s">
        <v>148</v>
      </c>
      <c r="B219" t="s">
        <v>1167</v>
      </c>
      <c r="C219" s="1">
        <v>45477</v>
      </c>
      <c r="D219" s="2">
        <v>1.2499999999999999E-2</v>
      </c>
      <c r="E219" t="s">
        <v>2</v>
      </c>
      <c r="F219" t="s">
        <v>3</v>
      </c>
      <c r="G219" s="3">
        <v>21.79</v>
      </c>
      <c r="H219" s="3">
        <v>3.26</v>
      </c>
    </row>
    <row r="220" spans="1:8" x14ac:dyDescent="0.35">
      <c r="A220" t="s">
        <v>148</v>
      </c>
      <c r="B220" t="s">
        <v>1168</v>
      </c>
      <c r="C220" s="1">
        <v>45477</v>
      </c>
      <c r="D220" s="2">
        <v>0.47430555555555554</v>
      </c>
      <c r="E220" t="s">
        <v>2</v>
      </c>
      <c r="F220" t="s">
        <v>3</v>
      </c>
      <c r="G220" s="3">
        <v>29.44</v>
      </c>
      <c r="H220" s="3">
        <v>4.41</v>
      </c>
    </row>
    <row r="221" spans="1:8" x14ac:dyDescent="0.35">
      <c r="A221" t="s">
        <v>148</v>
      </c>
      <c r="B221" t="s">
        <v>1169</v>
      </c>
      <c r="C221" s="1">
        <v>45478</v>
      </c>
      <c r="D221" s="2">
        <v>0.2298611111111111</v>
      </c>
      <c r="E221" t="s">
        <v>2</v>
      </c>
      <c r="F221" t="s">
        <v>3</v>
      </c>
      <c r="G221" s="3">
        <v>16.420000000000002</v>
      </c>
      <c r="H221" s="3">
        <v>2.46</v>
      </c>
    </row>
    <row r="222" spans="1:8" x14ac:dyDescent="0.35">
      <c r="A222" t="s">
        <v>148</v>
      </c>
      <c r="B222" t="s">
        <v>1170</v>
      </c>
      <c r="C222" s="1">
        <v>45478</v>
      </c>
      <c r="D222" s="2">
        <v>0.37083333333333335</v>
      </c>
      <c r="E222" t="s">
        <v>2</v>
      </c>
      <c r="F222" t="s">
        <v>3</v>
      </c>
      <c r="G222" s="3">
        <v>27.11</v>
      </c>
      <c r="H222" s="3">
        <v>4.0599999999999996</v>
      </c>
    </row>
    <row r="223" spans="1:8" x14ac:dyDescent="0.35">
      <c r="A223" t="s">
        <v>148</v>
      </c>
      <c r="B223" t="s">
        <v>1171</v>
      </c>
      <c r="C223" s="1">
        <v>45481</v>
      </c>
      <c r="D223" s="2">
        <v>0.1076388888888889</v>
      </c>
      <c r="E223" t="s">
        <v>2</v>
      </c>
      <c r="F223" t="s">
        <v>3</v>
      </c>
      <c r="G223" s="3">
        <v>37.950000000000003</v>
      </c>
      <c r="H223" s="3">
        <v>5.68</v>
      </c>
    </row>
    <row r="224" spans="1:8" x14ac:dyDescent="0.35">
      <c r="A224" t="s">
        <v>148</v>
      </c>
      <c r="B224" t="s">
        <v>1172</v>
      </c>
      <c r="C224" s="1">
        <v>45481</v>
      </c>
      <c r="D224" s="2">
        <v>0.11944444444444445</v>
      </c>
      <c r="E224" t="s">
        <v>2</v>
      </c>
      <c r="F224" t="s">
        <v>3</v>
      </c>
      <c r="G224" s="3">
        <v>23.28</v>
      </c>
      <c r="H224" s="3">
        <v>3.49</v>
      </c>
    </row>
    <row r="225" spans="1:8" x14ac:dyDescent="0.35">
      <c r="A225" t="s">
        <v>148</v>
      </c>
      <c r="B225" t="s">
        <v>1173</v>
      </c>
      <c r="C225" s="1">
        <v>45482</v>
      </c>
      <c r="D225" s="2">
        <v>0.12291666666666667</v>
      </c>
      <c r="E225" t="s">
        <v>2</v>
      </c>
      <c r="F225" t="s">
        <v>3</v>
      </c>
      <c r="G225" s="3">
        <v>33.79</v>
      </c>
      <c r="H225" s="3">
        <v>5.0599999999999996</v>
      </c>
    </row>
    <row r="226" spans="1:8" x14ac:dyDescent="0.35">
      <c r="A226" t="s">
        <v>148</v>
      </c>
      <c r="B226" t="s">
        <v>1174</v>
      </c>
      <c r="C226" s="1">
        <v>45484</v>
      </c>
      <c r="D226" s="2">
        <v>0.17569444444444446</v>
      </c>
      <c r="E226" t="s">
        <v>2</v>
      </c>
      <c r="F226" t="s">
        <v>3</v>
      </c>
      <c r="G226" s="3">
        <v>32.049999999999997</v>
      </c>
      <c r="H226" s="3">
        <v>4.8</v>
      </c>
    </row>
    <row r="227" spans="1:8" x14ac:dyDescent="0.35">
      <c r="A227" t="s">
        <v>148</v>
      </c>
      <c r="B227" t="s">
        <v>1175</v>
      </c>
      <c r="C227" s="1">
        <v>45484</v>
      </c>
      <c r="D227" s="2">
        <v>0.1986111111111111</v>
      </c>
      <c r="E227" t="s">
        <v>2</v>
      </c>
      <c r="F227" t="s">
        <v>3</v>
      </c>
      <c r="G227" s="3">
        <v>10.01</v>
      </c>
      <c r="H227" s="3">
        <v>1.5</v>
      </c>
    </row>
    <row r="228" spans="1:8" x14ac:dyDescent="0.35">
      <c r="A228" t="s">
        <v>148</v>
      </c>
      <c r="B228" t="s">
        <v>1176</v>
      </c>
      <c r="C228" s="1">
        <v>45484</v>
      </c>
      <c r="D228" s="2">
        <v>0.22083333333333333</v>
      </c>
      <c r="E228" t="s">
        <v>2</v>
      </c>
      <c r="F228" t="s">
        <v>3</v>
      </c>
      <c r="G228" s="3">
        <v>13.27</v>
      </c>
      <c r="H228" s="3">
        <v>1.99</v>
      </c>
    </row>
    <row r="229" spans="1:8" x14ac:dyDescent="0.35">
      <c r="A229" t="s">
        <v>148</v>
      </c>
      <c r="B229" t="s">
        <v>1177</v>
      </c>
      <c r="C229" s="1">
        <v>45485</v>
      </c>
      <c r="D229" s="2">
        <v>0.18888888888888888</v>
      </c>
      <c r="E229" t="s">
        <v>2</v>
      </c>
      <c r="F229" t="s">
        <v>3</v>
      </c>
      <c r="G229" s="3">
        <v>13</v>
      </c>
      <c r="H229" s="3">
        <v>1.95</v>
      </c>
    </row>
    <row r="230" spans="1:8" x14ac:dyDescent="0.35">
      <c r="A230" t="s">
        <v>148</v>
      </c>
      <c r="B230" t="s">
        <v>1178</v>
      </c>
      <c r="C230" s="1">
        <v>45485</v>
      </c>
      <c r="D230" s="2">
        <v>0.26666666666666666</v>
      </c>
      <c r="E230" t="s">
        <v>2</v>
      </c>
      <c r="F230" t="s">
        <v>3</v>
      </c>
      <c r="G230" s="3">
        <v>15.15</v>
      </c>
      <c r="H230" s="3">
        <v>2.27</v>
      </c>
    </row>
    <row r="231" spans="1:8" x14ac:dyDescent="0.35">
      <c r="A231" t="s">
        <v>148</v>
      </c>
      <c r="B231" t="s">
        <v>1179</v>
      </c>
      <c r="C231" s="1">
        <v>45485</v>
      </c>
      <c r="D231" s="2">
        <v>0.2638888888888889</v>
      </c>
      <c r="E231" t="s">
        <v>2</v>
      </c>
      <c r="F231" t="s">
        <v>3</v>
      </c>
      <c r="G231" s="3">
        <v>21.12</v>
      </c>
      <c r="H231" s="3">
        <v>3.16</v>
      </c>
    </row>
    <row r="232" spans="1:8" x14ac:dyDescent="0.35">
      <c r="A232" t="s">
        <v>148</v>
      </c>
      <c r="B232" t="s">
        <v>1180</v>
      </c>
      <c r="C232" s="1">
        <v>45485</v>
      </c>
      <c r="D232" s="2">
        <v>0.51736111111111105</v>
      </c>
      <c r="E232" t="s">
        <v>180</v>
      </c>
      <c r="F232" t="s">
        <v>3</v>
      </c>
      <c r="G232" s="3">
        <v>34.15</v>
      </c>
      <c r="H232" s="3">
        <v>5.1100000000000003</v>
      </c>
    </row>
    <row r="233" spans="1:8" x14ac:dyDescent="0.35">
      <c r="A233" t="s">
        <v>148</v>
      </c>
      <c r="B233" t="s">
        <v>1181</v>
      </c>
      <c r="C233" s="1">
        <v>45485</v>
      </c>
      <c r="D233" s="2">
        <v>0.64236111111111105</v>
      </c>
      <c r="E233" t="s">
        <v>2</v>
      </c>
      <c r="F233" t="s">
        <v>3</v>
      </c>
      <c r="G233" s="3">
        <v>15.21</v>
      </c>
      <c r="H233" s="3">
        <v>2.2799999999999998</v>
      </c>
    </row>
    <row r="234" spans="1:8" x14ac:dyDescent="0.35">
      <c r="A234" t="s">
        <v>148</v>
      </c>
      <c r="B234" t="s">
        <v>1182</v>
      </c>
      <c r="C234" s="1">
        <v>45486</v>
      </c>
      <c r="D234" s="2">
        <v>0.23124999999999998</v>
      </c>
      <c r="E234" t="s">
        <v>2</v>
      </c>
      <c r="F234" t="s">
        <v>3</v>
      </c>
      <c r="G234" s="3">
        <v>66.12</v>
      </c>
      <c r="H234" s="3">
        <v>9.9</v>
      </c>
    </row>
    <row r="235" spans="1:8" x14ac:dyDescent="0.35">
      <c r="A235" t="s">
        <v>148</v>
      </c>
      <c r="B235" t="s">
        <v>1183</v>
      </c>
      <c r="C235" s="1">
        <v>45488</v>
      </c>
      <c r="D235" s="2">
        <v>0.62638888888888888</v>
      </c>
      <c r="E235" t="s">
        <v>2</v>
      </c>
      <c r="F235" t="s">
        <v>3</v>
      </c>
      <c r="G235" s="3">
        <v>22.97</v>
      </c>
      <c r="H235" s="3">
        <v>3.44</v>
      </c>
    </row>
    <row r="236" spans="1:8" x14ac:dyDescent="0.35">
      <c r="A236" t="s">
        <v>148</v>
      </c>
      <c r="B236" t="s">
        <v>1184</v>
      </c>
      <c r="C236" s="1">
        <v>45489</v>
      </c>
      <c r="D236" s="2">
        <v>0.78749999999999998</v>
      </c>
      <c r="E236" t="s">
        <v>2</v>
      </c>
      <c r="F236" t="s">
        <v>3</v>
      </c>
      <c r="G236" s="3">
        <v>30.3</v>
      </c>
      <c r="H236" s="3">
        <v>4.54</v>
      </c>
    </row>
    <row r="237" spans="1:8" x14ac:dyDescent="0.35">
      <c r="A237" t="s">
        <v>148</v>
      </c>
      <c r="B237" t="s">
        <v>1185</v>
      </c>
      <c r="C237" s="1">
        <v>45490</v>
      </c>
      <c r="D237" s="2">
        <v>0.3888888888888889</v>
      </c>
      <c r="E237" t="s">
        <v>2</v>
      </c>
      <c r="F237" t="s">
        <v>3</v>
      </c>
      <c r="G237" s="3">
        <v>25.02</v>
      </c>
      <c r="H237" s="3">
        <v>3.75</v>
      </c>
    </row>
    <row r="238" spans="1:8" x14ac:dyDescent="0.35">
      <c r="A238" t="s">
        <v>148</v>
      </c>
      <c r="B238" t="s">
        <v>1186</v>
      </c>
      <c r="C238" s="1">
        <v>45492</v>
      </c>
      <c r="D238" s="2">
        <v>0.34583333333333338</v>
      </c>
      <c r="E238" t="s">
        <v>2</v>
      </c>
      <c r="F238" t="s">
        <v>3</v>
      </c>
      <c r="G238" s="3">
        <v>7.41</v>
      </c>
      <c r="H238" s="3">
        <v>1.1100000000000001</v>
      </c>
    </row>
    <row r="239" spans="1:8" x14ac:dyDescent="0.35">
      <c r="A239" t="s">
        <v>148</v>
      </c>
      <c r="B239" t="s">
        <v>1187</v>
      </c>
      <c r="C239" s="1">
        <v>45494</v>
      </c>
      <c r="D239" s="2">
        <v>0.44027777777777777</v>
      </c>
      <c r="E239" t="s">
        <v>2</v>
      </c>
      <c r="F239" t="s">
        <v>3</v>
      </c>
      <c r="G239" s="3">
        <v>22.1</v>
      </c>
      <c r="H239" s="3">
        <v>3.31</v>
      </c>
    </row>
    <row r="240" spans="1:8" x14ac:dyDescent="0.35">
      <c r="A240" t="s">
        <v>148</v>
      </c>
      <c r="B240" t="s">
        <v>1188</v>
      </c>
      <c r="C240" s="1">
        <v>45497</v>
      </c>
      <c r="D240" s="2">
        <v>2.361111111111111E-2</v>
      </c>
      <c r="E240" t="s">
        <v>2</v>
      </c>
      <c r="F240" t="s">
        <v>3</v>
      </c>
      <c r="G240" s="3">
        <v>31</v>
      </c>
      <c r="H240" s="3">
        <v>4.6399999999999997</v>
      </c>
    </row>
    <row r="241" spans="1:8" x14ac:dyDescent="0.35">
      <c r="A241" t="s">
        <v>148</v>
      </c>
      <c r="B241" t="s">
        <v>1189</v>
      </c>
      <c r="C241" s="1">
        <v>45497</v>
      </c>
      <c r="D241" s="2">
        <v>0.11527777777777777</v>
      </c>
      <c r="E241" t="s">
        <v>2</v>
      </c>
      <c r="F241" t="s">
        <v>3</v>
      </c>
      <c r="G241" s="3">
        <v>8.4499999999999993</v>
      </c>
      <c r="H241" s="3">
        <v>1.27</v>
      </c>
    </row>
    <row r="242" spans="1:8" x14ac:dyDescent="0.35">
      <c r="A242" t="s">
        <v>148</v>
      </c>
      <c r="B242" t="s">
        <v>1190</v>
      </c>
      <c r="C242" s="1">
        <v>45497</v>
      </c>
      <c r="D242" s="2">
        <v>0.14861111111111111</v>
      </c>
      <c r="E242" t="s">
        <v>2</v>
      </c>
      <c r="F242" t="s">
        <v>3</v>
      </c>
      <c r="G242" s="3">
        <v>21.79</v>
      </c>
      <c r="H242" s="3">
        <v>3.26</v>
      </c>
    </row>
    <row r="243" spans="1:8" x14ac:dyDescent="0.35">
      <c r="A243" t="s">
        <v>148</v>
      </c>
      <c r="B243" t="s">
        <v>1191</v>
      </c>
      <c r="C243" s="1">
        <v>45497</v>
      </c>
      <c r="D243" s="2">
        <v>0.43402777777777773</v>
      </c>
      <c r="E243" t="s">
        <v>2</v>
      </c>
      <c r="F243" t="s">
        <v>3</v>
      </c>
      <c r="G243" s="3">
        <v>24.05</v>
      </c>
      <c r="H243" s="3">
        <v>3.6</v>
      </c>
    </row>
    <row r="244" spans="1:8" x14ac:dyDescent="0.35">
      <c r="A244" t="s">
        <v>148</v>
      </c>
      <c r="B244" t="s">
        <v>1192</v>
      </c>
      <c r="C244" s="1">
        <v>45499</v>
      </c>
      <c r="D244" s="2">
        <v>0.4513888888888889</v>
      </c>
      <c r="E244" t="s">
        <v>2</v>
      </c>
      <c r="F244" t="s">
        <v>3</v>
      </c>
      <c r="G244" s="3">
        <v>31.9</v>
      </c>
      <c r="H244" s="3">
        <v>4.78</v>
      </c>
    </row>
    <row r="245" spans="1:8" x14ac:dyDescent="0.35">
      <c r="A245" t="s">
        <v>148</v>
      </c>
      <c r="B245" t="s">
        <v>1193</v>
      </c>
      <c r="C245" s="1">
        <v>45501</v>
      </c>
      <c r="D245" s="2">
        <v>0.37222222222222223</v>
      </c>
      <c r="E245" t="s">
        <v>2</v>
      </c>
      <c r="F245" t="s">
        <v>58</v>
      </c>
      <c r="G245" s="3">
        <v>23.6</v>
      </c>
      <c r="H245" s="3">
        <v>3.53</v>
      </c>
    </row>
    <row r="246" spans="1:8" x14ac:dyDescent="0.35">
      <c r="A246" t="s">
        <v>148</v>
      </c>
      <c r="B246" t="s">
        <v>1194</v>
      </c>
      <c r="C246" s="1">
        <v>45502</v>
      </c>
      <c r="D246" s="2">
        <v>0.20833333333333334</v>
      </c>
      <c r="E246" t="s">
        <v>2</v>
      </c>
      <c r="F246" t="s">
        <v>3</v>
      </c>
      <c r="G246" s="3">
        <v>20.41</v>
      </c>
      <c r="H246" s="3">
        <v>3.06</v>
      </c>
    </row>
    <row r="247" spans="1:8" x14ac:dyDescent="0.35">
      <c r="A247" t="s">
        <v>148</v>
      </c>
      <c r="B247" t="s">
        <v>1195</v>
      </c>
      <c r="C247" s="1">
        <v>45502</v>
      </c>
      <c r="D247" s="2">
        <v>0.74861111111111101</v>
      </c>
      <c r="E247" t="s">
        <v>2</v>
      </c>
      <c r="F247" t="s">
        <v>3</v>
      </c>
      <c r="G247" s="3">
        <v>16.13</v>
      </c>
      <c r="H247" s="3">
        <v>2.42</v>
      </c>
    </row>
    <row r="248" spans="1:8" x14ac:dyDescent="0.35">
      <c r="A248" t="s">
        <v>148</v>
      </c>
      <c r="B248" t="s">
        <v>1196</v>
      </c>
      <c r="C248" s="1">
        <v>45502</v>
      </c>
      <c r="D248" s="2">
        <v>0.92499999999999993</v>
      </c>
      <c r="E248" t="s">
        <v>2</v>
      </c>
      <c r="F248" t="s">
        <v>3</v>
      </c>
      <c r="G248" s="3">
        <v>37.770000000000003</v>
      </c>
      <c r="H248" s="3">
        <v>5.66</v>
      </c>
    </row>
    <row r="249" spans="1:8" x14ac:dyDescent="0.35">
      <c r="A249" t="s">
        <v>148</v>
      </c>
      <c r="B249" t="s">
        <v>1197</v>
      </c>
      <c r="C249" s="1">
        <v>45504</v>
      </c>
      <c r="D249" s="2">
        <v>8.3333333333333332E-3</v>
      </c>
      <c r="E249" t="s">
        <v>2</v>
      </c>
      <c r="F249" t="s">
        <v>3</v>
      </c>
      <c r="G249" s="3">
        <v>23.46</v>
      </c>
      <c r="H249" s="3">
        <v>3.51</v>
      </c>
    </row>
    <row r="250" spans="1:8" x14ac:dyDescent="0.35">
      <c r="A250" t="s">
        <v>148</v>
      </c>
      <c r="B250" t="s">
        <v>1198</v>
      </c>
      <c r="C250" s="1">
        <v>45504</v>
      </c>
      <c r="D250" s="2">
        <v>0.13541666666666666</v>
      </c>
      <c r="E250" t="s">
        <v>2</v>
      </c>
      <c r="F250" t="s">
        <v>3</v>
      </c>
      <c r="G250" s="3">
        <v>19.77</v>
      </c>
      <c r="H250" s="3">
        <v>2.96</v>
      </c>
    </row>
    <row r="251" spans="1:8" ht="15" thickBot="1" x14ac:dyDescent="0.4">
      <c r="A251" s="4" t="s">
        <v>148</v>
      </c>
      <c r="B251" s="4" t="s">
        <v>1199</v>
      </c>
      <c r="C251" s="6">
        <v>45504</v>
      </c>
      <c r="D251" s="7">
        <v>0.36944444444444446</v>
      </c>
      <c r="E251" s="4" t="s">
        <v>2</v>
      </c>
      <c r="F251" s="4" t="s">
        <v>3</v>
      </c>
      <c r="G251" s="5">
        <v>61.32</v>
      </c>
      <c r="H251" s="5">
        <v>9.18</v>
      </c>
    </row>
    <row r="252" spans="1:8" x14ac:dyDescent="0.35">
      <c r="A252" t="s">
        <v>2228</v>
      </c>
      <c r="G252" s="9">
        <f t="shared" ref="G252:H252" si="8">SUM(G216:G251)</f>
        <v>916.23999999999978</v>
      </c>
      <c r="H252" s="9">
        <f t="shared" si="8"/>
        <v>137.22000000000003</v>
      </c>
    </row>
    <row r="255" spans="1:8" ht="15" thickBot="1" x14ac:dyDescent="0.4"/>
    <row r="256" spans="1:8" ht="15" thickBot="1" x14ac:dyDescent="0.4">
      <c r="A256" s="11" t="s">
        <v>411</v>
      </c>
      <c r="B256" s="12" t="s">
        <v>163</v>
      </c>
      <c r="C256" s="12" t="s">
        <v>165</v>
      </c>
      <c r="D256" s="12" t="s">
        <v>166</v>
      </c>
      <c r="E256" s="12" t="s">
        <v>164</v>
      </c>
      <c r="F256" s="12" t="s">
        <v>167</v>
      </c>
      <c r="G256" s="12" t="s">
        <v>412</v>
      </c>
      <c r="H256" s="13" t="s">
        <v>169</v>
      </c>
    </row>
    <row r="257" spans="1:8" x14ac:dyDescent="0.35">
      <c r="A257" t="s">
        <v>743</v>
      </c>
      <c r="B257" t="s">
        <v>1200</v>
      </c>
      <c r="C257" s="1">
        <v>45474</v>
      </c>
      <c r="D257" s="2">
        <v>0.875</v>
      </c>
      <c r="E257" t="s">
        <v>2</v>
      </c>
      <c r="F257" t="s">
        <v>3</v>
      </c>
      <c r="G257" s="3">
        <v>37.18</v>
      </c>
      <c r="H257" s="3">
        <v>5.57</v>
      </c>
    </row>
    <row r="258" spans="1:8" x14ac:dyDescent="0.35">
      <c r="A258" t="s">
        <v>743</v>
      </c>
      <c r="B258" t="s">
        <v>1201</v>
      </c>
      <c r="C258" s="1">
        <v>45476</v>
      </c>
      <c r="D258" s="2">
        <v>0.79583333333333339</v>
      </c>
      <c r="E258" t="s">
        <v>2</v>
      </c>
      <c r="F258" t="s">
        <v>3</v>
      </c>
      <c r="G258" s="3">
        <v>14.8</v>
      </c>
      <c r="H258" s="3">
        <v>2.2200000000000002</v>
      </c>
    </row>
    <row r="259" spans="1:8" x14ac:dyDescent="0.35">
      <c r="A259" t="s">
        <v>743</v>
      </c>
      <c r="B259" t="s">
        <v>1202</v>
      </c>
      <c r="C259" s="1">
        <v>45477</v>
      </c>
      <c r="D259" s="2">
        <v>9.6527777777777768E-2</v>
      </c>
      <c r="E259" t="s">
        <v>2</v>
      </c>
      <c r="F259" t="s">
        <v>3</v>
      </c>
      <c r="G259" s="3">
        <v>36.97</v>
      </c>
      <c r="H259" s="3">
        <v>5.54</v>
      </c>
    </row>
    <row r="260" spans="1:8" x14ac:dyDescent="0.35">
      <c r="A260" t="s">
        <v>743</v>
      </c>
      <c r="B260" t="s">
        <v>1203</v>
      </c>
      <c r="C260" s="1">
        <v>45477</v>
      </c>
      <c r="D260" s="2">
        <v>0.15416666666666667</v>
      </c>
      <c r="E260" t="s">
        <v>2</v>
      </c>
      <c r="F260" t="s">
        <v>3</v>
      </c>
      <c r="G260" s="3">
        <v>51.98</v>
      </c>
      <c r="H260" s="3">
        <v>7.78</v>
      </c>
    </row>
    <row r="261" spans="1:8" ht="15" thickBot="1" x14ac:dyDescent="0.4">
      <c r="A261" s="4" t="s">
        <v>743</v>
      </c>
      <c r="B261" s="4" t="s">
        <v>1204</v>
      </c>
      <c r="C261" s="6">
        <v>45483</v>
      </c>
      <c r="D261" s="7">
        <v>0.85486111111111107</v>
      </c>
      <c r="E261" s="4" t="s">
        <v>2</v>
      </c>
      <c r="F261" s="4" t="s">
        <v>3</v>
      </c>
      <c r="G261" s="5">
        <v>22.78</v>
      </c>
      <c r="H261" s="5">
        <v>3.41</v>
      </c>
    </row>
    <row r="262" spans="1:8" x14ac:dyDescent="0.35">
      <c r="A262" t="s">
        <v>2228</v>
      </c>
      <c r="G262" s="9">
        <f t="shared" ref="G262:H262" si="9">SUM(G257:G261)</f>
        <v>163.71</v>
      </c>
      <c r="H262" s="9">
        <f t="shared" si="9"/>
        <v>24.520000000000003</v>
      </c>
    </row>
    <row r="265" spans="1:8" ht="15" thickBot="1" x14ac:dyDescent="0.4"/>
    <row r="266" spans="1:8" ht="15" thickBot="1" x14ac:dyDescent="0.4">
      <c r="A266" s="11" t="s">
        <v>411</v>
      </c>
      <c r="B266" s="12" t="s">
        <v>163</v>
      </c>
      <c r="C266" s="12" t="s">
        <v>165</v>
      </c>
      <c r="D266" s="12" t="s">
        <v>166</v>
      </c>
      <c r="E266" s="12" t="s">
        <v>164</v>
      </c>
      <c r="F266" s="12" t="s">
        <v>167</v>
      </c>
      <c r="G266" s="12" t="s">
        <v>412</v>
      </c>
      <c r="H266" s="13" t="s">
        <v>169</v>
      </c>
    </row>
    <row r="267" spans="1:8" x14ac:dyDescent="0.35">
      <c r="A267" t="s">
        <v>403</v>
      </c>
      <c r="B267" t="s">
        <v>1205</v>
      </c>
      <c r="C267" s="1">
        <v>45476</v>
      </c>
      <c r="D267" s="2">
        <v>0.16250000000000001</v>
      </c>
      <c r="E267" t="s">
        <v>2</v>
      </c>
      <c r="F267" t="s">
        <v>3</v>
      </c>
      <c r="G267" s="3">
        <v>29.58</v>
      </c>
      <c r="H267" s="3">
        <v>4.43</v>
      </c>
    </row>
    <row r="268" spans="1:8" x14ac:dyDescent="0.35">
      <c r="A268" t="s">
        <v>403</v>
      </c>
      <c r="B268" t="s">
        <v>1206</v>
      </c>
      <c r="C268" s="1">
        <v>45486</v>
      </c>
      <c r="D268" s="2">
        <v>0.37708333333333338</v>
      </c>
      <c r="E268" t="s">
        <v>2</v>
      </c>
      <c r="F268" t="s">
        <v>3</v>
      </c>
      <c r="G268" s="3">
        <v>30.87</v>
      </c>
      <c r="H268" s="3">
        <v>4.62</v>
      </c>
    </row>
    <row r="269" spans="1:8" ht="15" thickBot="1" x14ac:dyDescent="0.4">
      <c r="A269" s="4" t="s">
        <v>403</v>
      </c>
      <c r="B269" s="4" t="s">
        <v>1207</v>
      </c>
      <c r="C269" s="6">
        <v>45504</v>
      </c>
      <c r="D269" s="7">
        <v>0.17916666666666667</v>
      </c>
      <c r="E269" s="4" t="s">
        <v>2</v>
      </c>
      <c r="F269" s="4" t="s">
        <v>3</v>
      </c>
      <c r="G269" s="5">
        <v>31.74</v>
      </c>
      <c r="H269" s="5">
        <v>4.75</v>
      </c>
    </row>
    <row r="270" spans="1:8" x14ac:dyDescent="0.35">
      <c r="A270" t="s">
        <v>2228</v>
      </c>
      <c r="G270" s="9">
        <f t="shared" ref="G270:H270" si="10">SUM(G267:G269)</f>
        <v>92.19</v>
      </c>
      <c r="H270" s="9">
        <f t="shared" si="10"/>
        <v>13.8</v>
      </c>
    </row>
    <row r="276" spans="1:8" x14ac:dyDescent="0.35">
      <c r="A276" t="s">
        <v>2250</v>
      </c>
      <c r="G276" s="9">
        <f>SUM(G270,G262,G252,G211,G181,G121,G77,G61,G56,G29,G11)</f>
        <v>5754.4899999999989</v>
      </c>
    </row>
    <row r="277" spans="1:8" x14ac:dyDescent="0.35">
      <c r="A277" t="s">
        <v>2251</v>
      </c>
      <c r="H277" s="9">
        <f>SUM(H270,H262,H252,H211,H181,H121,H77,H61,H56,H29,H11)</f>
        <v>861.7700000000001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74"/>
  <sheetViews>
    <sheetView topLeftCell="A229" zoomScale="60" zoomScaleNormal="60" workbookViewId="0">
      <selection activeCell="G273" sqref="G273"/>
    </sheetView>
  </sheetViews>
  <sheetFormatPr defaultRowHeight="14.5" x14ac:dyDescent="0.35"/>
  <cols>
    <col min="1" max="1" width="26.90625" customWidth="1"/>
    <col min="3" max="3" width="12.54296875" customWidth="1"/>
    <col min="6" max="6" width="11.453125" customWidth="1"/>
    <col min="7" max="7" width="12.1796875" customWidth="1"/>
    <col min="8" max="8" width="12.54296875" customWidth="1"/>
  </cols>
  <sheetData>
    <row r="5" spans="1:8" ht="15.75" thickBot="1" x14ac:dyDescent="0.3"/>
    <row r="6" spans="1:8" ht="15.75" thickBot="1" x14ac:dyDescent="0.3">
      <c r="A6" s="11" t="s">
        <v>411</v>
      </c>
      <c r="B6" s="12" t="s">
        <v>163</v>
      </c>
      <c r="C6" s="12" t="s">
        <v>165</v>
      </c>
      <c r="D6" s="12" t="s">
        <v>166</v>
      </c>
      <c r="E6" s="12" t="s">
        <v>164</v>
      </c>
      <c r="F6" s="12" t="s">
        <v>167</v>
      </c>
      <c r="G6" s="12" t="s">
        <v>412</v>
      </c>
      <c r="H6" s="13" t="s">
        <v>169</v>
      </c>
    </row>
    <row r="7" spans="1:8" x14ac:dyDescent="0.35">
      <c r="A7" t="s">
        <v>414</v>
      </c>
      <c r="B7" t="s">
        <v>1208</v>
      </c>
      <c r="C7" s="1">
        <v>45514</v>
      </c>
      <c r="D7" s="2">
        <v>0.41111111111111115</v>
      </c>
      <c r="E7" t="s">
        <v>2</v>
      </c>
      <c r="F7" t="s">
        <v>3</v>
      </c>
      <c r="G7" s="3">
        <v>39.909999999999997</v>
      </c>
      <c r="H7" s="3">
        <v>5.98</v>
      </c>
    </row>
    <row r="8" spans="1:8" x14ac:dyDescent="0.35">
      <c r="A8" t="s">
        <v>414</v>
      </c>
      <c r="B8" t="s">
        <v>1209</v>
      </c>
      <c r="C8" s="1">
        <v>45526</v>
      </c>
      <c r="D8" s="2">
        <v>0.56527777777777777</v>
      </c>
      <c r="E8" t="s">
        <v>2</v>
      </c>
      <c r="F8" t="s">
        <v>3</v>
      </c>
      <c r="G8" s="3">
        <v>44.18</v>
      </c>
      <c r="H8" s="3">
        <v>6.62</v>
      </c>
    </row>
    <row r="9" spans="1:8" x14ac:dyDescent="0.35">
      <c r="A9" t="s">
        <v>414</v>
      </c>
      <c r="B9" t="s">
        <v>1210</v>
      </c>
      <c r="C9" s="1">
        <v>45527</v>
      </c>
      <c r="D9" s="2">
        <v>0.32500000000000001</v>
      </c>
      <c r="E9" t="s">
        <v>2</v>
      </c>
      <c r="F9" t="s">
        <v>3</v>
      </c>
      <c r="G9" s="3">
        <v>16.579999999999998</v>
      </c>
      <c r="H9" s="3">
        <v>2.48</v>
      </c>
    </row>
    <row r="10" spans="1:8" ht="15" thickBot="1" x14ac:dyDescent="0.4">
      <c r="A10" s="4" t="s">
        <v>414</v>
      </c>
      <c r="B10" s="4" t="s">
        <v>1211</v>
      </c>
      <c r="C10" s="6">
        <v>45534</v>
      </c>
      <c r="D10" s="7">
        <v>8.3333333333333332E-3</v>
      </c>
      <c r="E10" s="4" t="s">
        <v>2</v>
      </c>
      <c r="F10" s="4" t="s">
        <v>3</v>
      </c>
      <c r="G10" s="5">
        <v>20.79</v>
      </c>
      <c r="H10" s="5">
        <v>3.11</v>
      </c>
    </row>
    <row r="11" spans="1:8" x14ac:dyDescent="0.35">
      <c r="G11" s="9">
        <f>SUM(G7:G10)</f>
        <v>121.46000000000001</v>
      </c>
      <c r="H11" s="9">
        <f>SUM(H7:H10)</f>
        <v>18.190000000000001</v>
      </c>
    </row>
    <row r="14" spans="1:8" ht="15.75" thickBot="1" x14ac:dyDescent="0.3"/>
    <row r="15" spans="1:8" ht="15.75" thickBot="1" x14ac:dyDescent="0.3">
      <c r="A15" s="11" t="s">
        <v>411</v>
      </c>
      <c r="B15" s="12" t="s">
        <v>163</v>
      </c>
      <c r="C15" s="12" t="s">
        <v>165</v>
      </c>
      <c r="D15" s="12" t="s">
        <v>166</v>
      </c>
      <c r="E15" s="12" t="s">
        <v>164</v>
      </c>
      <c r="F15" s="12" t="s">
        <v>167</v>
      </c>
      <c r="G15" s="12" t="s">
        <v>412</v>
      </c>
      <c r="H15" s="13" t="s">
        <v>169</v>
      </c>
    </row>
    <row r="16" spans="1:8" x14ac:dyDescent="0.35">
      <c r="A16" t="s">
        <v>173</v>
      </c>
      <c r="B16" t="s">
        <v>1212</v>
      </c>
      <c r="C16" s="1">
        <v>45508</v>
      </c>
      <c r="D16" s="2">
        <v>0.18333333333333335</v>
      </c>
      <c r="E16" t="s">
        <v>2</v>
      </c>
      <c r="F16" t="s">
        <v>3</v>
      </c>
      <c r="G16" s="3">
        <v>40.840000000000003</v>
      </c>
      <c r="H16" s="3">
        <v>6.12</v>
      </c>
    </row>
    <row r="17" spans="1:8" x14ac:dyDescent="0.35">
      <c r="A17" t="s">
        <v>173</v>
      </c>
      <c r="B17" t="s">
        <v>1213</v>
      </c>
      <c r="C17" s="1">
        <v>45512</v>
      </c>
      <c r="D17" s="2">
        <v>0.63194444444444442</v>
      </c>
      <c r="E17" t="s">
        <v>2</v>
      </c>
      <c r="F17" t="s">
        <v>3</v>
      </c>
      <c r="G17" s="3">
        <v>42.4</v>
      </c>
      <c r="H17" s="3">
        <v>6.35</v>
      </c>
    </row>
    <row r="18" spans="1:8" x14ac:dyDescent="0.35">
      <c r="A18" t="s">
        <v>173</v>
      </c>
      <c r="B18" t="s">
        <v>1214</v>
      </c>
      <c r="C18" s="1">
        <v>45513</v>
      </c>
      <c r="D18" s="2">
        <v>0.17777777777777778</v>
      </c>
      <c r="E18" t="s">
        <v>2</v>
      </c>
      <c r="F18" t="s">
        <v>3</v>
      </c>
      <c r="G18" s="3">
        <v>15.06</v>
      </c>
      <c r="H18" s="3">
        <v>2.2599999999999998</v>
      </c>
    </row>
    <row r="19" spans="1:8" x14ac:dyDescent="0.35">
      <c r="A19" t="s">
        <v>173</v>
      </c>
      <c r="B19" t="s">
        <v>1215</v>
      </c>
      <c r="C19" s="1">
        <v>45514</v>
      </c>
      <c r="D19" s="2">
        <v>0.19513888888888889</v>
      </c>
      <c r="E19" t="s">
        <v>2</v>
      </c>
      <c r="F19" t="s">
        <v>58</v>
      </c>
      <c r="G19" s="3">
        <v>16.7</v>
      </c>
      <c r="H19" s="3">
        <v>2.5</v>
      </c>
    </row>
    <row r="20" spans="1:8" x14ac:dyDescent="0.35">
      <c r="A20" t="s">
        <v>173</v>
      </c>
      <c r="B20" t="s">
        <v>1216</v>
      </c>
      <c r="C20" s="1">
        <v>45515</v>
      </c>
      <c r="D20" s="2">
        <v>0.24027777777777778</v>
      </c>
      <c r="E20" t="s">
        <v>2</v>
      </c>
      <c r="F20" t="s">
        <v>3</v>
      </c>
      <c r="G20" s="3">
        <v>27</v>
      </c>
      <c r="H20" s="3">
        <v>4.04</v>
      </c>
    </row>
    <row r="21" spans="1:8" x14ac:dyDescent="0.35">
      <c r="A21" t="s">
        <v>173</v>
      </c>
      <c r="B21" t="s">
        <v>1217</v>
      </c>
      <c r="C21" s="1">
        <v>45516</v>
      </c>
      <c r="D21" s="2">
        <v>0.27916666666666667</v>
      </c>
      <c r="E21" t="s">
        <v>2</v>
      </c>
      <c r="F21" t="s">
        <v>3</v>
      </c>
      <c r="G21" s="3">
        <v>25.99</v>
      </c>
      <c r="H21" s="3">
        <v>3.89</v>
      </c>
    </row>
    <row r="22" spans="1:8" x14ac:dyDescent="0.35">
      <c r="A22" t="s">
        <v>173</v>
      </c>
      <c r="B22" t="s">
        <v>1218</v>
      </c>
      <c r="C22" s="1">
        <v>45517</v>
      </c>
      <c r="D22" s="2">
        <v>0.15972222222222224</v>
      </c>
      <c r="E22" t="s">
        <v>2</v>
      </c>
      <c r="F22" t="s">
        <v>3</v>
      </c>
      <c r="G22" s="3">
        <v>17.88</v>
      </c>
      <c r="H22" s="3">
        <v>2.68</v>
      </c>
    </row>
    <row r="23" spans="1:8" x14ac:dyDescent="0.35">
      <c r="A23" t="s">
        <v>173</v>
      </c>
      <c r="B23" t="s">
        <v>1219</v>
      </c>
      <c r="C23" s="1">
        <v>45517</v>
      </c>
      <c r="D23" s="2">
        <v>0.45833333333333331</v>
      </c>
      <c r="E23" t="s">
        <v>2</v>
      </c>
      <c r="F23" t="s">
        <v>3</v>
      </c>
      <c r="G23" s="3">
        <v>55.31</v>
      </c>
      <c r="H23" s="3">
        <v>8.2799999999999994</v>
      </c>
    </row>
    <row r="24" spans="1:8" x14ac:dyDescent="0.35">
      <c r="A24" t="s">
        <v>173</v>
      </c>
      <c r="B24" t="s">
        <v>1220</v>
      </c>
      <c r="C24" s="1">
        <v>45520</v>
      </c>
      <c r="D24" s="2">
        <v>0.10694444444444444</v>
      </c>
      <c r="E24" t="s">
        <v>2</v>
      </c>
      <c r="F24" t="s">
        <v>3</v>
      </c>
      <c r="G24" s="3">
        <v>30.4</v>
      </c>
      <c r="H24" s="3">
        <v>4.55</v>
      </c>
    </row>
    <row r="25" spans="1:8" x14ac:dyDescent="0.35">
      <c r="A25" t="s">
        <v>173</v>
      </c>
      <c r="B25" t="s">
        <v>1221</v>
      </c>
      <c r="C25" s="1">
        <v>45521</v>
      </c>
      <c r="D25" s="2">
        <v>0.39305555555555555</v>
      </c>
      <c r="E25" t="s">
        <v>2</v>
      </c>
      <c r="F25" t="s">
        <v>3</v>
      </c>
      <c r="G25" s="3">
        <v>54.64</v>
      </c>
      <c r="H25" s="3">
        <v>8.18</v>
      </c>
    </row>
    <row r="26" spans="1:8" x14ac:dyDescent="0.35">
      <c r="A26" t="s">
        <v>173</v>
      </c>
      <c r="B26" t="s">
        <v>1222</v>
      </c>
      <c r="C26" s="1">
        <v>45525</v>
      </c>
      <c r="D26" s="2">
        <v>0.88680555555555562</v>
      </c>
      <c r="E26" t="s">
        <v>2</v>
      </c>
      <c r="F26" t="s">
        <v>3</v>
      </c>
      <c r="G26" s="3">
        <v>25.33</v>
      </c>
      <c r="H26" s="3">
        <v>3.79</v>
      </c>
    </row>
    <row r="27" spans="1:8" x14ac:dyDescent="0.35">
      <c r="A27" t="s">
        <v>173</v>
      </c>
      <c r="B27" t="s">
        <v>1223</v>
      </c>
      <c r="C27" s="1">
        <v>45528</v>
      </c>
      <c r="D27" s="2">
        <v>0.42291666666666666</v>
      </c>
      <c r="E27" t="s">
        <v>2</v>
      </c>
      <c r="F27" t="s">
        <v>3</v>
      </c>
      <c r="G27" s="3">
        <v>43.98</v>
      </c>
      <c r="H27" s="3">
        <v>6.59</v>
      </c>
    </row>
    <row r="28" spans="1:8" x14ac:dyDescent="0.35">
      <c r="A28" t="s">
        <v>173</v>
      </c>
      <c r="B28" t="s">
        <v>1224</v>
      </c>
      <c r="C28" s="1">
        <v>45530</v>
      </c>
      <c r="D28" s="2">
        <v>0.17916666666666667</v>
      </c>
      <c r="E28" t="s">
        <v>2</v>
      </c>
      <c r="F28" t="s">
        <v>3</v>
      </c>
      <c r="G28" s="3">
        <v>20.5</v>
      </c>
      <c r="H28" s="3">
        <v>3.07</v>
      </c>
    </row>
    <row r="29" spans="1:8" x14ac:dyDescent="0.35">
      <c r="A29" t="s">
        <v>173</v>
      </c>
      <c r="B29" t="s">
        <v>1225</v>
      </c>
      <c r="C29" s="1">
        <v>45530</v>
      </c>
      <c r="D29" s="2">
        <v>0.93263888888888891</v>
      </c>
      <c r="E29" t="s">
        <v>2</v>
      </c>
      <c r="F29" t="s">
        <v>3</v>
      </c>
      <c r="G29" s="3">
        <v>30.34</v>
      </c>
      <c r="H29" s="3">
        <v>4.54</v>
      </c>
    </row>
    <row r="30" spans="1:8" x14ac:dyDescent="0.35">
      <c r="A30" t="s">
        <v>173</v>
      </c>
      <c r="B30" t="s">
        <v>1226</v>
      </c>
      <c r="C30" s="1">
        <v>45531</v>
      </c>
      <c r="D30" s="2">
        <v>0.13472222222222222</v>
      </c>
      <c r="E30" t="s">
        <v>2</v>
      </c>
      <c r="F30" t="s">
        <v>3</v>
      </c>
      <c r="G30" s="3">
        <v>4.5</v>
      </c>
      <c r="H30" s="3">
        <v>0.67</v>
      </c>
    </row>
    <row r="31" spans="1:8" x14ac:dyDescent="0.35">
      <c r="A31" t="s">
        <v>173</v>
      </c>
      <c r="B31" t="s">
        <v>1227</v>
      </c>
      <c r="C31" s="1">
        <v>45531</v>
      </c>
      <c r="D31" s="2">
        <v>0.18124999999999999</v>
      </c>
      <c r="E31" t="s">
        <v>2</v>
      </c>
      <c r="F31" t="s">
        <v>3</v>
      </c>
      <c r="G31" s="3">
        <v>7</v>
      </c>
      <c r="H31" s="3">
        <v>1.05</v>
      </c>
    </row>
    <row r="32" spans="1:8" x14ac:dyDescent="0.35">
      <c r="A32" t="s">
        <v>173</v>
      </c>
      <c r="B32" t="s">
        <v>1228</v>
      </c>
      <c r="C32" s="1">
        <v>45532</v>
      </c>
      <c r="D32" s="2">
        <v>0.46458333333333335</v>
      </c>
      <c r="E32" t="s">
        <v>2</v>
      </c>
      <c r="F32" t="s">
        <v>3</v>
      </c>
      <c r="G32" s="3">
        <v>40</v>
      </c>
      <c r="H32" s="3">
        <v>5.99</v>
      </c>
    </row>
    <row r="33" spans="1:8" x14ac:dyDescent="0.35">
      <c r="A33" t="s">
        <v>173</v>
      </c>
      <c r="B33" t="s">
        <v>1229</v>
      </c>
      <c r="C33" s="1">
        <v>45534</v>
      </c>
      <c r="D33" s="2">
        <v>0.21249999999999999</v>
      </c>
      <c r="E33" t="s">
        <v>2</v>
      </c>
      <c r="F33" t="s">
        <v>3</v>
      </c>
      <c r="G33" s="3">
        <v>11.85</v>
      </c>
      <c r="H33" s="3">
        <v>1.77</v>
      </c>
    </row>
    <row r="34" spans="1:8" x14ac:dyDescent="0.35">
      <c r="A34" s="20" t="s">
        <v>173</v>
      </c>
      <c r="B34" s="20" t="s">
        <v>1230</v>
      </c>
      <c r="C34" s="21">
        <v>45535</v>
      </c>
      <c r="D34" s="22">
        <v>0.93611111111111101</v>
      </c>
      <c r="E34" s="20" t="s">
        <v>180</v>
      </c>
      <c r="F34" s="20" t="s">
        <v>3</v>
      </c>
      <c r="G34" s="19">
        <v>30.51</v>
      </c>
      <c r="H34" s="19">
        <v>4.57</v>
      </c>
    </row>
    <row r="35" spans="1:8" x14ac:dyDescent="0.35">
      <c r="A35" s="27" t="s">
        <v>2229</v>
      </c>
      <c r="G35" s="9">
        <f>SUM(G16:G34)</f>
        <v>540.23</v>
      </c>
      <c r="H35" s="9">
        <f>SUM(H16:H34)</f>
        <v>80.889999999999986</v>
      </c>
    </row>
    <row r="38" spans="1:8" ht="15.75" thickBot="1" x14ac:dyDescent="0.3"/>
    <row r="39" spans="1:8" ht="15.75" thickBot="1" x14ac:dyDescent="0.3">
      <c r="A39" s="11" t="s">
        <v>411</v>
      </c>
      <c r="B39" s="12" t="s">
        <v>163</v>
      </c>
      <c r="C39" s="12" t="s">
        <v>165</v>
      </c>
      <c r="D39" s="12" t="s">
        <v>166</v>
      </c>
      <c r="E39" s="12" t="s">
        <v>164</v>
      </c>
      <c r="F39" s="12" t="s">
        <v>167</v>
      </c>
      <c r="G39" s="12" t="s">
        <v>412</v>
      </c>
      <c r="H39" s="13" t="s">
        <v>169</v>
      </c>
    </row>
    <row r="40" spans="1:8" x14ac:dyDescent="0.35">
      <c r="A40" t="s">
        <v>0</v>
      </c>
      <c r="B40" t="s">
        <v>1231</v>
      </c>
      <c r="C40" s="1">
        <v>45505</v>
      </c>
      <c r="D40" s="2">
        <v>3.3333333333333333E-2</v>
      </c>
      <c r="E40" t="s">
        <v>2</v>
      </c>
      <c r="F40" t="s">
        <v>3</v>
      </c>
      <c r="G40" s="3">
        <v>59.37</v>
      </c>
      <c r="H40" s="3">
        <v>8.89</v>
      </c>
    </row>
    <row r="41" spans="1:8" x14ac:dyDescent="0.35">
      <c r="A41" t="s">
        <v>0</v>
      </c>
      <c r="B41" t="s">
        <v>1232</v>
      </c>
      <c r="C41" s="1">
        <v>45506</v>
      </c>
      <c r="D41" s="2">
        <v>0.33402777777777781</v>
      </c>
      <c r="E41" t="s">
        <v>2</v>
      </c>
      <c r="F41" t="s">
        <v>3</v>
      </c>
      <c r="G41" s="3">
        <v>56.03</v>
      </c>
      <c r="H41" s="3">
        <v>8.39</v>
      </c>
    </row>
    <row r="42" spans="1:8" x14ac:dyDescent="0.35">
      <c r="A42" t="s">
        <v>0</v>
      </c>
      <c r="B42" t="s">
        <v>1233</v>
      </c>
      <c r="C42" s="1">
        <v>45512</v>
      </c>
      <c r="D42" s="2">
        <v>2.9861111111111113E-2</v>
      </c>
      <c r="E42" t="s">
        <v>2</v>
      </c>
      <c r="F42" t="s">
        <v>3</v>
      </c>
      <c r="G42" s="3">
        <v>39.049999999999997</v>
      </c>
      <c r="H42" s="3">
        <v>5.85</v>
      </c>
    </row>
    <row r="43" spans="1:8" x14ac:dyDescent="0.35">
      <c r="A43" t="s">
        <v>0</v>
      </c>
      <c r="B43" t="s">
        <v>1234</v>
      </c>
      <c r="C43" s="1">
        <v>45519</v>
      </c>
      <c r="D43" s="2">
        <v>0.46111111111111108</v>
      </c>
      <c r="E43" t="s">
        <v>2</v>
      </c>
      <c r="F43" t="s">
        <v>3</v>
      </c>
      <c r="G43" s="3">
        <v>18.2</v>
      </c>
      <c r="H43" s="3">
        <v>2.73</v>
      </c>
    </row>
    <row r="44" spans="1:8" x14ac:dyDescent="0.35">
      <c r="A44" t="s">
        <v>0</v>
      </c>
      <c r="B44" t="s">
        <v>1235</v>
      </c>
      <c r="C44" s="1">
        <v>45522</v>
      </c>
      <c r="D44" s="2">
        <v>0.66041666666666665</v>
      </c>
      <c r="E44" t="s">
        <v>2</v>
      </c>
      <c r="F44" t="s">
        <v>3</v>
      </c>
      <c r="G44" s="3">
        <v>23.54</v>
      </c>
      <c r="H44" s="3">
        <v>3.53</v>
      </c>
    </row>
    <row r="45" spans="1:8" x14ac:dyDescent="0.35">
      <c r="A45" t="s">
        <v>0</v>
      </c>
      <c r="B45" t="s">
        <v>1236</v>
      </c>
      <c r="C45" s="1">
        <v>45527</v>
      </c>
      <c r="D45" s="2">
        <v>1.0416666666666666E-2</v>
      </c>
      <c r="E45" t="s">
        <v>2</v>
      </c>
      <c r="F45" t="s">
        <v>3</v>
      </c>
      <c r="G45" s="3">
        <v>9.1</v>
      </c>
      <c r="H45" s="3">
        <v>1.36</v>
      </c>
    </row>
    <row r="46" spans="1:8" ht="15" thickBot="1" x14ac:dyDescent="0.4">
      <c r="A46" s="4" t="s">
        <v>0</v>
      </c>
      <c r="B46" s="4" t="s">
        <v>1237</v>
      </c>
      <c r="C46" s="6">
        <v>45528</v>
      </c>
      <c r="D46" s="7">
        <v>0.23055555555555554</v>
      </c>
      <c r="E46" s="4" t="s">
        <v>2</v>
      </c>
      <c r="F46" s="4" t="s">
        <v>3</v>
      </c>
      <c r="G46" s="5">
        <v>21.58</v>
      </c>
      <c r="H46" s="5">
        <v>3.23</v>
      </c>
    </row>
    <row r="47" spans="1:8" x14ac:dyDescent="0.35">
      <c r="A47" t="s">
        <v>2229</v>
      </c>
      <c r="G47" s="9">
        <f>SUM(G40:G46)</f>
        <v>226.86999999999995</v>
      </c>
      <c r="H47" s="9">
        <f>SUM(H40:H46)</f>
        <v>33.980000000000004</v>
      </c>
    </row>
    <row r="50" spans="1:8" ht="15.75" thickBot="1" x14ac:dyDescent="0.3"/>
    <row r="51" spans="1:8" ht="15" thickBot="1" x14ac:dyDescent="0.4">
      <c r="A51" s="11" t="s">
        <v>411</v>
      </c>
      <c r="B51" s="12" t="s">
        <v>163</v>
      </c>
      <c r="C51" s="12" t="s">
        <v>165</v>
      </c>
      <c r="D51" s="12" t="s">
        <v>166</v>
      </c>
      <c r="E51" s="12" t="s">
        <v>164</v>
      </c>
      <c r="F51" s="12" t="s">
        <v>167</v>
      </c>
      <c r="G51" s="12" t="s">
        <v>412</v>
      </c>
      <c r="H51" s="13" t="s">
        <v>169</v>
      </c>
    </row>
    <row r="52" spans="1:8" ht="15" thickBot="1" x14ac:dyDescent="0.4">
      <c r="A52" s="12" t="s">
        <v>496</v>
      </c>
      <c r="B52" s="12" t="s">
        <v>1238</v>
      </c>
      <c r="C52" s="23">
        <v>45527</v>
      </c>
      <c r="D52" s="24">
        <v>0.99930555555555556</v>
      </c>
      <c r="E52" s="12" t="s">
        <v>2</v>
      </c>
      <c r="F52" s="12" t="s">
        <v>3</v>
      </c>
      <c r="G52" s="25">
        <v>19.5</v>
      </c>
      <c r="H52" s="25">
        <v>2.92</v>
      </c>
    </row>
    <row r="53" spans="1:8" x14ac:dyDescent="0.35">
      <c r="A53" t="s">
        <v>2229</v>
      </c>
      <c r="G53" s="3">
        <f t="shared" ref="G53:H53" si="0">SUM(G52)</f>
        <v>19.5</v>
      </c>
      <c r="H53" s="3">
        <f t="shared" si="0"/>
        <v>2.92</v>
      </c>
    </row>
    <row r="56" spans="1:8" ht="15.75" thickBot="1" x14ac:dyDescent="0.3"/>
    <row r="57" spans="1:8" ht="15.75" thickBot="1" x14ac:dyDescent="0.3">
      <c r="A57" s="11" t="s">
        <v>411</v>
      </c>
      <c r="B57" s="12" t="s">
        <v>163</v>
      </c>
      <c r="C57" s="12" t="s">
        <v>165</v>
      </c>
      <c r="D57" s="12" t="s">
        <v>166</v>
      </c>
      <c r="E57" s="12" t="s">
        <v>164</v>
      </c>
      <c r="F57" s="12" t="s">
        <v>167</v>
      </c>
      <c r="G57" s="12" t="s">
        <v>412</v>
      </c>
      <c r="H57" s="13" t="s">
        <v>169</v>
      </c>
    </row>
    <row r="58" spans="1:8" x14ac:dyDescent="0.35">
      <c r="A58" t="s">
        <v>33</v>
      </c>
      <c r="B58" t="s">
        <v>1239</v>
      </c>
      <c r="C58" s="1">
        <v>45507</v>
      </c>
      <c r="D58" s="2">
        <v>0.22430555555555556</v>
      </c>
      <c r="E58" t="s">
        <v>2</v>
      </c>
      <c r="F58" t="s">
        <v>3</v>
      </c>
      <c r="G58" s="3">
        <v>15.01</v>
      </c>
      <c r="H58" s="3">
        <v>2.25</v>
      </c>
    </row>
    <row r="59" spans="1:8" x14ac:dyDescent="0.35">
      <c r="A59" t="s">
        <v>33</v>
      </c>
      <c r="B59" t="s">
        <v>1240</v>
      </c>
      <c r="C59" s="1">
        <v>45508</v>
      </c>
      <c r="D59" s="2">
        <v>0.43888888888888888</v>
      </c>
      <c r="E59" t="s">
        <v>2</v>
      </c>
      <c r="F59" t="s">
        <v>3</v>
      </c>
      <c r="G59" s="3">
        <v>63.79</v>
      </c>
      <c r="H59" s="3">
        <v>9.5500000000000007</v>
      </c>
    </row>
    <row r="60" spans="1:8" x14ac:dyDescent="0.35">
      <c r="A60" t="s">
        <v>33</v>
      </c>
      <c r="B60" t="s">
        <v>1241</v>
      </c>
      <c r="C60" s="1">
        <v>45509</v>
      </c>
      <c r="D60" s="2">
        <v>0.82361111111111107</v>
      </c>
      <c r="E60" t="s">
        <v>2</v>
      </c>
      <c r="F60" t="s">
        <v>3</v>
      </c>
      <c r="G60" s="3">
        <v>47.64</v>
      </c>
      <c r="H60" s="3">
        <v>7.13</v>
      </c>
    </row>
    <row r="61" spans="1:8" x14ac:dyDescent="0.35">
      <c r="A61" t="s">
        <v>33</v>
      </c>
      <c r="B61" t="s">
        <v>1242</v>
      </c>
      <c r="C61" s="1">
        <v>45510</v>
      </c>
      <c r="D61" s="2">
        <v>2.7777777777777779E-3</v>
      </c>
      <c r="E61" t="s">
        <v>2</v>
      </c>
      <c r="F61" t="s">
        <v>3</v>
      </c>
      <c r="G61" s="3">
        <v>18.53</v>
      </c>
      <c r="H61" s="3">
        <v>2.77</v>
      </c>
    </row>
    <row r="62" spans="1:8" x14ac:dyDescent="0.35">
      <c r="A62" t="s">
        <v>33</v>
      </c>
      <c r="B62" t="s">
        <v>1243</v>
      </c>
      <c r="C62" s="1">
        <v>45510</v>
      </c>
      <c r="D62" s="2">
        <v>0.15625</v>
      </c>
      <c r="E62" t="s">
        <v>2</v>
      </c>
      <c r="F62" t="s">
        <v>3</v>
      </c>
      <c r="G62" s="3">
        <v>23.29</v>
      </c>
      <c r="H62" s="3">
        <v>3.49</v>
      </c>
    </row>
    <row r="63" spans="1:8" x14ac:dyDescent="0.35">
      <c r="A63" t="s">
        <v>33</v>
      </c>
      <c r="B63" t="s">
        <v>1244</v>
      </c>
      <c r="C63" s="1">
        <v>45510</v>
      </c>
      <c r="D63" s="2">
        <v>0.87916666666666676</v>
      </c>
      <c r="E63" t="s">
        <v>2</v>
      </c>
      <c r="F63" t="s">
        <v>3</v>
      </c>
      <c r="G63" s="3">
        <v>27.3</v>
      </c>
      <c r="H63" s="3">
        <v>4.09</v>
      </c>
    </row>
    <row r="64" spans="1:8" x14ac:dyDescent="0.35">
      <c r="A64" t="s">
        <v>33</v>
      </c>
      <c r="B64" t="s">
        <v>1245</v>
      </c>
      <c r="C64" s="1">
        <v>45515</v>
      </c>
      <c r="D64" s="2">
        <v>6.3888888888888884E-2</v>
      </c>
      <c r="E64" t="s">
        <v>2</v>
      </c>
      <c r="F64" t="s">
        <v>3</v>
      </c>
      <c r="G64" s="3">
        <v>25.67</v>
      </c>
      <c r="H64" s="3">
        <v>3.84</v>
      </c>
    </row>
    <row r="65" spans="1:8" x14ac:dyDescent="0.35">
      <c r="A65" t="s">
        <v>33</v>
      </c>
      <c r="B65" t="s">
        <v>1246</v>
      </c>
      <c r="C65" s="1">
        <v>45516</v>
      </c>
      <c r="D65" s="2">
        <v>0.95416666666666661</v>
      </c>
      <c r="E65" t="s">
        <v>2</v>
      </c>
      <c r="F65" t="s">
        <v>3</v>
      </c>
      <c r="G65" s="3">
        <v>20.14</v>
      </c>
      <c r="H65" s="3">
        <v>3.02</v>
      </c>
    </row>
    <row r="66" spans="1:8" x14ac:dyDescent="0.35">
      <c r="A66" t="s">
        <v>33</v>
      </c>
      <c r="B66" t="s">
        <v>1247</v>
      </c>
      <c r="C66" s="1">
        <v>45519</v>
      </c>
      <c r="D66" s="2">
        <v>0.3743055555555555</v>
      </c>
      <c r="E66" t="s">
        <v>2</v>
      </c>
      <c r="F66" t="s">
        <v>3</v>
      </c>
      <c r="G66" s="3">
        <v>23.02</v>
      </c>
      <c r="H66" s="3">
        <v>3.45</v>
      </c>
    </row>
    <row r="67" spans="1:8" x14ac:dyDescent="0.35">
      <c r="A67" t="s">
        <v>33</v>
      </c>
      <c r="B67" t="s">
        <v>1248</v>
      </c>
      <c r="C67" s="1">
        <v>45520</v>
      </c>
      <c r="D67" s="2">
        <v>0.9590277777777777</v>
      </c>
      <c r="E67" t="s">
        <v>2</v>
      </c>
      <c r="F67" t="s">
        <v>3</v>
      </c>
      <c r="G67" s="3">
        <v>41.5</v>
      </c>
      <c r="H67" s="3">
        <v>6.21</v>
      </c>
    </row>
    <row r="68" spans="1:8" x14ac:dyDescent="0.35">
      <c r="A68" t="s">
        <v>33</v>
      </c>
      <c r="B68" t="s">
        <v>1249</v>
      </c>
      <c r="C68" s="1">
        <v>45525</v>
      </c>
      <c r="D68" s="2">
        <v>4.3055555555555562E-2</v>
      </c>
      <c r="E68" t="s">
        <v>2</v>
      </c>
      <c r="F68" t="s">
        <v>3</v>
      </c>
      <c r="G68" s="3">
        <v>22.77</v>
      </c>
      <c r="H68" s="3">
        <v>3.41</v>
      </c>
    </row>
    <row r="69" spans="1:8" x14ac:dyDescent="0.35">
      <c r="A69" t="s">
        <v>33</v>
      </c>
      <c r="B69" t="s">
        <v>1250</v>
      </c>
      <c r="C69" s="1">
        <v>45526</v>
      </c>
      <c r="D69" s="2">
        <v>0.92569444444444438</v>
      </c>
      <c r="E69" t="s">
        <v>2</v>
      </c>
      <c r="F69" t="s">
        <v>3</v>
      </c>
      <c r="G69" s="3">
        <v>57.39</v>
      </c>
      <c r="H69" s="3">
        <v>8.59</v>
      </c>
    </row>
    <row r="70" spans="1:8" x14ac:dyDescent="0.35">
      <c r="A70" t="s">
        <v>33</v>
      </c>
      <c r="B70" t="s">
        <v>1251</v>
      </c>
      <c r="C70" s="1">
        <v>45530</v>
      </c>
      <c r="D70" s="2">
        <v>0.1361111111111111</v>
      </c>
      <c r="E70" t="s">
        <v>2</v>
      </c>
      <c r="F70" t="s">
        <v>3</v>
      </c>
      <c r="G70" s="3">
        <v>19.010000000000002</v>
      </c>
      <c r="H70" s="3">
        <v>2.85</v>
      </c>
    </row>
    <row r="71" spans="1:8" x14ac:dyDescent="0.35">
      <c r="A71" t="s">
        <v>33</v>
      </c>
      <c r="B71" t="s">
        <v>1252</v>
      </c>
      <c r="C71" s="1">
        <v>45530</v>
      </c>
      <c r="D71" s="2">
        <v>0.14861111111111111</v>
      </c>
      <c r="E71" t="s">
        <v>2</v>
      </c>
      <c r="F71" t="s">
        <v>3</v>
      </c>
      <c r="G71" s="3">
        <v>39.65</v>
      </c>
      <c r="H71" s="3">
        <v>5.94</v>
      </c>
    </row>
    <row r="72" spans="1:8" x14ac:dyDescent="0.35">
      <c r="A72" t="s">
        <v>33</v>
      </c>
      <c r="B72" t="s">
        <v>1253</v>
      </c>
      <c r="C72" s="1">
        <v>45531</v>
      </c>
      <c r="D72" s="2">
        <v>6.9444444444444447E-4</v>
      </c>
      <c r="E72" t="s">
        <v>2</v>
      </c>
      <c r="F72" t="s">
        <v>3</v>
      </c>
      <c r="G72" s="3">
        <v>38.1</v>
      </c>
      <c r="H72" s="3">
        <v>5.71</v>
      </c>
    </row>
    <row r="73" spans="1:8" x14ac:dyDescent="0.35">
      <c r="A73" t="s">
        <v>33</v>
      </c>
      <c r="B73" t="s">
        <v>1254</v>
      </c>
      <c r="C73" s="1">
        <v>45531</v>
      </c>
      <c r="D73" s="2">
        <v>0.15486111111111112</v>
      </c>
      <c r="E73" t="s">
        <v>2</v>
      </c>
      <c r="F73" t="s">
        <v>3</v>
      </c>
      <c r="G73" s="3">
        <v>37.56</v>
      </c>
      <c r="H73" s="3">
        <v>5.62</v>
      </c>
    </row>
    <row r="74" spans="1:8" x14ac:dyDescent="0.35">
      <c r="A74" t="s">
        <v>33</v>
      </c>
      <c r="B74" t="s">
        <v>1255</v>
      </c>
      <c r="C74" s="1">
        <v>45532</v>
      </c>
      <c r="D74" s="2">
        <v>0.97777777777777775</v>
      </c>
      <c r="E74" t="s">
        <v>2</v>
      </c>
      <c r="F74" t="s">
        <v>3</v>
      </c>
      <c r="G74" s="3">
        <v>34.83</v>
      </c>
      <c r="H74" s="3">
        <v>5.22</v>
      </c>
    </row>
    <row r="75" spans="1:8" ht="15" thickBot="1" x14ac:dyDescent="0.4">
      <c r="A75" s="4" t="s">
        <v>33</v>
      </c>
      <c r="B75" s="4" t="s">
        <v>1256</v>
      </c>
      <c r="C75" s="6">
        <v>45534</v>
      </c>
      <c r="D75" s="7">
        <v>0.83194444444444438</v>
      </c>
      <c r="E75" s="4" t="s">
        <v>2</v>
      </c>
      <c r="F75" s="4" t="s">
        <v>3</v>
      </c>
      <c r="G75" s="5">
        <v>22.51</v>
      </c>
      <c r="H75" s="5">
        <v>3.37</v>
      </c>
    </row>
    <row r="76" spans="1:8" x14ac:dyDescent="0.35">
      <c r="A76" t="s">
        <v>2229</v>
      </c>
      <c r="G76" s="3">
        <f t="shared" ref="G76:H76" si="1">SUM(G58:G75)</f>
        <v>577.70999999999992</v>
      </c>
      <c r="H76" s="3">
        <f t="shared" si="1"/>
        <v>86.510000000000019</v>
      </c>
    </row>
    <row r="79" spans="1:8" ht="15.75" thickBot="1" x14ac:dyDescent="0.3"/>
    <row r="80" spans="1:8" ht="15.75" thickBot="1" x14ac:dyDescent="0.3">
      <c r="A80" s="11" t="s">
        <v>411</v>
      </c>
      <c r="B80" s="12" t="s">
        <v>163</v>
      </c>
      <c r="C80" s="12" t="s">
        <v>165</v>
      </c>
      <c r="D80" s="12" t="s">
        <v>166</v>
      </c>
      <c r="E80" s="12" t="s">
        <v>164</v>
      </c>
      <c r="F80" s="12" t="s">
        <v>167</v>
      </c>
      <c r="G80" s="12" t="s">
        <v>412</v>
      </c>
      <c r="H80" s="13" t="s">
        <v>169</v>
      </c>
    </row>
    <row r="81" spans="1:8" x14ac:dyDescent="0.35">
      <c r="A81" t="s">
        <v>246</v>
      </c>
      <c r="B81" t="s">
        <v>1257</v>
      </c>
      <c r="C81" s="1">
        <v>45506</v>
      </c>
      <c r="D81" s="2">
        <v>0.84722222222222221</v>
      </c>
      <c r="E81" t="s">
        <v>2</v>
      </c>
      <c r="F81" t="s">
        <v>3</v>
      </c>
      <c r="G81" s="3">
        <v>22.06</v>
      </c>
      <c r="H81" s="3">
        <v>3.3</v>
      </c>
    </row>
    <row r="82" spans="1:8" x14ac:dyDescent="0.35">
      <c r="A82" t="s">
        <v>246</v>
      </c>
      <c r="B82" t="s">
        <v>1258</v>
      </c>
      <c r="C82" s="1">
        <v>45506</v>
      </c>
      <c r="D82" s="2">
        <v>0.96180555555555547</v>
      </c>
      <c r="E82" t="s">
        <v>2</v>
      </c>
      <c r="F82" t="s">
        <v>3</v>
      </c>
      <c r="G82" s="3">
        <v>13.66</v>
      </c>
      <c r="H82" s="3">
        <v>2.0499999999999998</v>
      </c>
    </row>
    <row r="83" spans="1:8" x14ac:dyDescent="0.35">
      <c r="A83" t="s">
        <v>246</v>
      </c>
      <c r="B83" t="s">
        <v>1259</v>
      </c>
      <c r="C83" s="1">
        <v>45507</v>
      </c>
      <c r="D83" s="2">
        <v>6.9444444444444441E-3</v>
      </c>
      <c r="E83" t="s">
        <v>2</v>
      </c>
      <c r="F83" t="s">
        <v>3</v>
      </c>
      <c r="G83" s="3">
        <v>6.73</v>
      </c>
      <c r="H83" s="3">
        <v>1.01</v>
      </c>
    </row>
    <row r="84" spans="1:8" x14ac:dyDescent="0.35">
      <c r="A84" t="s">
        <v>246</v>
      </c>
      <c r="B84" t="s">
        <v>1260</v>
      </c>
      <c r="C84" s="1">
        <v>45507</v>
      </c>
      <c r="D84" s="2">
        <v>0.91527777777777775</v>
      </c>
      <c r="E84" t="s">
        <v>2</v>
      </c>
      <c r="F84" t="s">
        <v>3</v>
      </c>
      <c r="G84" s="3">
        <v>43.08</v>
      </c>
      <c r="H84" s="3">
        <v>6.45</v>
      </c>
    </row>
    <row r="85" spans="1:8" x14ac:dyDescent="0.35">
      <c r="A85" t="s">
        <v>246</v>
      </c>
      <c r="B85" t="s">
        <v>1261</v>
      </c>
      <c r="C85" s="1">
        <v>45507</v>
      </c>
      <c r="D85" s="2">
        <v>0.9555555555555556</v>
      </c>
      <c r="E85" t="s">
        <v>2</v>
      </c>
      <c r="F85" t="s">
        <v>3</v>
      </c>
      <c r="G85" s="3">
        <v>13.61</v>
      </c>
      <c r="H85" s="3">
        <v>2.04</v>
      </c>
    </row>
    <row r="86" spans="1:8" x14ac:dyDescent="0.35">
      <c r="A86" t="s">
        <v>246</v>
      </c>
      <c r="B86" t="s">
        <v>1262</v>
      </c>
      <c r="C86" s="1">
        <v>45509</v>
      </c>
      <c r="D86" s="2">
        <v>2.4305555555555556E-2</v>
      </c>
      <c r="E86" t="s">
        <v>2</v>
      </c>
      <c r="F86" t="s">
        <v>3</v>
      </c>
      <c r="G86" s="3">
        <v>8.65</v>
      </c>
      <c r="H86" s="3">
        <v>1.3</v>
      </c>
    </row>
    <row r="87" spans="1:8" x14ac:dyDescent="0.35">
      <c r="A87" t="s">
        <v>246</v>
      </c>
      <c r="B87" t="s">
        <v>1263</v>
      </c>
      <c r="C87" s="1">
        <v>45513</v>
      </c>
      <c r="D87" s="2">
        <v>1.5277777777777777E-2</v>
      </c>
      <c r="E87" t="s">
        <v>2</v>
      </c>
      <c r="F87" t="s">
        <v>3</v>
      </c>
      <c r="G87" s="3">
        <v>21.1</v>
      </c>
      <c r="H87" s="3">
        <v>3.16</v>
      </c>
    </row>
    <row r="88" spans="1:8" x14ac:dyDescent="0.35">
      <c r="A88" t="s">
        <v>246</v>
      </c>
      <c r="B88" t="s">
        <v>1264</v>
      </c>
      <c r="C88" s="1">
        <v>45513</v>
      </c>
      <c r="D88" s="2">
        <v>0.9784722222222223</v>
      </c>
      <c r="E88" t="s">
        <v>2</v>
      </c>
      <c r="F88" t="s">
        <v>3</v>
      </c>
      <c r="G88" s="3">
        <v>58.48</v>
      </c>
      <c r="H88" s="3">
        <v>8.76</v>
      </c>
    </row>
    <row r="89" spans="1:8" x14ac:dyDescent="0.35">
      <c r="A89" t="s">
        <v>246</v>
      </c>
      <c r="B89" t="s">
        <v>1265</v>
      </c>
      <c r="C89" s="1">
        <v>45514</v>
      </c>
      <c r="D89" s="2">
        <v>0.97430555555555554</v>
      </c>
      <c r="E89" t="s">
        <v>2</v>
      </c>
      <c r="F89" t="s">
        <v>3</v>
      </c>
      <c r="G89" s="3">
        <v>14.16</v>
      </c>
      <c r="H89" s="3">
        <v>2.12</v>
      </c>
    </row>
    <row r="90" spans="1:8" x14ac:dyDescent="0.35">
      <c r="A90" t="s">
        <v>246</v>
      </c>
      <c r="B90" t="s">
        <v>1266</v>
      </c>
      <c r="C90" s="1">
        <v>45517</v>
      </c>
      <c r="D90" s="2">
        <v>0.17916666666666667</v>
      </c>
      <c r="E90" t="s">
        <v>2</v>
      </c>
      <c r="F90" t="s">
        <v>3</v>
      </c>
      <c r="G90" s="3">
        <v>25.8</v>
      </c>
      <c r="H90" s="3">
        <v>3.86</v>
      </c>
    </row>
    <row r="91" spans="1:8" x14ac:dyDescent="0.35">
      <c r="A91" t="s">
        <v>246</v>
      </c>
      <c r="B91" t="s">
        <v>1267</v>
      </c>
      <c r="C91" s="1">
        <v>45519</v>
      </c>
      <c r="D91" s="2">
        <v>0.49513888888888885</v>
      </c>
      <c r="E91" t="s">
        <v>2</v>
      </c>
      <c r="F91" t="s">
        <v>3</v>
      </c>
      <c r="G91" s="3">
        <v>23.94</v>
      </c>
      <c r="H91" s="3">
        <v>3.59</v>
      </c>
    </row>
    <row r="92" spans="1:8" x14ac:dyDescent="0.35">
      <c r="A92" t="s">
        <v>246</v>
      </c>
      <c r="B92" t="s">
        <v>1268</v>
      </c>
      <c r="C92" s="1">
        <v>45519</v>
      </c>
      <c r="D92" s="2">
        <v>0.8027777777777777</v>
      </c>
      <c r="E92" t="s">
        <v>2</v>
      </c>
      <c r="F92" t="s">
        <v>3</v>
      </c>
      <c r="G92" s="3">
        <v>8.4700000000000006</v>
      </c>
      <c r="H92" s="3">
        <v>1.27</v>
      </c>
    </row>
    <row r="93" spans="1:8" x14ac:dyDescent="0.35">
      <c r="A93" t="s">
        <v>246</v>
      </c>
      <c r="B93" t="s">
        <v>1269</v>
      </c>
      <c r="C93" s="1">
        <v>45522</v>
      </c>
      <c r="D93" s="2">
        <v>0.87986111111111109</v>
      </c>
      <c r="E93" t="s">
        <v>2</v>
      </c>
      <c r="F93" t="s">
        <v>3</v>
      </c>
      <c r="G93" s="3">
        <v>5.85</v>
      </c>
      <c r="H93" s="3">
        <v>0.88</v>
      </c>
    </row>
    <row r="94" spans="1:8" x14ac:dyDescent="0.35">
      <c r="A94" t="s">
        <v>246</v>
      </c>
      <c r="B94" t="s">
        <v>1270</v>
      </c>
      <c r="C94" s="1">
        <v>45523</v>
      </c>
      <c r="D94" s="2">
        <v>0.89374999999999993</v>
      </c>
      <c r="E94" t="s">
        <v>2</v>
      </c>
      <c r="F94" t="s">
        <v>3</v>
      </c>
      <c r="G94" s="3">
        <v>11.9</v>
      </c>
      <c r="H94" s="3">
        <v>1.78</v>
      </c>
    </row>
    <row r="95" spans="1:8" x14ac:dyDescent="0.35">
      <c r="A95" t="s">
        <v>246</v>
      </c>
      <c r="B95" t="s">
        <v>1271</v>
      </c>
      <c r="C95" s="1">
        <v>45524</v>
      </c>
      <c r="D95" s="2">
        <v>6.9444444444444441E-3</v>
      </c>
      <c r="E95" t="s">
        <v>2</v>
      </c>
      <c r="F95" t="s">
        <v>3</v>
      </c>
      <c r="G95" s="3">
        <v>8.76</v>
      </c>
      <c r="H95" s="3">
        <v>1.31</v>
      </c>
    </row>
    <row r="96" spans="1:8" x14ac:dyDescent="0.35">
      <c r="A96" t="s">
        <v>246</v>
      </c>
      <c r="B96" t="s">
        <v>1272</v>
      </c>
      <c r="C96" s="1">
        <v>45525</v>
      </c>
      <c r="D96" s="2">
        <v>7.013888888888889E-2</v>
      </c>
      <c r="E96" t="s">
        <v>2</v>
      </c>
      <c r="F96" t="s">
        <v>3</v>
      </c>
      <c r="G96" s="3">
        <v>12.57</v>
      </c>
      <c r="H96" s="3">
        <v>1.88</v>
      </c>
    </row>
    <row r="97" spans="1:8" x14ac:dyDescent="0.35">
      <c r="A97" t="s">
        <v>246</v>
      </c>
      <c r="B97" t="s">
        <v>1273</v>
      </c>
      <c r="C97" s="1">
        <v>45526</v>
      </c>
      <c r="D97" s="2">
        <v>0.99861111111111101</v>
      </c>
      <c r="E97" t="s">
        <v>2</v>
      </c>
      <c r="F97" t="s">
        <v>3</v>
      </c>
      <c r="G97" s="3">
        <v>25.99</v>
      </c>
      <c r="H97" s="3">
        <v>3.89</v>
      </c>
    </row>
    <row r="98" spans="1:8" x14ac:dyDescent="0.35">
      <c r="A98" t="s">
        <v>246</v>
      </c>
      <c r="B98" t="s">
        <v>1274</v>
      </c>
      <c r="C98" s="1">
        <v>45528</v>
      </c>
      <c r="D98" s="2">
        <v>0.51736111111111105</v>
      </c>
      <c r="E98" t="s">
        <v>2</v>
      </c>
      <c r="F98" t="s">
        <v>3</v>
      </c>
      <c r="G98" s="3">
        <v>6.5</v>
      </c>
      <c r="H98" s="3">
        <v>0.97</v>
      </c>
    </row>
    <row r="99" spans="1:8" x14ac:dyDescent="0.35">
      <c r="A99" t="s">
        <v>246</v>
      </c>
      <c r="B99" t="s">
        <v>1275</v>
      </c>
      <c r="C99" s="1">
        <v>45531</v>
      </c>
      <c r="D99" s="2">
        <v>0.44930555555555557</v>
      </c>
      <c r="E99" t="s">
        <v>2</v>
      </c>
      <c r="F99" t="s">
        <v>3</v>
      </c>
      <c r="G99" s="3">
        <v>30</v>
      </c>
      <c r="H99" s="3">
        <v>4.49</v>
      </c>
    </row>
    <row r="100" spans="1:8" x14ac:dyDescent="0.35">
      <c r="A100" t="s">
        <v>246</v>
      </c>
      <c r="B100" t="s">
        <v>1276</v>
      </c>
      <c r="C100" s="1">
        <v>45531</v>
      </c>
      <c r="D100" s="2">
        <v>0.76458333333333339</v>
      </c>
      <c r="E100" t="s">
        <v>2</v>
      </c>
      <c r="F100" t="s">
        <v>3</v>
      </c>
      <c r="G100" s="3">
        <v>18.41</v>
      </c>
      <c r="H100" s="3">
        <v>2.76</v>
      </c>
    </row>
    <row r="101" spans="1:8" x14ac:dyDescent="0.35">
      <c r="A101" t="s">
        <v>246</v>
      </c>
      <c r="B101" t="s">
        <v>1277</v>
      </c>
      <c r="C101" s="1">
        <v>45534</v>
      </c>
      <c r="D101" s="2">
        <v>0.11805555555555557</v>
      </c>
      <c r="E101" t="s">
        <v>2</v>
      </c>
      <c r="F101" t="s">
        <v>3</v>
      </c>
      <c r="G101" s="3">
        <v>28.14</v>
      </c>
      <c r="H101" s="3">
        <v>4.21</v>
      </c>
    </row>
    <row r="102" spans="1:8" ht="15" thickBot="1" x14ac:dyDescent="0.4">
      <c r="A102" s="4" t="s">
        <v>246</v>
      </c>
      <c r="B102" s="4" t="s">
        <v>1278</v>
      </c>
      <c r="C102" s="6">
        <v>45535</v>
      </c>
      <c r="D102" s="7">
        <v>0.74930555555555556</v>
      </c>
      <c r="E102" s="4" t="s">
        <v>2</v>
      </c>
      <c r="F102" s="4" t="s">
        <v>3</v>
      </c>
      <c r="G102" s="5">
        <v>17.71</v>
      </c>
      <c r="H102" s="5">
        <v>2.65</v>
      </c>
    </row>
    <row r="103" spans="1:8" x14ac:dyDescent="0.35">
      <c r="A103" s="26" t="s">
        <v>2229</v>
      </c>
      <c r="G103" s="3">
        <f t="shared" ref="G103:H103" si="2">SUM(G81:G102)</f>
        <v>425.57</v>
      </c>
      <c r="H103" s="3">
        <f t="shared" si="2"/>
        <v>63.730000000000011</v>
      </c>
    </row>
    <row r="106" spans="1:8" ht="15.75" thickBot="1" x14ac:dyDescent="0.3"/>
    <row r="107" spans="1:8" ht="15.75" thickBot="1" x14ac:dyDescent="0.3">
      <c r="A107" s="11" t="s">
        <v>411</v>
      </c>
      <c r="B107" s="12" t="s">
        <v>163</v>
      </c>
      <c r="C107" s="12" t="s">
        <v>165</v>
      </c>
      <c r="D107" s="12" t="s">
        <v>166</v>
      </c>
      <c r="E107" s="12" t="s">
        <v>164</v>
      </c>
      <c r="F107" s="12" t="s">
        <v>167</v>
      </c>
      <c r="G107" s="12" t="s">
        <v>412</v>
      </c>
      <c r="H107" s="13" t="s">
        <v>169</v>
      </c>
    </row>
    <row r="108" spans="1:8" ht="15" x14ac:dyDescent="0.25">
      <c r="A108" t="s">
        <v>543</v>
      </c>
      <c r="B108" t="s">
        <v>1279</v>
      </c>
      <c r="C108" s="1">
        <v>45505</v>
      </c>
      <c r="D108" s="2">
        <v>1.9444444444444445E-2</v>
      </c>
      <c r="E108" t="s">
        <v>2</v>
      </c>
      <c r="F108" t="s">
        <v>3</v>
      </c>
      <c r="G108" s="3">
        <v>54.97</v>
      </c>
      <c r="H108" s="3">
        <v>8.23</v>
      </c>
    </row>
    <row r="109" spans="1:8" ht="15" x14ac:dyDescent="0.25">
      <c r="A109" t="s">
        <v>543</v>
      </c>
      <c r="B109" t="s">
        <v>1280</v>
      </c>
      <c r="C109" s="1">
        <v>45505</v>
      </c>
      <c r="D109" s="2">
        <v>5.6944444444444443E-2</v>
      </c>
      <c r="E109" t="s">
        <v>2</v>
      </c>
      <c r="F109" t="s">
        <v>3</v>
      </c>
      <c r="G109" s="3">
        <v>28.92</v>
      </c>
      <c r="H109" s="3">
        <v>4.33</v>
      </c>
    </row>
    <row r="110" spans="1:8" ht="15" x14ac:dyDescent="0.25">
      <c r="A110" t="s">
        <v>543</v>
      </c>
      <c r="B110" t="s">
        <v>1281</v>
      </c>
      <c r="C110" s="1">
        <v>45505</v>
      </c>
      <c r="D110" s="2">
        <v>0.97916666666666663</v>
      </c>
      <c r="E110" t="s">
        <v>2</v>
      </c>
      <c r="F110" t="s">
        <v>3</v>
      </c>
      <c r="G110" s="3">
        <v>30.4</v>
      </c>
      <c r="H110" s="3">
        <v>4.55</v>
      </c>
    </row>
    <row r="111" spans="1:8" ht="15" x14ac:dyDescent="0.25">
      <c r="A111" t="s">
        <v>543</v>
      </c>
      <c r="B111" t="s">
        <v>1282</v>
      </c>
      <c r="C111" s="1">
        <v>45506</v>
      </c>
      <c r="D111" s="2">
        <v>2.9166666666666664E-2</v>
      </c>
      <c r="E111" t="s">
        <v>2</v>
      </c>
      <c r="F111" t="s">
        <v>3</v>
      </c>
      <c r="G111" s="3">
        <v>47.94</v>
      </c>
      <c r="H111" s="3">
        <v>7.18</v>
      </c>
    </row>
    <row r="112" spans="1:8" ht="15" x14ac:dyDescent="0.25">
      <c r="A112" t="s">
        <v>543</v>
      </c>
      <c r="B112" t="s">
        <v>1283</v>
      </c>
      <c r="C112" s="1">
        <v>45506</v>
      </c>
      <c r="D112" s="2">
        <v>0.16944444444444443</v>
      </c>
      <c r="E112" t="s">
        <v>2</v>
      </c>
      <c r="F112" t="s">
        <v>3</v>
      </c>
      <c r="G112" s="3">
        <v>15.59</v>
      </c>
      <c r="H112" s="3">
        <v>2.33</v>
      </c>
    </row>
    <row r="113" spans="1:8" ht="15" x14ac:dyDescent="0.25">
      <c r="A113" t="s">
        <v>543</v>
      </c>
      <c r="B113" t="s">
        <v>1284</v>
      </c>
      <c r="C113" s="1">
        <v>45507</v>
      </c>
      <c r="D113" s="2">
        <v>8.9583333333333334E-2</v>
      </c>
      <c r="E113" t="s">
        <v>2</v>
      </c>
      <c r="F113" t="s">
        <v>3</v>
      </c>
      <c r="G113" s="3">
        <v>54.03</v>
      </c>
      <c r="H113" s="3">
        <v>8.09</v>
      </c>
    </row>
    <row r="114" spans="1:8" ht="15" x14ac:dyDescent="0.25">
      <c r="A114" t="s">
        <v>543</v>
      </c>
      <c r="B114" t="s">
        <v>1285</v>
      </c>
      <c r="C114" s="1">
        <v>45508</v>
      </c>
      <c r="D114" s="2">
        <v>6.25E-2</v>
      </c>
      <c r="E114" t="s">
        <v>2</v>
      </c>
      <c r="F114" t="s">
        <v>3</v>
      </c>
      <c r="G114" s="3">
        <v>34.39</v>
      </c>
      <c r="H114" s="3">
        <v>5.15</v>
      </c>
    </row>
    <row r="115" spans="1:8" ht="15" x14ac:dyDescent="0.25">
      <c r="A115" t="s">
        <v>543</v>
      </c>
      <c r="B115" t="s">
        <v>1286</v>
      </c>
      <c r="C115" s="1">
        <v>45508</v>
      </c>
      <c r="D115" s="2">
        <v>0.81111111111111101</v>
      </c>
      <c r="E115" t="s">
        <v>2</v>
      </c>
      <c r="F115" t="s">
        <v>3</v>
      </c>
      <c r="G115" s="3">
        <v>48.46</v>
      </c>
      <c r="H115" s="3">
        <v>7.26</v>
      </c>
    </row>
    <row r="116" spans="1:8" ht="15" x14ac:dyDescent="0.25">
      <c r="A116" t="s">
        <v>543</v>
      </c>
      <c r="B116" t="s">
        <v>1287</v>
      </c>
      <c r="C116" s="1">
        <v>45508</v>
      </c>
      <c r="D116" s="2">
        <v>0.97361111111111109</v>
      </c>
      <c r="E116" t="s">
        <v>2</v>
      </c>
      <c r="F116" t="s">
        <v>3</v>
      </c>
      <c r="G116" s="3">
        <v>37.68</v>
      </c>
      <c r="H116" s="3">
        <v>5.64</v>
      </c>
    </row>
    <row r="117" spans="1:8" ht="15" x14ac:dyDescent="0.25">
      <c r="A117" t="s">
        <v>543</v>
      </c>
      <c r="B117" t="s">
        <v>1288</v>
      </c>
      <c r="C117" s="1">
        <v>45511</v>
      </c>
      <c r="D117" s="2">
        <v>8.3333333333333332E-3</v>
      </c>
      <c r="E117" t="s">
        <v>2</v>
      </c>
      <c r="F117" t="s">
        <v>3</v>
      </c>
      <c r="G117" s="3">
        <v>23.59</v>
      </c>
      <c r="H117" s="3">
        <v>3.53</v>
      </c>
    </row>
    <row r="118" spans="1:8" ht="15" x14ac:dyDescent="0.25">
      <c r="A118" t="s">
        <v>543</v>
      </c>
      <c r="B118" t="s">
        <v>1289</v>
      </c>
      <c r="C118" s="1">
        <v>45511</v>
      </c>
      <c r="D118" s="2">
        <v>0.88611111111111107</v>
      </c>
      <c r="E118" t="s">
        <v>2</v>
      </c>
      <c r="F118" t="s">
        <v>3</v>
      </c>
      <c r="G118" s="3">
        <v>11.04</v>
      </c>
      <c r="H118" s="3">
        <v>1.65</v>
      </c>
    </row>
    <row r="119" spans="1:8" ht="15" x14ac:dyDescent="0.25">
      <c r="A119" t="s">
        <v>543</v>
      </c>
      <c r="B119" t="s">
        <v>1290</v>
      </c>
      <c r="C119" s="1">
        <v>45512</v>
      </c>
      <c r="D119" s="2">
        <v>0.79583333333333339</v>
      </c>
      <c r="E119" t="s">
        <v>2</v>
      </c>
      <c r="F119" t="s">
        <v>3</v>
      </c>
      <c r="G119" s="3">
        <v>31.18</v>
      </c>
      <c r="H119" s="3">
        <v>4.67</v>
      </c>
    </row>
    <row r="120" spans="1:8" ht="15" x14ac:dyDescent="0.25">
      <c r="A120" t="s">
        <v>543</v>
      </c>
      <c r="B120" t="s">
        <v>1291</v>
      </c>
      <c r="C120" s="1">
        <v>45512</v>
      </c>
      <c r="D120" s="2">
        <v>0.85486111111111107</v>
      </c>
      <c r="E120" t="s">
        <v>2</v>
      </c>
      <c r="F120" t="s">
        <v>3</v>
      </c>
      <c r="G120" s="3">
        <v>30.08</v>
      </c>
      <c r="H120" s="3">
        <v>4.5</v>
      </c>
    </row>
    <row r="121" spans="1:8" ht="15" x14ac:dyDescent="0.25">
      <c r="A121" t="s">
        <v>543</v>
      </c>
      <c r="B121" t="s">
        <v>1292</v>
      </c>
      <c r="C121" s="1">
        <v>45513</v>
      </c>
      <c r="D121" s="2">
        <v>0.23194444444444443</v>
      </c>
      <c r="E121" t="s">
        <v>2</v>
      </c>
      <c r="F121" t="s">
        <v>3</v>
      </c>
      <c r="G121" s="3">
        <v>67.88</v>
      </c>
      <c r="H121" s="3">
        <v>10.17</v>
      </c>
    </row>
    <row r="122" spans="1:8" ht="15" x14ac:dyDescent="0.25">
      <c r="A122" t="s">
        <v>543</v>
      </c>
      <c r="B122" t="s">
        <v>1293</v>
      </c>
      <c r="C122" s="1">
        <v>45514</v>
      </c>
      <c r="D122" s="2">
        <v>0.10972222222222222</v>
      </c>
      <c r="E122" t="s">
        <v>2</v>
      </c>
      <c r="F122" t="s">
        <v>3</v>
      </c>
      <c r="G122" s="3">
        <v>24.85</v>
      </c>
      <c r="H122" s="3">
        <v>3.72</v>
      </c>
    </row>
    <row r="123" spans="1:8" ht="15" x14ac:dyDescent="0.25">
      <c r="A123" t="s">
        <v>543</v>
      </c>
      <c r="B123" t="s">
        <v>1294</v>
      </c>
      <c r="C123" s="1">
        <v>45514</v>
      </c>
      <c r="D123" s="2">
        <v>0.29097222222222224</v>
      </c>
      <c r="E123" t="s">
        <v>2</v>
      </c>
      <c r="F123" t="s">
        <v>3</v>
      </c>
      <c r="G123" s="3">
        <v>43.54</v>
      </c>
      <c r="H123" s="3">
        <v>6.52</v>
      </c>
    </row>
    <row r="124" spans="1:8" ht="15" x14ac:dyDescent="0.25">
      <c r="A124" t="s">
        <v>543</v>
      </c>
      <c r="B124" t="s">
        <v>1295</v>
      </c>
      <c r="C124" s="1">
        <v>45514</v>
      </c>
      <c r="D124" s="2">
        <v>0.89166666666666661</v>
      </c>
      <c r="E124" t="s">
        <v>2</v>
      </c>
      <c r="F124" t="s">
        <v>3</v>
      </c>
      <c r="G124" s="3">
        <v>24.26</v>
      </c>
      <c r="H124" s="3">
        <v>3.63</v>
      </c>
    </row>
    <row r="125" spans="1:8" ht="15" x14ac:dyDescent="0.25">
      <c r="A125" t="s">
        <v>543</v>
      </c>
      <c r="B125" t="s">
        <v>1296</v>
      </c>
      <c r="C125" s="1">
        <v>45516</v>
      </c>
      <c r="D125" s="2">
        <v>3.0555555555555555E-2</v>
      </c>
      <c r="E125" t="s">
        <v>2</v>
      </c>
      <c r="F125" t="s">
        <v>60</v>
      </c>
      <c r="G125" s="3">
        <v>38.32</v>
      </c>
      <c r="H125" s="3">
        <v>5.74</v>
      </c>
    </row>
    <row r="126" spans="1:8" ht="15" x14ac:dyDescent="0.25">
      <c r="A126" t="s">
        <v>543</v>
      </c>
      <c r="B126" t="s">
        <v>1297</v>
      </c>
      <c r="C126" s="1">
        <v>45516</v>
      </c>
      <c r="D126" s="2">
        <v>0.30624999999999997</v>
      </c>
      <c r="E126" t="s">
        <v>2</v>
      </c>
      <c r="F126" t="s">
        <v>3</v>
      </c>
      <c r="G126" s="3">
        <v>40.630000000000003</v>
      </c>
      <c r="H126" s="3">
        <v>6.08</v>
      </c>
    </row>
    <row r="127" spans="1:8" ht="15" x14ac:dyDescent="0.25">
      <c r="A127" t="s">
        <v>543</v>
      </c>
      <c r="B127" t="s">
        <v>1298</v>
      </c>
      <c r="C127" s="1">
        <v>45516</v>
      </c>
      <c r="D127" s="2">
        <v>0.40833333333333338</v>
      </c>
      <c r="E127" t="s">
        <v>2</v>
      </c>
      <c r="F127" t="s">
        <v>3</v>
      </c>
      <c r="G127" s="3">
        <v>18.57</v>
      </c>
      <c r="H127" s="3">
        <v>2.78</v>
      </c>
    </row>
    <row r="128" spans="1:8" ht="15" x14ac:dyDescent="0.25">
      <c r="A128" t="s">
        <v>543</v>
      </c>
      <c r="B128" t="s">
        <v>1299</v>
      </c>
      <c r="C128" s="1">
        <v>45517</v>
      </c>
      <c r="D128" s="2">
        <v>0.18680555555555556</v>
      </c>
      <c r="E128" t="s">
        <v>2</v>
      </c>
      <c r="F128" t="s">
        <v>3</v>
      </c>
      <c r="G128" s="3">
        <v>16.760000000000002</v>
      </c>
      <c r="H128" s="3">
        <v>2.5099999999999998</v>
      </c>
    </row>
    <row r="129" spans="1:8" ht="15" x14ac:dyDescent="0.25">
      <c r="A129" t="s">
        <v>543</v>
      </c>
      <c r="B129" t="s">
        <v>1300</v>
      </c>
      <c r="C129" s="1">
        <v>45517</v>
      </c>
      <c r="D129" s="2">
        <v>0.90416666666666667</v>
      </c>
      <c r="E129" t="s">
        <v>2</v>
      </c>
      <c r="F129" t="s">
        <v>3</v>
      </c>
      <c r="G129" s="3">
        <v>33.520000000000003</v>
      </c>
      <c r="H129" s="3">
        <v>5.0199999999999996</v>
      </c>
    </row>
    <row r="130" spans="1:8" ht="15" x14ac:dyDescent="0.25">
      <c r="A130" t="s">
        <v>543</v>
      </c>
      <c r="B130" t="s">
        <v>1301</v>
      </c>
      <c r="C130" s="1">
        <v>45517</v>
      </c>
      <c r="D130" s="2">
        <v>0.99861111111111101</v>
      </c>
      <c r="E130" t="s">
        <v>2</v>
      </c>
      <c r="F130" t="s">
        <v>3</v>
      </c>
      <c r="G130" s="3">
        <v>13.08</v>
      </c>
      <c r="H130" s="3">
        <v>1.96</v>
      </c>
    </row>
    <row r="131" spans="1:8" ht="15" x14ac:dyDescent="0.25">
      <c r="A131" t="s">
        <v>543</v>
      </c>
      <c r="B131" t="s">
        <v>1302</v>
      </c>
      <c r="C131" s="1">
        <v>45518</v>
      </c>
      <c r="D131" s="2">
        <v>0.89374999999999993</v>
      </c>
      <c r="E131" t="s">
        <v>2</v>
      </c>
      <c r="F131" t="s">
        <v>3</v>
      </c>
      <c r="G131" s="3">
        <v>26.95</v>
      </c>
      <c r="H131" s="3">
        <v>4.04</v>
      </c>
    </row>
    <row r="132" spans="1:8" ht="15" x14ac:dyDescent="0.25">
      <c r="A132" t="s">
        <v>543</v>
      </c>
      <c r="B132" t="s">
        <v>1303</v>
      </c>
      <c r="C132" s="1">
        <v>45519</v>
      </c>
      <c r="D132" s="2">
        <v>4.7222222222222221E-2</v>
      </c>
      <c r="E132" t="s">
        <v>2</v>
      </c>
      <c r="F132" t="s">
        <v>3</v>
      </c>
      <c r="G132" s="3">
        <v>11.04</v>
      </c>
      <c r="H132" s="3">
        <v>1.65</v>
      </c>
    </row>
    <row r="133" spans="1:8" ht="15" x14ac:dyDescent="0.25">
      <c r="A133" t="s">
        <v>543</v>
      </c>
      <c r="B133" t="s">
        <v>1304</v>
      </c>
      <c r="C133" s="1">
        <v>45519</v>
      </c>
      <c r="D133" s="2">
        <v>0.1673611111111111</v>
      </c>
      <c r="E133" t="s">
        <v>2</v>
      </c>
      <c r="F133" t="s">
        <v>3</v>
      </c>
      <c r="G133" s="3">
        <v>27.51</v>
      </c>
      <c r="H133" s="3">
        <v>4.12</v>
      </c>
    </row>
    <row r="134" spans="1:8" ht="15" x14ac:dyDescent="0.25">
      <c r="A134" t="s">
        <v>543</v>
      </c>
      <c r="B134" t="s">
        <v>1305</v>
      </c>
      <c r="C134" s="1">
        <v>45520</v>
      </c>
      <c r="D134" s="2">
        <v>0.96597222222222223</v>
      </c>
      <c r="E134" t="s">
        <v>2</v>
      </c>
      <c r="F134" t="s">
        <v>3</v>
      </c>
      <c r="G134" s="3">
        <v>25.3</v>
      </c>
      <c r="H134" s="3">
        <v>3.79</v>
      </c>
    </row>
    <row r="135" spans="1:8" ht="15" x14ac:dyDescent="0.25">
      <c r="A135" t="s">
        <v>543</v>
      </c>
      <c r="B135" t="s">
        <v>1306</v>
      </c>
      <c r="C135" s="1">
        <v>45521</v>
      </c>
      <c r="D135" s="2">
        <v>4.1666666666666664E-2</v>
      </c>
      <c r="E135" t="s">
        <v>2</v>
      </c>
      <c r="F135" t="s">
        <v>3</v>
      </c>
      <c r="G135" s="3">
        <v>31.36</v>
      </c>
      <c r="H135" s="3">
        <v>4.7</v>
      </c>
    </row>
    <row r="136" spans="1:8" ht="15" x14ac:dyDescent="0.25">
      <c r="A136" t="s">
        <v>543</v>
      </c>
      <c r="B136" t="s">
        <v>1307</v>
      </c>
      <c r="C136" s="1">
        <v>45522</v>
      </c>
      <c r="D136" s="2">
        <v>0.36249999999999999</v>
      </c>
      <c r="E136" t="s">
        <v>2</v>
      </c>
      <c r="F136" t="s">
        <v>3</v>
      </c>
      <c r="G136" s="3">
        <v>30.74</v>
      </c>
      <c r="H136" s="3">
        <v>4.5999999999999996</v>
      </c>
    </row>
    <row r="137" spans="1:8" ht="15" x14ac:dyDescent="0.25">
      <c r="A137" t="s">
        <v>543</v>
      </c>
      <c r="B137" t="s">
        <v>1308</v>
      </c>
      <c r="C137" s="1">
        <v>45522</v>
      </c>
      <c r="D137" s="2">
        <v>0.75347222222222221</v>
      </c>
      <c r="E137" t="s">
        <v>2</v>
      </c>
      <c r="F137" t="s">
        <v>3</v>
      </c>
      <c r="G137" s="3">
        <v>23.12</v>
      </c>
      <c r="H137" s="3">
        <v>3.46</v>
      </c>
    </row>
    <row r="138" spans="1:8" ht="15" x14ac:dyDescent="0.25">
      <c r="A138" t="s">
        <v>543</v>
      </c>
      <c r="B138" t="s">
        <v>1309</v>
      </c>
      <c r="C138" s="1">
        <v>45522</v>
      </c>
      <c r="D138" s="2">
        <v>0.8881944444444444</v>
      </c>
      <c r="E138" t="s">
        <v>2</v>
      </c>
      <c r="F138" t="s">
        <v>3</v>
      </c>
      <c r="G138" s="3">
        <v>37.380000000000003</v>
      </c>
      <c r="H138" s="3">
        <v>5.6</v>
      </c>
    </row>
    <row r="139" spans="1:8" ht="15" x14ac:dyDescent="0.25">
      <c r="A139" t="s">
        <v>543</v>
      </c>
      <c r="B139" t="s">
        <v>1310</v>
      </c>
      <c r="C139" s="1">
        <v>45522</v>
      </c>
      <c r="D139" s="2">
        <v>0.96388888888888891</v>
      </c>
      <c r="E139" t="s">
        <v>2</v>
      </c>
      <c r="F139" t="s">
        <v>3</v>
      </c>
      <c r="G139" s="3">
        <v>16.239999999999998</v>
      </c>
      <c r="H139" s="3">
        <v>2.4300000000000002</v>
      </c>
    </row>
    <row r="140" spans="1:8" ht="15" x14ac:dyDescent="0.25">
      <c r="A140" t="s">
        <v>543</v>
      </c>
      <c r="B140" t="s">
        <v>1311</v>
      </c>
      <c r="C140" s="1">
        <v>45523</v>
      </c>
      <c r="D140" s="2">
        <v>0.71805555555555556</v>
      </c>
      <c r="E140" t="s">
        <v>2</v>
      </c>
      <c r="F140" t="s">
        <v>3</v>
      </c>
      <c r="G140" s="3">
        <v>30.23</v>
      </c>
      <c r="H140" s="3">
        <v>4.53</v>
      </c>
    </row>
    <row r="141" spans="1:8" ht="15" x14ac:dyDescent="0.25">
      <c r="A141" t="s">
        <v>543</v>
      </c>
      <c r="B141" t="s">
        <v>1312</v>
      </c>
      <c r="C141" s="1">
        <v>45523</v>
      </c>
      <c r="D141" s="2">
        <v>0.95208333333333339</v>
      </c>
      <c r="E141" t="s">
        <v>2</v>
      </c>
      <c r="F141" t="s">
        <v>3</v>
      </c>
      <c r="G141" s="3">
        <v>40.61</v>
      </c>
      <c r="H141" s="3">
        <v>6.08</v>
      </c>
    </row>
    <row r="142" spans="1:8" ht="15" x14ac:dyDescent="0.25">
      <c r="A142" t="s">
        <v>543</v>
      </c>
      <c r="B142" t="s">
        <v>1313</v>
      </c>
      <c r="C142" s="1">
        <v>45524</v>
      </c>
      <c r="D142" s="2">
        <v>9.7222222222222224E-3</v>
      </c>
      <c r="E142" t="s">
        <v>2</v>
      </c>
      <c r="F142" t="s">
        <v>3</v>
      </c>
      <c r="G142" s="3">
        <v>16.760000000000002</v>
      </c>
      <c r="H142" s="3">
        <v>2.5099999999999998</v>
      </c>
    </row>
    <row r="143" spans="1:8" ht="15" x14ac:dyDescent="0.25">
      <c r="A143" t="s">
        <v>543</v>
      </c>
      <c r="B143" t="s">
        <v>1314</v>
      </c>
      <c r="C143" s="1">
        <v>45524</v>
      </c>
      <c r="D143" s="2">
        <v>4.6527777777777779E-2</v>
      </c>
      <c r="E143" t="s">
        <v>2</v>
      </c>
      <c r="F143" t="s">
        <v>3</v>
      </c>
      <c r="G143" s="3">
        <v>17.39</v>
      </c>
      <c r="H143" s="3">
        <v>2.6</v>
      </c>
    </row>
    <row r="144" spans="1:8" ht="15" x14ac:dyDescent="0.25">
      <c r="A144" t="s">
        <v>543</v>
      </c>
      <c r="B144" t="s">
        <v>1315</v>
      </c>
      <c r="C144" s="1">
        <v>45524</v>
      </c>
      <c r="D144" s="2">
        <v>0.45347222222222222</v>
      </c>
      <c r="E144" t="s">
        <v>2</v>
      </c>
      <c r="F144" t="s">
        <v>3</v>
      </c>
      <c r="G144" s="3">
        <v>16.579999999999998</v>
      </c>
      <c r="H144" s="3">
        <v>2.48</v>
      </c>
    </row>
    <row r="145" spans="1:8" ht="15" x14ac:dyDescent="0.25">
      <c r="A145" t="s">
        <v>543</v>
      </c>
      <c r="B145" t="s">
        <v>1316</v>
      </c>
      <c r="C145" s="1">
        <v>45525</v>
      </c>
      <c r="D145" s="2">
        <v>7.6388888888888886E-3</v>
      </c>
      <c r="E145" t="s">
        <v>2</v>
      </c>
      <c r="F145" t="s">
        <v>3</v>
      </c>
      <c r="G145" s="3">
        <v>25.98</v>
      </c>
      <c r="H145" s="3">
        <v>3.89</v>
      </c>
    </row>
    <row r="146" spans="1:8" ht="15" x14ac:dyDescent="0.25">
      <c r="A146" t="s">
        <v>543</v>
      </c>
      <c r="B146" t="s">
        <v>1317</v>
      </c>
      <c r="C146" s="1">
        <v>45525</v>
      </c>
      <c r="D146" s="2">
        <v>5.5555555555555558E-3</v>
      </c>
      <c r="E146" t="s">
        <v>2</v>
      </c>
      <c r="F146" t="s">
        <v>3</v>
      </c>
      <c r="G146" s="3">
        <v>20.100000000000001</v>
      </c>
      <c r="H146" s="3">
        <v>3.01</v>
      </c>
    </row>
    <row r="147" spans="1:8" ht="15" x14ac:dyDescent="0.25">
      <c r="A147" t="s">
        <v>543</v>
      </c>
      <c r="B147" t="s">
        <v>1318</v>
      </c>
      <c r="C147" s="1">
        <v>45526</v>
      </c>
      <c r="D147" s="2">
        <v>0.23472222222222219</v>
      </c>
      <c r="E147" t="s">
        <v>2</v>
      </c>
      <c r="F147" t="s">
        <v>3</v>
      </c>
      <c r="G147" s="3">
        <v>42.37</v>
      </c>
      <c r="H147" s="3">
        <v>6.34</v>
      </c>
    </row>
    <row r="148" spans="1:8" ht="15" x14ac:dyDescent="0.25">
      <c r="A148" t="s">
        <v>543</v>
      </c>
      <c r="B148" t="s">
        <v>1319</v>
      </c>
      <c r="C148" s="1">
        <v>45526</v>
      </c>
      <c r="D148" s="2">
        <v>0.68125000000000002</v>
      </c>
      <c r="E148" t="s">
        <v>2</v>
      </c>
      <c r="F148" t="s">
        <v>3</v>
      </c>
      <c r="G148" s="3">
        <v>16.760000000000002</v>
      </c>
      <c r="H148" s="3">
        <v>2.5099999999999998</v>
      </c>
    </row>
    <row r="149" spans="1:8" ht="15" x14ac:dyDescent="0.25">
      <c r="A149" t="s">
        <v>543</v>
      </c>
      <c r="B149" t="s">
        <v>1320</v>
      </c>
      <c r="C149" s="1">
        <v>45526</v>
      </c>
      <c r="D149" s="2">
        <v>0.82500000000000007</v>
      </c>
      <c r="E149" t="s">
        <v>2</v>
      </c>
      <c r="F149" t="s">
        <v>3</v>
      </c>
      <c r="G149" s="3">
        <v>16.760000000000002</v>
      </c>
      <c r="H149" s="3">
        <v>2.5099999999999998</v>
      </c>
    </row>
    <row r="150" spans="1:8" ht="15" x14ac:dyDescent="0.25">
      <c r="A150" t="s">
        <v>543</v>
      </c>
      <c r="B150" t="s">
        <v>1321</v>
      </c>
      <c r="C150" s="1">
        <v>45529</v>
      </c>
      <c r="D150" s="2">
        <v>0.16666666666666666</v>
      </c>
      <c r="E150" t="s">
        <v>2</v>
      </c>
      <c r="F150" t="s">
        <v>3</v>
      </c>
      <c r="G150" s="3">
        <v>28.58</v>
      </c>
      <c r="H150" s="3">
        <v>4.28</v>
      </c>
    </row>
    <row r="151" spans="1:8" ht="15" x14ac:dyDescent="0.25">
      <c r="A151" t="s">
        <v>543</v>
      </c>
      <c r="B151" t="s">
        <v>1322</v>
      </c>
      <c r="C151" s="1">
        <v>45529</v>
      </c>
      <c r="D151" s="2">
        <v>0.95833333333333337</v>
      </c>
      <c r="E151" t="s">
        <v>180</v>
      </c>
      <c r="F151" t="s">
        <v>3</v>
      </c>
      <c r="G151" s="3">
        <v>50.93</v>
      </c>
      <c r="H151" s="3">
        <v>7.63</v>
      </c>
    </row>
    <row r="152" spans="1:8" ht="15" x14ac:dyDescent="0.25">
      <c r="A152" t="s">
        <v>543</v>
      </c>
      <c r="B152" t="s">
        <v>1323</v>
      </c>
      <c r="C152" s="1">
        <v>45530</v>
      </c>
      <c r="D152" s="2">
        <v>0.14027777777777778</v>
      </c>
      <c r="E152" t="s">
        <v>2</v>
      </c>
      <c r="F152" t="s">
        <v>3</v>
      </c>
      <c r="G152" s="3">
        <v>20.59</v>
      </c>
      <c r="H152" s="3">
        <v>3.08</v>
      </c>
    </row>
    <row r="153" spans="1:8" ht="15" x14ac:dyDescent="0.25">
      <c r="A153" t="s">
        <v>543</v>
      </c>
      <c r="B153" t="s">
        <v>1324</v>
      </c>
      <c r="C153" s="1">
        <v>45530</v>
      </c>
      <c r="D153" s="2">
        <v>0.78125</v>
      </c>
      <c r="E153" t="s">
        <v>2</v>
      </c>
      <c r="F153" t="s">
        <v>3</v>
      </c>
      <c r="G153" s="3">
        <v>58.07</v>
      </c>
      <c r="H153" s="3">
        <v>8.6999999999999993</v>
      </c>
    </row>
    <row r="154" spans="1:8" ht="15" x14ac:dyDescent="0.25">
      <c r="A154" t="s">
        <v>543</v>
      </c>
      <c r="B154" t="s">
        <v>1325</v>
      </c>
      <c r="C154" s="1">
        <v>45530</v>
      </c>
      <c r="D154" s="2">
        <v>0.82361111111111107</v>
      </c>
      <c r="E154" t="s">
        <v>2</v>
      </c>
      <c r="F154" t="s">
        <v>3</v>
      </c>
      <c r="G154" s="3">
        <v>43.88</v>
      </c>
      <c r="H154" s="3">
        <v>6.57</v>
      </c>
    </row>
    <row r="155" spans="1:8" ht="15" x14ac:dyDescent="0.25">
      <c r="A155" t="s">
        <v>543</v>
      </c>
      <c r="B155" t="s">
        <v>1326</v>
      </c>
      <c r="C155" s="1">
        <v>45532</v>
      </c>
      <c r="D155" s="2">
        <v>0.40069444444444446</v>
      </c>
      <c r="E155" t="s">
        <v>2</v>
      </c>
      <c r="F155" t="s">
        <v>3</v>
      </c>
      <c r="G155" s="3">
        <v>18.27</v>
      </c>
      <c r="H155" s="3">
        <v>2.74</v>
      </c>
    </row>
    <row r="156" spans="1:8" ht="15" x14ac:dyDescent="0.25">
      <c r="A156" t="s">
        <v>543</v>
      </c>
      <c r="B156" t="s">
        <v>1327</v>
      </c>
      <c r="C156" s="1">
        <v>45532</v>
      </c>
      <c r="D156" s="2">
        <v>0.65763888888888888</v>
      </c>
      <c r="E156" t="s">
        <v>2</v>
      </c>
      <c r="F156" t="s">
        <v>3</v>
      </c>
      <c r="G156" s="3">
        <v>46.76</v>
      </c>
      <c r="H156" s="3">
        <v>7</v>
      </c>
    </row>
    <row r="157" spans="1:8" ht="15" x14ac:dyDescent="0.25">
      <c r="A157" t="s">
        <v>543</v>
      </c>
      <c r="B157" t="s">
        <v>1328</v>
      </c>
      <c r="C157" s="1">
        <v>45533</v>
      </c>
      <c r="D157" s="2">
        <v>0.20069444444444443</v>
      </c>
      <c r="E157" t="s">
        <v>2</v>
      </c>
      <c r="F157" t="s">
        <v>3</v>
      </c>
      <c r="G157" s="3">
        <v>14.29</v>
      </c>
      <c r="H157" s="3">
        <v>2.14</v>
      </c>
    </row>
    <row r="158" spans="1:8" ht="15" x14ac:dyDescent="0.25">
      <c r="A158" t="s">
        <v>543</v>
      </c>
      <c r="B158" t="s">
        <v>1329</v>
      </c>
      <c r="C158" s="1">
        <v>45533</v>
      </c>
      <c r="D158" s="2">
        <v>0.97291666666666676</v>
      </c>
      <c r="E158" t="s">
        <v>2</v>
      </c>
      <c r="F158" t="s">
        <v>3</v>
      </c>
      <c r="G158" s="3">
        <v>20.79</v>
      </c>
      <c r="H158" s="3">
        <v>3.11</v>
      </c>
    </row>
    <row r="159" spans="1:8" ht="15" x14ac:dyDescent="0.25">
      <c r="A159" t="s">
        <v>543</v>
      </c>
      <c r="B159" t="s">
        <v>1330</v>
      </c>
      <c r="C159" s="1">
        <v>45534</v>
      </c>
      <c r="D159" s="2">
        <v>0.15694444444444444</v>
      </c>
      <c r="E159" t="s">
        <v>2</v>
      </c>
      <c r="F159" t="s">
        <v>3</v>
      </c>
      <c r="G159" s="3">
        <v>15.59</v>
      </c>
      <c r="H159" s="3">
        <v>2.33</v>
      </c>
    </row>
    <row r="160" spans="1:8" x14ac:dyDescent="0.35">
      <c r="A160" t="s">
        <v>543</v>
      </c>
      <c r="B160" t="s">
        <v>1331</v>
      </c>
      <c r="C160" s="1">
        <v>45534</v>
      </c>
      <c r="D160" s="2">
        <v>0.75624999999999998</v>
      </c>
      <c r="E160" t="s">
        <v>2</v>
      </c>
      <c r="F160" t="s">
        <v>3</v>
      </c>
      <c r="G160" s="3">
        <v>20.99</v>
      </c>
      <c r="H160" s="3">
        <v>3.14</v>
      </c>
    </row>
    <row r="161" spans="1:8" ht="15" thickBot="1" x14ac:dyDescent="0.4">
      <c r="A161" s="4" t="s">
        <v>543</v>
      </c>
      <c r="B161" s="4" t="s">
        <v>1332</v>
      </c>
      <c r="C161" s="6">
        <v>45534</v>
      </c>
      <c r="D161" s="7">
        <v>0.9194444444444444</v>
      </c>
      <c r="E161" s="4" t="s">
        <v>2</v>
      </c>
      <c r="F161" s="4" t="s">
        <v>3</v>
      </c>
      <c r="G161" s="5">
        <v>29.75</v>
      </c>
      <c r="H161" s="5">
        <v>4.46</v>
      </c>
    </row>
    <row r="162" spans="1:8" x14ac:dyDescent="0.35">
      <c r="A162" t="s">
        <v>2229</v>
      </c>
      <c r="G162" s="3">
        <f t="shared" ref="G162:H162" si="3">SUM(G108:G161)</f>
        <v>1611.3499999999995</v>
      </c>
      <c r="H162" s="3">
        <f t="shared" si="3"/>
        <v>241.26999999999992</v>
      </c>
    </row>
    <row r="165" spans="1:8" ht="15.75" thickBot="1" x14ac:dyDescent="0.3"/>
    <row r="166" spans="1:8" ht="15.75" thickBot="1" x14ac:dyDescent="0.3">
      <c r="A166" s="11" t="s">
        <v>411</v>
      </c>
      <c r="B166" s="12" t="s">
        <v>163</v>
      </c>
      <c r="C166" s="12" t="s">
        <v>165</v>
      </c>
      <c r="D166" s="12" t="s">
        <v>166</v>
      </c>
      <c r="E166" s="12" t="s">
        <v>164</v>
      </c>
      <c r="F166" s="12" t="s">
        <v>167</v>
      </c>
      <c r="G166" s="12" t="s">
        <v>412</v>
      </c>
      <c r="H166" s="13" t="s">
        <v>169</v>
      </c>
    </row>
    <row r="167" spans="1:8" x14ac:dyDescent="0.35">
      <c r="A167" t="s">
        <v>40</v>
      </c>
      <c r="B167" t="s">
        <v>1333</v>
      </c>
      <c r="C167" s="1">
        <v>45505</v>
      </c>
      <c r="D167" s="2">
        <v>0.21805555555555556</v>
      </c>
      <c r="E167" t="s">
        <v>2</v>
      </c>
      <c r="F167" t="s">
        <v>3</v>
      </c>
      <c r="G167" s="3">
        <v>12.06</v>
      </c>
      <c r="H167" s="3">
        <v>1.81</v>
      </c>
    </row>
    <row r="168" spans="1:8" x14ac:dyDescent="0.35">
      <c r="A168" t="s">
        <v>40</v>
      </c>
      <c r="B168" t="s">
        <v>1334</v>
      </c>
      <c r="C168" s="1">
        <v>45505</v>
      </c>
      <c r="D168" s="2">
        <v>0.21041666666666667</v>
      </c>
      <c r="E168" t="s">
        <v>2</v>
      </c>
      <c r="F168" t="s">
        <v>3</v>
      </c>
      <c r="G168" s="3">
        <v>24.4</v>
      </c>
      <c r="H168" s="3">
        <v>3.65</v>
      </c>
    </row>
    <row r="169" spans="1:8" x14ac:dyDescent="0.35">
      <c r="A169" t="s">
        <v>40</v>
      </c>
      <c r="B169" t="s">
        <v>1335</v>
      </c>
      <c r="C169" s="1">
        <v>45505</v>
      </c>
      <c r="D169" s="2">
        <v>0.25138888888888888</v>
      </c>
      <c r="E169" t="s">
        <v>2</v>
      </c>
      <c r="F169" t="s">
        <v>3</v>
      </c>
      <c r="G169" s="3">
        <v>30.88</v>
      </c>
      <c r="H169" s="3">
        <v>4.62</v>
      </c>
    </row>
    <row r="170" spans="1:8" x14ac:dyDescent="0.35">
      <c r="A170" t="s">
        <v>40</v>
      </c>
      <c r="B170" t="s">
        <v>1336</v>
      </c>
      <c r="C170" s="1">
        <v>45505</v>
      </c>
      <c r="D170" s="2">
        <v>0.6972222222222223</v>
      </c>
      <c r="E170" t="s">
        <v>2</v>
      </c>
      <c r="F170" t="s">
        <v>3</v>
      </c>
      <c r="G170" s="3">
        <v>23.38</v>
      </c>
      <c r="H170" s="3">
        <v>3.5</v>
      </c>
    </row>
    <row r="171" spans="1:8" x14ac:dyDescent="0.35">
      <c r="A171" t="s">
        <v>40</v>
      </c>
      <c r="B171" t="s">
        <v>1337</v>
      </c>
      <c r="C171" s="1">
        <v>45506</v>
      </c>
      <c r="D171" s="2">
        <v>0.69444444444444453</v>
      </c>
      <c r="E171" t="s">
        <v>2</v>
      </c>
      <c r="F171" t="s">
        <v>3</v>
      </c>
      <c r="G171" s="3">
        <v>22.13</v>
      </c>
      <c r="H171" s="3">
        <v>3.31</v>
      </c>
    </row>
    <row r="172" spans="1:8" x14ac:dyDescent="0.35">
      <c r="A172" t="s">
        <v>40</v>
      </c>
      <c r="B172" t="s">
        <v>1338</v>
      </c>
      <c r="C172" s="1">
        <v>45509</v>
      </c>
      <c r="D172" s="2">
        <v>0.94305555555555554</v>
      </c>
      <c r="E172" t="s">
        <v>2</v>
      </c>
      <c r="F172" t="s">
        <v>3</v>
      </c>
      <c r="G172" s="3">
        <v>17.88</v>
      </c>
      <c r="H172" s="3">
        <v>2.68</v>
      </c>
    </row>
    <row r="173" spans="1:8" x14ac:dyDescent="0.35">
      <c r="A173" t="s">
        <v>40</v>
      </c>
      <c r="B173" t="s">
        <v>1339</v>
      </c>
      <c r="C173" s="1">
        <v>45513</v>
      </c>
      <c r="D173" s="2">
        <v>0.99375000000000002</v>
      </c>
      <c r="E173" t="s">
        <v>2</v>
      </c>
      <c r="F173" t="s">
        <v>3</v>
      </c>
      <c r="G173" s="3">
        <v>69.260000000000005</v>
      </c>
      <c r="H173" s="3">
        <v>10.37</v>
      </c>
    </row>
    <row r="174" spans="1:8" x14ac:dyDescent="0.35">
      <c r="A174" t="s">
        <v>40</v>
      </c>
      <c r="B174" t="s">
        <v>1340</v>
      </c>
      <c r="C174" s="1">
        <v>45514</v>
      </c>
      <c r="D174" s="2">
        <v>0.98125000000000007</v>
      </c>
      <c r="E174" t="s">
        <v>2</v>
      </c>
      <c r="F174" t="s">
        <v>3</v>
      </c>
      <c r="G174" s="3">
        <v>18</v>
      </c>
      <c r="H174" s="3">
        <v>2.7</v>
      </c>
    </row>
    <row r="175" spans="1:8" x14ac:dyDescent="0.35">
      <c r="A175" t="s">
        <v>40</v>
      </c>
      <c r="B175" t="s">
        <v>1341</v>
      </c>
      <c r="C175" s="1">
        <v>45515</v>
      </c>
      <c r="D175" s="2">
        <v>0.10625</v>
      </c>
      <c r="E175" t="s">
        <v>2</v>
      </c>
      <c r="F175" t="s">
        <v>3</v>
      </c>
      <c r="G175" s="3">
        <v>22.15</v>
      </c>
      <c r="H175" s="3">
        <v>3.32</v>
      </c>
    </row>
    <row r="176" spans="1:8" x14ac:dyDescent="0.35">
      <c r="A176" t="s">
        <v>40</v>
      </c>
      <c r="B176" t="s">
        <v>1342</v>
      </c>
      <c r="C176" s="1">
        <v>45516</v>
      </c>
      <c r="D176" s="2">
        <v>0.97986111111111107</v>
      </c>
      <c r="E176" t="s">
        <v>2</v>
      </c>
      <c r="F176" t="s">
        <v>3</v>
      </c>
      <c r="G176" s="3">
        <v>15.64</v>
      </c>
      <c r="H176" s="3">
        <v>2.34</v>
      </c>
    </row>
    <row r="177" spans="1:8" x14ac:dyDescent="0.35">
      <c r="A177" t="s">
        <v>40</v>
      </c>
      <c r="B177" t="s">
        <v>1343</v>
      </c>
      <c r="C177" s="1">
        <v>45517</v>
      </c>
      <c r="D177" s="2">
        <v>9.5138888888888884E-2</v>
      </c>
      <c r="E177" t="s">
        <v>2</v>
      </c>
      <c r="F177" t="s">
        <v>3</v>
      </c>
      <c r="G177" s="3">
        <v>8.15</v>
      </c>
      <c r="H177" s="3">
        <v>1.22</v>
      </c>
    </row>
    <row r="178" spans="1:8" x14ac:dyDescent="0.35">
      <c r="A178" t="s">
        <v>40</v>
      </c>
      <c r="B178" t="s">
        <v>1344</v>
      </c>
      <c r="C178" s="1">
        <v>45517</v>
      </c>
      <c r="D178" s="2">
        <v>0.84722222222222221</v>
      </c>
      <c r="E178" t="s">
        <v>2</v>
      </c>
      <c r="F178" t="s">
        <v>3</v>
      </c>
      <c r="G178" s="3">
        <v>8.15</v>
      </c>
      <c r="H178" s="3">
        <v>1.22</v>
      </c>
    </row>
    <row r="179" spans="1:8" x14ac:dyDescent="0.35">
      <c r="A179" t="s">
        <v>40</v>
      </c>
      <c r="B179" t="s">
        <v>1345</v>
      </c>
      <c r="C179" s="1">
        <v>45519</v>
      </c>
      <c r="D179" s="2">
        <v>2.0833333333333333E-3</v>
      </c>
      <c r="E179" t="s">
        <v>2</v>
      </c>
      <c r="F179" t="s">
        <v>3</v>
      </c>
      <c r="G179" s="3">
        <v>18</v>
      </c>
      <c r="H179" s="3">
        <v>2.7</v>
      </c>
    </row>
    <row r="180" spans="1:8" x14ac:dyDescent="0.35">
      <c r="A180" t="s">
        <v>40</v>
      </c>
      <c r="B180" t="s">
        <v>1346</v>
      </c>
      <c r="C180" s="1">
        <v>45520</v>
      </c>
      <c r="D180" s="2">
        <v>0.15069444444444444</v>
      </c>
      <c r="E180" t="s">
        <v>2</v>
      </c>
      <c r="F180" t="s">
        <v>3</v>
      </c>
      <c r="G180" s="3">
        <v>38.53</v>
      </c>
      <c r="H180" s="3">
        <v>5.77</v>
      </c>
    </row>
    <row r="181" spans="1:8" x14ac:dyDescent="0.35">
      <c r="A181" t="s">
        <v>40</v>
      </c>
      <c r="B181" t="s">
        <v>1347</v>
      </c>
      <c r="C181" s="1">
        <v>45522</v>
      </c>
      <c r="D181" s="2">
        <v>0.16388888888888889</v>
      </c>
      <c r="E181" t="s">
        <v>2</v>
      </c>
      <c r="F181" t="s">
        <v>3</v>
      </c>
      <c r="G181" s="3">
        <v>20.16</v>
      </c>
      <c r="H181" s="3">
        <v>3.02</v>
      </c>
    </row>
    <row r="182" spans="1:8" x14ac:dyDescent="0.35">
      <c r="A182" t="s">
        <v>40</v>
      </c>
      <c r="B182" t="s">
        <v>1348</v>
      </c>
      <c r="C182" s="1">
        <v>45524</v>
      </c>
      <c r="D182" s="2">
        <v>0.42708333333333331</v>
      </c>
      <c r="E182" t="s">
        <v>2</v>
      </c>
      <c r="F182" t="s">
        <v>3</v>
      </c>
      <c r="G182" s="3">
        <v>30.77</v>
      </c>
      <c r="H182" s="3">
        <v>4.6100000000000003</v>
      </c>
    </row>
    <row r="183" spans="1:8" x14ac:dyDescent="0.35">
      <c r="A183" t="s">
        <v>40</v>
      </c>
      <c r="B183" t="s">
        <v>1349</v>
      </c>
      <c r="C183" s="1">
        <v>45525</v>
      </c>
      <c r="D183" s="2">
        <v>0.30069444444444443</v>
      </c>
      <c r="E183" t="s">
        <v>2</v>
      </c>
      <c r="F183" t="s">
        <v>3</v>
      </c>
      <c r="G183" s="3">
        <v>25.3</v>
      </c>
      <c r="H183" s="3">
        <v>3.79</v>
      </c>
    </row>
    <row r="184" spans="1:8" x14ac:dyDescent="0.35">
      <c r="A184" t="s">
        <v>40</v>
      </c>
      <c r="B184" t="s">
        <v>1350</v>
      </c>
      <c r="C184" s="1">
        <v>45525</v>
      </c>
      <c r="D184" s="2">
        <v>0.57986111111111105</v>
      </c>
      <c r="E184" t="s">
        <v>2</v>
      </c>
      <c r="F184" t="s">
        <v>3</v>
      </c>
      <c r="G184" s="3">
        <v>31.87</v>
      </c>
      <c r="H184" s="3">
        <v>4.7699999999999996</v>
      </c>
    </row>
    <row r="185" spans="1:8" x14ac:dyDescent="0.35">
      <c r="A185" t="s">
        <v>40</v>
      </c>
      <c r="B185" t="s">
        <v>1351</v>
      </c>
      <c r="C185" s="1">
        <v>45525</v>
      </c>
      <c r="D185" s="2">
        <v>0.69027777777777777</v>
      </c>
      <c r="E185" t="s">
        <v>2</v>
      </c>
      <c r="F185" t="s">
        <v>3</v>
      </c>
      <c r="G185" s="3">
        <v>25.13</v>
      </c>
      <c r="H185" s="3">
        <v>3.76</v>
      </c>
    </row>
    <row r="186" spans="1:8" x14ac:dyDescent="0.35">
      <c r="A186" t="s">
        <v>40</v>
      </c>
      <c r="B186" t="s">
        <v>1352</v>
      </c>
      <c r="C186" s="1">
        <v>45525</v>
      </c>
      <c r="D186" s="2">
        <v>0.73749999999999993</v>
      </c>
      <c r="E186" t="s">
        <v>2</v>
      </c>
      <c r="F186" t="s">
        <v>3</v>
      </c>
      <c r="G186" s="3">
        <v>10.25</v>
      </c>
      <c r="H186" s="3">
        <v>1.53</v>
      </c>
    </row>
    <row r="187" spans="1:8" x14ac:dyDescent="0.35">
      <c r="A187" t="s">
        <v>40</v>
      </c>
      <c r="B187" t="s">
        <v>1353</v>
      </c>
      <c r="C187" s="1">
        <v>45526</v>
      </c>
      <c r="D187" s="2">
        <v>0.91875000000000007</v>
      </c>
      <c r="E187" t="s">
        <v>2</v>
      </c>
      <c r="F187" t="s">
        <v>3</v>
      </c>
      <c r="G187" s="3">
        <v>23.79</v>
      </c>
      <c r="H187" s="3">
        <v>3.56</v>
      </c>
    </row>
    <row r="188" spans="1:8" x14ac:dyDescent="0.35">
      <c r="A188" t="s">
        <v>40</v>
      </c>
      <c r="B188" t="s">
        <v>1354</v>
      </c>
      <c r="C188" s="1">
        <v>45527</v>
      </c>
      <c r="D188" s="2">
        <v>9.9999999999999992E-2</v>
      </c>
      <c r="E188" t="s">
        <v>2</v>
      </c>
      <c r="F188" t="s">
        <v>3</v>
      </c>
      <c r="G188" s="3">
        <v>44.24</v>
      </c>
      <c r="H188" s="3">
        <v>6.62</v>
      </c>
    </row>
    <row r="189" spans="1:8" x14ac:dyDescent="0.35">
      <c r="A189" t="s">
        <v>40</v>
      </c>
      <c r="B189" t="s">
        <v>1355</v>
      </c>
      <c r="C189" s="1">
        <v>45529</v>
      </c>
      <c r="D189" s="2">
        <v>0.89583333333333337</v>
      </c>
      <c r="E189" t="s">
        <v>180</v>
      </c>
      <c r="F189" t="s">
        <v>60</v>
      </c>
      <c r="G189" s="3">
        <v>8.15</v>
      </c>
      <c r="H189" s="3">
        <v>1.22</v>
      </c>
    </row>
    <row r="190" spans="1:8" x14ac:dyDescent="0.35">
      <c r="A190" t="s">
        <v>40</v>
      </c>
      <c r="B190" t="s">
        <v>1356</v>
      </c>
      <c r="C190" s="1">
        <v>45530</v>
      </c>
      <c r="D190" s="2">
        <v>0.37222222222222223</v>
      </c>
      <c r="E190" t="s">
        <v>2</v>
      </c>
      <c r="F190" t="s">
        <v>3</v>
      </c>
      <c r="G190" s="3">
        <v>18.55</v>
      </c>
      <c r="H190" s="3">
        <v>2.78</v>
      </c>
    </row>
    <row r="191" spans="1:8" x14ac:dyDescent="0.35">
      <c r="A191" t="s">
        <v>40</v>
      </c>
      <c r="B191" t="s">
        <v>1357</v>
      </c>
      <c r="C191" s="1">
        <v>45531</v>
      </c>
      <c r="D191" s="2">
        <v>0.29444444444444445</v>
      </c>
      <c r="E191" t="s">
        <v>2</v>
      </c>
      <c r="F191" t="s">
        <v>3</v>
      </c>
      <c r="G191" s="3">
        <v>17.5</v>
      </c>
      <c r="H191" s="3">
        <v>2.62</v>
      </c>
    </row>
    <row r="192" spans="1:8" x14ac:dyDescent="0.35">
      <c r="A192" t="s">
        <v>40</v>
      </c>
      <c r="B192" t="s">
        <v>1358</v>
      </c>
      <c r="C192" s="1">
        <v>45533</v>
      </c>
      <c r="D192" s="2">
        <v>0.13194444444444445</v>
      </c>
      <c r="E192" t="s">
        <v>2</v>
      </c>
      <c r="F192" t="s">
        <v>3</v>
      </c>
      <c r="G192" s="3">
        <v>38.380000000000003</v>
      </c>
      <c r="H192" s="3">
        <v>5.75</v>
      </c>
    </row>
    <row r="193" spans="1:8" ht="15" thickBot="1" x14ac:dyDescent="0.4">
      <c r="A193" s="4" t="s">
        <v>40</v>
      </c>
      <c r="B193" s="4" t="s">
        <v>1359</v>
      </c>
      <c r="C193" s="6">
        <v>45534</v>
      </c>
      <c r="D193" s="7">
        <v>0.93125000000000002</v>
      </c>
      <c r="E193" s="4" t="s">
        <v>2</v>
      </c>
      <c r="F193" s="4" t="s">
        <v>3</v>
      </c>
      <c r="G193" s="5">
        <v>38.299999999999997</v>
      </c>
      <c r="H193" s="5">
        <v>5.74</v>
      </c>
    </row>
    <row r="194" spans="1:8" x14ac:dyDescent="0.35">
      <c r="A194" t="s">
        <v>2229</v>
      </c>
      <c r="G194" s="3">
        <f t="shared" ref="G194:H194" si="4">SUM(G167:G193)</f>
        <v>660.99999999999989</v>
      </c>
      <c r="H194" s="3">
        <f t="shared" si="4"/>
        <v>98.98</v>
      </c>
    </row>
    <row r="198" spans="1:8" ht="15.75" thickBot="1" x14ac:dyDescent="0.3"/>
    <row r="199" spans="1:8" ht="15.75" thickBot="1" x14ac:dyDescent="0.3">
      <c r="A199" s="11" t="s">
        <v>411</v>
      </c>
      <c r="B199" s="12" t="s">
        <v>163</v>
      </c>
      <c r="C199" s="12" t="s">
        <v>165</v>
      </c>
      <c r="D199" s="12" t="s">
        <v>166</v>
      </c>
      <c r="E199" s="12" t="s">
        <v>164</v>
      </c>
      <c r="F199" s="12" t="s">
        <v>167</v>
      </c>
      <c r="G199" s="12" t="s">
        <v>412</v>
      </c>
      <c r="H199" s="13" t="s">
        <v>169</v>
      </c>
    </row>
    <row r="200" spans="1:8" x14ac:dyDescent="0.35">
      <c r="A200" t="s">
        <v>148</v>
      </c>
      <c r="B200" t="s">
        <v>1360</v>
      </c>
      <c r="C200" s="1">
        <v>45505</v>
      </c>
      <c r="D200" s="2">
        <v>3.1944444444444449E-2</v>
      </c>
      <c r="E200" t="s">
        <v>2</v>
      </c>
      <c r="F200" t="s">
        <v>3</v>
      </c>
      <c r="G200" s="3">
        <v>30.08</v>
      </c>
      <c r="H200" s="3">
        <v>4.5</v>
      </c>
    </row>
    <row r="201" spans="1:8" x14ac:dyDescent="0.35">
      <c r="A201" t="s">
        <v>148</v>
      </c>
      <c r="B201" t="s">
        <v>1361</v>
      </c>
      <c r="C201" s="1">
        <v>45505</v>
      </c>
      <c r="D201" s="2">
        <v>9.9999999999999992E-2</v>
      </c>
      <c r="E201" t="s">
        <v>2</v>
      </c>
      <c r="F201" t="s">
        <v>3</v>
      </c>
      <c r="G201" s="3">
        <v>16.89</v>
      </c>
      <c r="H201" s="3">
        <v>2.5299999999999998</v>
      </c>
    </row>
    <row r="202" spans="1:8" x14ac:dyDescent="0.35">
      <c r="A202" t="s">
        <v>148</v>
      </c>
      <c r="B202" t="s">
        <v>1362</v>
      </c>
      <c r="C202" s="1">
        <v>45505</v>
      </c>
      <c r="D202" s="2">
        <v>0.13472222222222222</v>
      </c>
      <c r="E202" t="s">
        <v>2</v>
      </c>
      <c r="F202" t="s">
        <v>3</v>
      </c>
      <c r="G202" s="3">
        <v>16.84</v>
      </c>
      <c r="H202" s="3">
        <v>2.52</v>
      </c>
    </row>
    <row r="203" spans="1:8" x14ac:dyDescent="0.35">
      <c r="A203" t="s">
        <v>148</v>
      </c>
      <c r="B203" t="s">
        <v>1363</v>
      </c>
      <c r="C203" s="1">
        <v>45506</v>
      </c>
      <c r="D203" s="2">
        <v>0.85763888888888884</v>
      </c>
      <c r="E203" t="s">
        <v>2</v>
      </c>
      <c r="F203" t="s">
        <v>3</v>
      </c>
      <c r="G203" s="3">
        <v>18.190000000000001</v>
      </c>
      <c r="H203" s="3">
        <v>2.72</v>
      </c>
    </row>
    <row r="204" spans="1:8" x14ac:dyDescent="0.35">
      <c r="A204" t="s">
        <v>148</v>
      </c>
      <c r="B204" t="s">
        <v>1364</v>
      </c>
      <c r="C204" s="1">
        <v>45507</v>
      </c>
      <c r="D204" s="2">
        <v>0.4680555555555555</v>
      </c>
      <c r="E204" t="s">
        <v>2</v>
      </c>
      <c r="F204" t="s">
        <v>3</v>
      </c>
      <c r="G204" s="3">
        <v>15.01</v>
      </c>
      <c r="H204" s="3">
        <v>2.25</v>
      </c>
    </row>
    <row r="205" spans="1:8" x14ac:dyDescent="0.35">
      <c r="A205" t="s">
        <v>148</v>
      </c>
      <c r="B205" t="s">
        <v>1365</v>
      </c>
      <c r="C205" s="1">
        <v>45508</v>
      </c>
      <c r="D205" s="2">
        <v>0.25625000000000003</v>
      </c>
      <c r="E205" t="s">
        <v>2</v>
      </c>
      <c r="F205" t="s">
        <v>3</v>
      </c>
      <c r="G205" s="3">
        <v>59.42</v>
      </c>
      <c r="H205" s="3">
        <v>8.9</v>
      </c>
    </row>
    <row r="206" spans="1:8" x14ac:dyDescent="0.35">
      <c r="A206" t="s">
        <v>148</v>
      </c>
      <c r="B206" t="s">
        <v>1366</v>
      </c>
      <c r="C206" s="1">
        <v>45509</v>
      </c>
      <c r="D206" s="2">
        <v>0.22500000000000001</v>
      </c>
      <c r="E206" t="s">
        <v>2</v>
      </c>
      <c r="F206" t="s">
        <v>3</v>
      </c>
      <c r="G206" s="3">
        <v>52.08</v>
      </c>
      <c r="H206" s="3">
        <v>7.8</v>
      </c>
    </row>
    <row r="207" spans="1:8" x14ac:dyDescent="0.35">
      <c r="A207" t="s">
        <v>148</v>
      </c>
      <c r="B207" t="s">
        <v>1367</v>
      </c>
      <c r="C207" s="1">
        <v>45512</v>
      </c>
      <c r="D207" s="2">
        <v>0.31597222222222221</v>
      </c>
      <c r="E207" t="s">
        <v>2</v>
      </c>
      <c r="F207" t="s">
        <v>3</v>
      </c>
      <c r="G207" s="3">
        <v>16.239999999999998</v>
      </c>
      <c r="H207" s="3">
        <v>2.4300000000000002</v>
      </c>
    </row>
    <row r="208" spans="1:8" x14ac:dyDescent="0.35">
      <c r="A208" t="s">
        <v>148</v>
      </c>
      <c r="B208" t="s">
        <v>1368</v>
      </c>
      <c r="C208" s="1">
        <v>45512</v>
      </c>
      <c r="D208" s="2">
        <v>0.50138888888888888</v>
      </c>
      <c r="E208" t="s">
        <v>2</v>
      </c>
      <c r="F208" t="s">
        <v>3</v>
      </c>
      <c r="G208" s="3">
        <v>31.7</v>
      </c>
      <c r="H208" s="3">
        <v>4.75</v>
      </c>
    </row>
    <row r="209" spans="1:8" x14ac:dyDescent="0.35">
      <c r="A209" t="s">
        <v>148</v>
      </c>
      <c r="B209" t="s">
        <v>1369</v>
      </c>
      <c r="C209" s="1">
        <v>45514</v>
      </c>
      <c r="D209" s="2">
        <v>0.24305555555555555</v>
      </c>
      <c r="E209" t="s">
        <v>2</v>
      </c>
      <c r="F209" t="s">
        <v>3</v>
      </c>
      <c r="G209" s="3">
        <v>24.1</v>
      </c>
      <c r="H209" s="3">
        <v>3.61</v>
      </c>
    </row>
    <row r="210" spans="1:8" x14ac:dyDescent="0.35">
      <c r="A210" t="s">
        <v>148</v>
      </c>
      <c r="B210" t="s">
        <v>1370</v>
      </c>
      <c r="C210" s="1">
        <v>45515</v>
      </c>
      <c r="D210" s="2">
        <v>0.43541666666666662</v>
      </c>
      <c r="E210" t="s">
        <v>2</v>
      </c>
      <c r="F210" t="s">
        <v>3</v>
      </c>
      <c r="G210" s="3">
        <v>28.6</v>
      </c>
      <c r="H210" s="3">
        <v>4.28</v>
      </c>
    </row>
    <row r="211" spans="1:8" x14ac:dyDescent="0.35">
      <c r="A211" t="s">
        <v>148</v>
      </c>
      <c r="B211" t="s">
        <v>1371</v>
      </c>
      <c r="C211" s="1">
        <v>45518</v>
      </c>
      <c r="D211" s="2">
        <v>0.22777777777777777</v>
      </c>
      <c r="E211" t="s">
        <v>2</v>
      </c>
      <c r="F211" t="s">
        <v>3</v>
      </c>
      <c r="G211" s="3">
        <v>23.75</v>
      </c>
      <c r="H211" s="3">
        <v>3.56</v>
      </c>
    </row>
    <row r="212" spans="1:8" x14ac:dyDescent="0.35">
      <c r="A212" t="s">
        <v>148</v>
      </c>
      <c r="B212" t="s">
        <v>1372</v>
      </c>
      <c r="C212" s="1">
        <v>45518</v>
      </c>
      <c r="D212" s="2">
        <v>0.99930555555555556</v>
      </c>
      <c r="E212" t="s">
        <v>2</v>
      </c>
      <c r="F212" t="s">
        <v>3</v>
      </c>
      <c r="G212" s="3">
        <v>29.19</v>
      </c>
      <c r="H212" s="3">
        <v>4.37</v>
      </c>
    </row>
    <row r="213" spans="1:8" x14ac:dyDescent="0.35">
      <c r="A213" t="s">
        <v>148</v>
      </c>
      <c r="B213" t="s">
        <v>1373</v>
      </c>
      <c r="C213" s="1">
        <v>45519</v>
      </c>
      <c r="D213" s="2">
        <v>0.27916666666666667</v>
      </c>
      <c r="E213" t="s">
        <v>2</v>
      </c>
      <c r="F213" t="s">
        <v>3</v>
      </c>
      <c r="G213" s="3">
        <v>17.75</v>
      </c>
      <c r="H213" s="3">
        <v>2.66</v>
      </c>
    </row>
    <row r="214" spans="1:8" x14ac:dyDescent="0.35">
      <c r="A214" t="s">
        <v>148</v>
      </c>
      <c r="B214" t="s">
        <v>1374</v>
      </c>
      <c r="C214" s="1">
        <v>45519</v>
      </c>
      <c r="D214" s="2">
        <v>0.92361111111111116</v>
      </c>
      <c r="E214" t="s">
        <v>2</v>
      </c>
      <c r="F214" t="s">
        <v>3</v>
      </c>
      <c r="G214" s="3">
        <v>16.25</v>
      </c>
      <c r="H214" s="3">
        <v>2.4300000000000002</v>
      </c>
    </row>
    <row r="215" spans="1:8" x14ac:dyDescent="0.35">
      <c r="A215" t="s">
        <v>148</v>
      </c>
      <c r="B215" t="s">
        <v>1375</v>
      </c>
      <c r="C215" s="1">
        <v>45522</v>
      </c>
      <c r="D215" s="2">
        <v>0.18402777777777779</v>
      </c>
      <c r="E215" t="s">
        <v>2</v>
      </c>
      <c r="F215" t="s">
        <v>3</v>
      </c>
      <c r="G215" s="3">
        <v>28.6</v>
      </c>
      <c r="H215" s="3">
        <v>4.28</v>
      </c>
    </row>
    <row r="216" spans="1:8" x14ac:dyDescent="0.35">
      <c r="A216" t="s">
        <v>148</v>
      </c>
      <c r="B216" t="s">
        <v>1376</v>
      </c>
      <c r="C216" s="1">
        <v>45524</v>
      </c>
      <c r="D216" s="2">
        <v>0.16111111111111112</v>
      </c>
      <c r="E216" t="s">
        <v>2</v>
      </c>
      <c r="F216" t="s">
        <v>3</v>
      </c>
      <c r="G216" s="3">
        <v>45.65</v>
      </c>
      <c r="H216" s="3">
        <v>6.84</v>
      </c>
    </row>
    <row r="217" spans="1:8" x14ac:dyDescent="0.35">
      <c r="A217" t="s">
        <v>148</v>
      </c>
      <c r="B217" t="s">
        <v>1377</v>
      </c>
      <c r="C217" s="1">
        <v>45530</v>
      </c>
      <c r="D217" s="2">
        <v>0.4909722222222222</v>
      </c>
      <c r="E217" t="s">
        <v>2</v>
      </c>
      <c r="F217" t="s">
        <v>3</v>
      </c>
      <c r="G217" s="3">
        <v>37.76</v>
      </c>
      <c r="H217" s="3">
        <v>5.65</v>
      </c>
    </row>
    <row r="218" spans="1:8" x14ac:dyDescent="0.35">
      <c r="A218" t="s">
        <v>148</v>
      </c>
      <c r="B218" t="s">
        <v>1378</v>
      </c>
      <c r="C218" s="1">
        <v>45531</v>
      </c>
      <c r="D218" s="2">
        <v>4.1666666666666666E-3</v>
      </c>
      <c r="E218" t="s">
        <v>2</v>
      </c>
      <c r="F218" t="s">
        <v>3</v>
      </c>
      <c r="G218" s="3">
        <v>23.9</v>
      </c>
      <c r="H218" s="3">
        <v>3.58</v>
      </c>
    </row>
    <row r="219" spans="1:8" x14ac:dyDescent="0.35">
      <c r="A219" t="s">
        <v>148</v>
      </c>
      <c r="B219" t="s">
        <v>1379</v>
      </c>
      <c r="C219" s="1">
        <v>45532</v>
      </c>
      <c r="D219" s="2">
        <v>0.25277777777777777</v>
      </c>
      <c r="E219" t="s">
        <v>2</v>
      </c>
      <c r="F219" t="s">
        <v>3</v>
      </c>
      <c r="G219" s="3">
        <v>20.100000000000001</v>
      </c>
      <c r="H219" s="3">
        <v>3.01</v>
      </c>
    </row>
    <row r="220" spans="1:8" x14ac:dyDescent="0.35">
      <c r="A220" t="s">
        <v>148</v>
      </c>
      <c r="B220" t="s">
        <v>1380</v>
      </c>
      <c r="C220" s="1">
        <v>45533</v>
      </c>
      <c r="D220" s="2">
        <v>9.3055555555555558E-2</v>
      </c>
      <c r="E220" t="s">
        <v>2</v>
      </c>
      <c r="F220" t="s">
        <v>3</v>
      </c>
      <c r="G220" s="3">
        <v>26.04</v>
      </c>
      <c r="H220" s="3">
        <v>3.9</v>
      </c>
    </row>
    <row r="221" spans="1:8" x14ac:dyDescent="0.35">
      <c r="A221" t="s">
        <v>148</v>
      </c>
      <c r="B221" t="s">
        <v>1381</v>
      </c>
      <c r="C221" s="1">
        <v>45533</v>
      </c>
      <c r="D221" s="2">
        <v>0.16666666666666666</v>
      </c>
      <c r="E221" t="s">
        <v>2</v>
      </c>
      <c r="F221" t="s">
        <v>3</v>
      </c>
      <c r="G221" s="3">
        <v>64.34</v>
      </c>
      <c r="H221" s="3">
        <v>9.6300000000000008</v>
      </c>
    </row>
    <row r="222" spans="1:8" x14ac:dyDescent="0.35">
      <c r="A222" t="s">
        <v>148</v>
      </c>
      <c r="B222" t="s">
        <v>1382</v>
      </c>
      <c r="C222" s="1">
        <v>45533</v>
      </c>
      <c r="D222" s="2">
        <v>0.90555555555555556</v>
      </c>
      <c r="E222" t="s">
        <v>180</v>
      </c>
      <c r="F222" t="s">
        <v>3</v>
      </c>
      <c r="G222" s="3">
        <v>21.03</v>
      </c>
      <c r="H222" s="3">
        <v>3.15</v>
      </c>
    </row>
    <row r="223" spans="1:8" x14ac:dyDescent="0.35">
      <c r="A223" t="s">
        <v>148</v>
      </c>
      <c r="B223" t="s">
        <v>1383</v>
      </c>
      <c r="C223" s="1">
        <v>45534</v>
      </c>
      <c r="D223" s="2">
        <v>0.25416666666666665</v>
      </c>
      <c r="E223" t="s">
        <v>2</v>
      </c>
      <c r="F223" t="s">
        <v>3</v>
      </c>
      <c r="G223" s="3">
        <v>34.5</v>
      </c>
      <c r="H223" s="3">
        <v>5.17</v>
      </c>
    </row>
    <row r="224" spans="1:8" x14ac:dyDescent="0.35">
      <c r="A224" t="s">
        <v>148</v>
      </c>
      <c r="B224" t="s">
        <v>1384</v>
      </c>
      <c r="C224" s="1">
        <v>45535</v>
      </c>
      <c r="D224" s="2">
        <v>3.125E-2</v>
      </c>
      <c r="E224" t="s">
        <v>2</v>
      </c>
      <c r="F224" t="s">
        <v>3</v>
      </c>
      <c r="G224" s="3">
        <v>20.79</v>
      </c>
      <c r="H224" s="3">
        <v>3.11</v>
      </c>
    </row>
    <row r="225" spans="1:8" ht="15" thickBot="1" x14ac:dyDescent="0.4">
      <c r="A225" s="4" t="s">
        <v>148</v>
      </c>
      <c r="B225" s="4" t="s">
        <v>1385</v>
      </c>
      <c r="C225" s="6">
        <v>45535</v>
      </c>
      <c r="D225" s="7">
        <v>0.21319444444444444</v>
      </c>
      <c r="E225" s="4" t="s">
        <v>180</v>
      </c>
      <c r="F225" s="4" t="s">
        <v>3</v>
      </c>
      <c r="G225" s="5">
        <v>19.829999999999998</v>
      </c>
      <c r="H225" s="5">
        <v>2.97</v>
      </c>
    </row>
    <row r="226" spans="1:8" x14ac:dyDescent="0.35">
      <c r="A226" t="s">
        <v>2229</v>
      </c>
      <c r="G226" s="3">
        <f t="shared" ref="G226:H226" si="5">SUM(G200:G225)</f>
        <v>738.63</v>
      </c>
      <c r="H226" s="3">
        <f t="shared" si="5"/>
        <v>110.60000000000002</v>
      </c>
    </row>
    <row r="229" spans="1:8" ht="15.75" thickBot="1" x14ac:dyDescent="0.3"/>
    <row r="230" spans="1:8" ht="15.75" thickBot="1" x14ac:dyDescent="0.3">
      <c r="A230" s="11" t="s">
        <v>411</v>
      </c>
      <c r="B230" s="12" t="s">
        <v>163</v>
      </c>
      <c r="C230" s="12" t="s">
        <v>165</v>
      </c>
      <c r="D230" s="12" t="s">
        <v>166</v>
      </c>
      <c r="E230" s="12" t="s">
        <v>164</v>
      </c>
      <c r="F230" s="12" t="s">
        <v>167</v>
      </c>
      <c r="G230" s="12" t="s">
        <v>412</v>
      </c>
      <c r="H230" s="13" t="s">
        <v>169</v>
      </c>
    </row>
    <row r="231" spans="1:8" x14ac:dyDescent="0.35">
      <c r="A231" t="s">
        <v>743</v>
      </c>
      <c r="B231" t="s">
        <v>1386</v>
      </c>
      <c r="C231" s="1">
        <v>45505</v>
      </c>
      <c r="D231" s="2">
        <v>0.18680555555555556</v>
      </c>
      <c r="E231" t="s">
        <v>2</v>
      </c>
      <c r="F231" t="s">
        <v>3</v>
      </c>
      <c r="G231" s="3">
        <v>14.3</v>
      </c>
      <c r="H231" s="3">
        <v>2.14</v>
      </c>
    </row>
    <row r="232" spans="1:8" x14ac:dyDescent="0.35">
      <c r="A232" t="s">
        <v>743</v>
      </c>
      <c r="B232" t="s">
        <v>1387</v>
      </c>
      <c r="C232" s="1">
        <v>45505</v>
      </c>
      <c r="D232" s="2">
        <v>0.42291666666666666</v>
      </c>
      <c r="E232" t="s">
        <v>2</v>
      </c>
      <c r="F232" t="s">
        <v>3</v>
      </c>
      <c r="G232" s="3">
        <v>41.94</v>
      </c>
      <c r="H232" s="3">
        <v>6.28</v>
      </c>
    </row>
    <row r="233" spans="1:8" x14ac:dyDescent="0.35">
      <c r="A233" t="s">
        <v>743</v>
      </c>
      <c r="B233" t="s">
        <v>1388</v>
      </c>
      <c r="C233" s="1">
        <v>45510</v>
      </c>
      <c r="D233" s="2">
        <v>0.98888888888888893</v>
      </c>
      <c r="E233" t="s">
        <v>2</v>
      </c>
      <c r="F233" t="s">
        <v>3</v>
      </c>
      <c r="G233" s="3">
        <v>45.89</v>
      </c>
      <c r="H233" s="3">
        <v>6.87</v>
      </c>
    </row>
    <row r="234" spans="1:8" x14ac:dyDescent="0.35">
      <c r="A234" t="s">
        <v>743</v>
      </c>
      <c r="B234" t="s">
        <v>1389</v>
      </c>
      <c r="C234" s="1">
        <v>45511</v>
      </c>
      <c r="D234" s="2">
        <v>0.19513888888888889</v>
      </c>
      <c r="E234" t="s">
        <v>2</v>
      </c>
      <c r="F234" t="s">
        <v>3</v>
      </c>
      <c r="G234" s="3">
        <v>14.8</v>
      </c>
      <c r="H234" s="3">
        <v>2.2200000000000002</v>
      </c>
    </row>
    <row r="235" spans="1:8" x14ac:dyDescent="0.35">
      <c r="A235" t="s">
        <v>743</v>
      </c>
      <c r="B235" t="s">
        <v>1390</v>
      </c>
      <c r="C235" s="1">
        <v>45511</v>
      </c>
      <c r="D235" s="2">
        <v>0.27499999999999997</v>
      </c>
      <c r="E235" t="s">
        <v>2</v>
      </c>
      <c r="F235" t="s">
        <v>3</v>
      </c>
      <c r="G235" s="3">
        <v>16.899999999999999</v>
      </c>
      <c r="H235" s="3">
        <v>2.5299999999999998</v>
      </c>
    </row>
    <row r="236" spans="1:8" x14ac:dyDescent="0.35">
      <c r="A236" t="s">
        <v>743</v>
      </c>
      <c r="B236" t="s">
        <v>1391</v>
      </c>
      <c r="C236" s="1">
        <v>45512</v>
      </c>
      <c r="D236" s="2">
        <v>0.22638888888888889</v>
      </c>
      <c r="E236" t="s">
        <v>2</v>
      </c>
      <c r="F236" t="s">
        <v>3</v>
      </c>
      <c r="G236" s="3">
        <v>26.73</v>
      </c>
      <c r="H236" s="3">
        <v>4</v>
      </c>
    </row>
    <row r="237" spans="1:8" x14ac:dyDescent="0.35">
      <c r="A237" t="s">
        <v>743</v>
      </c>
      <c r="B237" t="s">
        <v>1392</v>
      </c>
      <c r="C237" s="1">
        <v>45512</v>
      </c>
      <c r="D237" s="2">
        <v>0.99097222222222225</v>
      </c>
      <c r="E237" t="s">
        <v>2</v>
      </c>
      <c r="F237" t="s">
        <v>3</v>
      </c>
      <c r="G237" s="3">
        <v>32.92</v>
      </c>
      <c r="H237" s="3">
        <v>4.93</v>
      </c>
    </row>
    <row r="238" spans="1:8" x14ac:dyDescent="0.35">
      <c r="A238" t="s">
        <v>743</v>
      </c>
      <c r="B238" t="s">
        <v>1393</v>
      </c>
      <c r="C238" s="1">
        <v>45513</v>
      </c>
      <c r="D238" s="2">
        <v>0.21527777777777779</v>
      </c>
      <c r="E238" t="s">
        <v>2</v>
      </c>
      <c r="F238" t="s">
        <v>3</v>
      </c>
      <c r="G238" s="3">
        <v>46.77</v>
      </c>
      <c r="H238" s="3">
        <v>7</v>
      </c>
    </row>
    <row r="239" spans="1:8" x14ac:dyDescent="0.35">
      <c r="A239" t="s">
        <v>743</v>
      </c>
      <c r="B239" t="s">
        <v>1394</v>
      </c>
      <c r="C239" s="1">
        <v>45514</v>
      </c>
      <c r="D239" s="2">
        <v>0.65069444444444446</v>
      </c>
      <c r="E239" t="s">
        <v>2</v>
      </c>
      <c r="F239" t="s">
        <v>3</v>
      </c>
      <c r="G239" s="3">
        <v>10</v>
      </c>
      <c r="H239" s="3">
        <v>1.5</v>
      </c>
    </row>
    <row r="240" spans="1:8" x14ac:dyDescent="0.35">
      <c r="A240" t="s">
        <v>743</v>
      </c>
      <c r="B240" t="s">
        <v>1395</v>
      </c>
      <c r="C240" s="1">
        <v>45516</v>
      </c>
      <c r="D240" s="2">
        <v>0.22152777777777777</v>
      </c>
      <c r="E240" t="s">
        <v>2</v>
      </c>
      <c r="F240" t="s">
        <v>3</v>
      </c>
      <c r="G240" s="3">
        <v>11.95</v>
      </c>
      <c r="H240" s="3">
        <v>1.79</v>
      </c>
    </row>
    <row r="241" spans="1:8" x14ac:dyDescent="0.35">
      <c r="A241" t="s">
        <v>743</v>
      </c>
      <c r="B241" t="s">
        <v>1396</v>
      </c>
      <c r="C241" s="1">
        <v>45517</v>
      </c>
      <c r="D241" s="2">
        <v>0.24305555555555555</v>
      </c>
      <c r="E241" t="s">
        <v>2</v>
      </c>
      <c r="F241" t="s">
        <v>3</v>
      </c>
      <c r="G241" s="3">
        <v>22.97</v>
      </c>
      <c r="H241" s="3">
        <v>3.44</v>
      </c>
    </row>
    <row r="242" spans="1:8" x14ac:dyDescent="0.35">
      <c r="A242" t="s">
        <v>743</v>
      </c>
      <c r="B242" t="s">
        <v>1397</v>
      </c>
      <c r="C242" s="1">
        <v>45518</v>
      </c>
      <c r="D242" s="2">
        <v>0.21527777777777779</v>
      </c>
      <c r="E242" t="s">
        <v>2</v>
      </c>
      <c r="F242" t="s">
        <v>3</v>
      </c>
      <c r="G242" s="3">
        <v>41.08</v>
      </c>
      <c r="H242" s="3">
        <v>6.15</v>
      </c>
    </row>
    <row r="243" spans="1:8" x14ac:dyDescent="0.35">
      <c r="A243" t="s">
        <v>743</v>
      </c>
      <c r="B243" t="s">
        <v>1398</v>
      </c>
      <c r="C243" s="1">
        <v>45526</v>
      </c>
      <c r="D243" s="2">
        <v>0.99513888888888891</v>
      </c>
      <c r="E243" t="s">
        <v>2</v>
      </c>
      <c r="F243" t="s">
        <v>3</v>
      </c>
      <c r="G243" s="3">
        <v>54.09</v>
      </c>
      <c r="H243" s="3">
        <v>8.1</v>
      </c>
    </row>
    <row r="244" spans="1:8" x14ac:dyDescent="0.35">
      <c r="A244" t="s">
        <v>743</v>
      </c>
      <c r="B244" t="s">
        <v>1399</v>
      </c>
      <c r="C244" s="1">
        <v>45527</v>
      </c>
      <c r="D244" s="2">
        <v>0.18333333333333335</v>
      </c>
      <c r="E244" t="s">
        <v>2</v>
      </c>
      <c r="F244" t="s">
        <v>3</v>
      </c>
      <c r="G244" s="3">
        <v>51.04</v>
      </c>
      <c r="H244" s="3">
        <v>7.64</v>
      </c>
    </row>
    <row r="245" spans="1:8" x14ac:dyDescent="0.35">
      <c r="A245" t="s">
        <v>743</v>
      </c>
      <c r="B245" t="s">
        <v>1400</v>
      </c>
      <c r="C245" s="1">
        <v>45528</v>
      </c>
      <c r="D245" s="2">
        <v>0.78402777777777777</v>
      </c>
      <c r="E245" t="s">
        <v>2</v>
      </c>
      <c r="F245" t="s">
        <v>3</v>
      </c>
      <c r="G245" s="3">
        <v>35.520000000000003</v>
      </c>
      <c r="H245" s="3">
        <v>5.32</v>
      </c>
    </row>
    <row r="246" spans="1:8" x14ac:dyDescent="0.35">
      <c r="A246" t="s">
        <v>743</v>
      </c>
      <c r="B246" t="s">
        <v>1401</v>
      </c>
      <c r="C246" s="1">
        <v>45529</v>
      </c>
      <c r="D246" s="2">
        <v>0.63263888888888886</v>
      </c>
      <c r="E246" t="s">
        <v>2</v>
      </c>
      <c r="F246" t="s">
        <v>3</v>
      </c>
      <c r="G246" s="3">
        <v>27.25</v>
      </c>
      <c r="H246" s="3">
        <v>4.08</v>
      </c>
    </row>
    <row r="247" spans="1:8" x14ac:dyDescent="0.35">
      <c r="A247" t="s">
        <v>743</v>
      </c>
      <c r="B247" t="s">
        <v>1402</v>
      </c>
      <c r="C247" s="1">
        <v>45531</v>
      </c>
      <c r="D247" s="2">
        <v>9.930555555555555E-2</v>
      </c>
      <c r="E247" t="s">
        <v>2</v>
      </c>
      <c r="F247" t="s">
        <v>3</v>
      </c>
      <c r="G247" s="3">
        <v>19.05</v>
      </c>
      <c r="H247" s="3">
        <v>2.85</v>
      </c>
    </row>
    <row r="248" spans="1:8" x14ac:dyDescent="0.35">
      <c r="A248" t="s">
        <v>743</v>
      </c>
      <c r="B248" t="s">
        <v>1403</v>
      </c>
      <c r="C248" s="1">
        <v>45531</v>
      </c>
      <c r="D248" s="2">
        <v>0.96805555555555556</v>
      </c>
      <c r="E248" t="s">
        <v>2</v>
      </c>
      <c r="F248" t="s">
        <v>3</v>
      </c>
      <c r="G248" s="3">
        <v>11.95</v>
      </c>
      <c r="H248" s="3">
        <v>1.79</v>
      </c>
    </row>
    <row r="249" spans="1:8" x14ac:dyDescent="0.35">
      <c r="A249" t="s">
        <v>743</v>
      </c>
      <c r="B249" t="s">
        <v>1404</v>
      </c>
      <c r="C249" s="1">
        <v>45533</v>
      </c>
      <c r="D249" s="2">
        <v>5.0694444444444452E-2</v>
      </c>
      <c r="E249" t="s">
        <v>2</v>
      </c>
      <c r="F249" t="s">
        <v>3</v>
      </c>
      <c r="G249" s="3">
        <v>15.49</v>
      </c>
      <c r="H249" s="3">
        <v>2.3199999999999998</v>
      </c>
    </row>
    <row r="250" spans="1:8" x14ac:dyDescent="0.35">
      <c r="A250" t="s">
        <v>743</v>
      </c>
      <c r="B250" t="s">
        <v>1405</v>
      </c>
      <c r="C250" s="1">
        <v>45533</v>
      </c>
      <c r="D250" s="2">
        <v>0.36041666666666666</v>
      </c>
      <c r="E250" t="s">
        <v>2</v>
      </c>
      <c r="F250" t="s">
        <v>3</v>
      </c>
      <c r="G250" s="3">
        <v>20</v>
      </c>
      <c r="H250" s="3">
        <v>3</v>
      </c>
    </row>
    <row r="251" spans="1:8" x14ac:dyDescent="0.35">
      <c r="A251" t="s">
        <v>743</v>
      </c>
      <c r="B251" t="s">
        <v>1406</v>
      </c>
      <c r="C251" s="1">
        <v>45533</v>
      </c>
      <c r="D251" s="2">
        <v>0.86458333333333337</v>
      </c>
      <c r="E251" t="s">
        <v>2</v>
      </c>
      <c r="F251" t="s">
        <v>3</v>
      </c>
      <c r="G251" s="3">
        <v>20.95</v>
      </c>
      <c r="H251" s="3">
        <v>3.14</v>
      </c>
    </row>
    <row r="252" spans="1:8" ht="15" thickBot="1" x14ac:dyDescent="0.4">
      <c r="A252" s="4" t="s">
        <v>743</v>
      </c>
      <c r="B252" s="4" t="s">
        <v>1407</v>
      </c>
      <c r="C252" s="6">
        <v>45535</v>
      </c>
      <c r="D252" s="7">
        <v>0.18611111111111112</v>
      </c>
      <c r="E252" s="4" t="s">
        <v>2</v>
      </c>
      <c r="F252" s="4" t="s">
        <v>3</v>
      </c>
      <c r="G252" s="5">
        <v>17.13</v>
      </c>
      <c r="H252" s="5">
        <v>2.57</v>
      </c>
    </row>
    <row r="253" spans="1:8" x14ac:dyDescent="0.35">
      <c r="A253" t="s">
        <v>2229</v>
      </c>
      <c r="G253" s="3">
        <f t="shared" ref="G253:H253" si="6">SUM(G231:G252)</f>
        <v>598.72</v>
      </c>
      <c r="H253" s="3">
        <f t="shared" si="6"/>
        <v>89.659999999999982</v>
      </c>
    </row>
    <row r="257" spans="1:8" ht="15.75" thickBot="1" x14ac:dyDescent="0.3"/>
    <row r="258" spans="1:8" ht="15" thickBot="1" x14ac:dyDescent="0.4">
      <c r="A258" s="11" t="s">
        <v>411</v>
      </c>
      <c r="B258" s="12" t="s">
        <v>163</v>
      </c>
      <c r="C258" s="12" t="s">
        <v>165</v>
      </c>
      <c r="D258" s="12" t="s">
        <v>166</v>
      </c>
      <c r="E258" s="12" t="s">
        <v>164</v>
      </c>
      <c r="F258" s="12" t="s">
        <v>167</v>
      </c>
      <c r="G258" s="12" t="s">
        <v>412</v>
      </c>
      <c r="H258" s="13" t="s">
        <v>169</v>
      </c>
    </row>
    <row r="259" spans="1:8" x14ac:dyDescent="0.35">
      <c r="A259" t="s">
        <v>403</v>
      </c>
      <c r="B259" t="s">
        <v>1408</v>
      </c>
      <c r="C259" s="1">
        <v>45506</v>
      </c>
      <c r="D259" s="2">
        <v>0.14305555555555557</v>
      </c>
      <c r="E259" t="s">
        <v>2</v>
      </c>
      <c r="F259" t="s">
        <v>3</v>
      </c>
      <c r="G259" s="3">
        <v>20.79</v>
      </c>
      <c r="H259" s="3">
        <v>3.11</v>
      </c>
    </row>
    <row r="260" spans="1:8" x14ac:dyDescent="0.35">
      <c r="A260" t="s">
        <v>403</v>
      </c>
      <c r="B260" t="s">
        <v>1409</v>
      </c>
      <c r="C260" s="1">
        <v>45520</v>
      </c>
      <c r="D260" s="2">
        <v>0.1388888888888889</v>
      </c>
      <c r="E260" t="s">
        <v>2</v>
      </c>
      <c r="F260" t="s">
        <v>3</v>
      </c>
      <c r="G260" s="3">
        <v>30.1</v>
      </c>
      <c r="H260" s="3">
        <v>4.51</v>
      </c>
    </row>
    <row r="261" spans="1:8" x14ac:dyDescent="0.35">
      <c r="A261" t="s">
        <v>403</v>
      </c>
      <c r="B261" t="s">
        <v>1410</v>
      </c>
      <c r="C261" s="1">
        <v>45520</v>
      </c>
      <c r="D261" s="2">
        <v>0.39652777777777781</v>
      </c>
      <c r="E261" t="s">
        <v>2</v>
      </c>
      <c r="F261" t="s">
        <v>3</v>
      </c>
      <c r="G261" s="3">
        <v>15.21</v>
      </c>
      <c r="H261" s="3">
        <v>2.2799999999999998</v>
      </c>
    </row>
    <row r="262" spans="1:8" x14ac:dyDescent="0.35">
      <c r="A262" t="s">
        <v>403</v>
      </c>
      <c r="B262" t="s">
        <v>1411</v>
      </c>
      <c r="C262" s="1">
        <v>45525</v>
      </c>
      <c r="D262" s="2">
        <v>1.5972222222222224E-2</v>
      </c>
      <c r="E262" t="s">
        <v>2</v>
      </c>
      <c r="F262" t="s">
        <v>3</v>
      </c>
      <c r="G262" s="3">
        <v>19.5</v>
      </c>
      <c r="H262" s="3">
        <v>2.92</v>
      </c>
    </row>
    <row r="263" spans="1:8" x14ac:dyDescent="0.35">
      <c r="A263" t="s">
        <v>403</v>
      </c>
      <c r="B263" t="s">
        <v>1412</v>
      </c>
      <c r="C263" s="1">
        <v>45527</v>
      </c>
      <c r="D263" s="2">
        <v>0.13541666666666666</v>
      </c>
      <c r="E263" t="s">
        <v>2</v>
      </c>
      <c r="F263" t="s">
        <v>3</v>
      </c>
      <c r="G263" s="3">
        <v>15.74</v>
      </c>
      <c r="H263" s="3">
        <v>2.36</v>
      </c>
    </row>
    <row r="264" spans="1:8" x14ac:dyDescent="0.35">
      <c r="A264" t="s">
        <v>403</v>
      </c>
      <c r="B264" t="s">
        <v>1413</v>
      </c>
      <c r="C264" s="1">
        <v>45531</v>
      </c>
      <c r="D264" s="2">
        <v>0.10902777777777778</v>
      </c>
      <c r="E264" t="s">
        <v>2</v>
      </c>
      <c r="F264" t="s">
        <v>3</v>
      </c>
      <c r="G264" s="3">
        <v>18.2</v>
      </c>
      <c r="H264" s="3">
        <v>2.73</v>
      </c>
    </row>
    <row r="265" spans="1:8" x14ac:dyDescent="0.35">
      <c r="A265" t="s">
        <v>403</v>
      </c>
      <c r="B265" t="s">
        <v>1414</v>
      </c>
      <c r="C265" s="1">
        <v>45532</v>
      </c>
      <c r="D265" s="2">
        <v>0.16805555555555554</v>
      </c>
      <c r="E265" t="s">
        <v>2</v>
      </c>
      <c r="F265" t="s">
        <v>3</v>
      </c>
      <c r="G265" s="3">
        <v>20.34</v>
      </c>
      <c r="H265" s="3">
        <v>3.05</v>
      </c>
    </row>
    <row r="266" spans="1:8" x14ac:dyDescent="0.35">
      <c r="A266" t="s">
        <v>403</v>
      </c>
      <c r="B266" t="s">
        <v>1415</v>
      </c>
      <c r="C266" s="1">
        <v>45532</v>
      </c>
      <c r="D266" s="2">
        <v>0.97638888888888886</v>
      </c>
      <c r="E266" t="s">
        <v>2</v>
      </c>
      <c r="F266" t="s">
        <v>3</v>
      </c>
      <c r="G266" s="3">
        <v>18.2</v>
      </c>
      <c r="H266" s="3">
        <v>2.73</v>
      </c>
    </row>
    <row r="267" spans="1:8" ht="15" thickBot="1" x14ac:dyDescent="0.4">
      <c r="A267" s="4" t="s">
        <v>403</v>
      </c>
      <c r="B267" s="4" t="s">
        <v>1416</v>
      </c>
      <c r="C267" s="6">
        <v>45533</v>
      </c>
      <c r="D267" s="7">
        <v>0.14444444444444446</v>
      </c>
      <c r="E267" s="4" t="s">
        <v>2</v>
      </c>
      <c r="F267" s="4" t="s">
        <v>3</v>
      </c>
      <c r="G267" s="5">
        <v>42.88</v>
      </c>
      <c r="H267" s="5">
        <v>6.42</v>
      </c>
    </row>
    <row r="268" spans="1:8" x14ac:dyDescent="0.35">
      <c r="A268" t="s">
        <v>2229</v>
      </c>
      <c r="G268" s="3">
        <f t="shared" ref="G268:H268" si="7">SUM(G259:G267)</f>
        <v>200.95999999999998</v>
      </c>
      <c r="H268" s="3">
        <f t="shared" si="7"/>
        <v>30.11</v>
      </c>
    </row>
    <row r="273" spans="1:8" x14ac:dyDescent="0.35">
      <c r="A273" t="s">
        <v>2252</v>
      </c>
      <c r="G273" s="9">
        <f>SUM(G268,G253,G226,G194,G162,G103,G76,G53,G47,G35,G11)</f>
        <v>5721.9999999999991</v>
      </c>
    </row>
    <row r="274" spans="1:8" x14ac:dyDescent="0.35">
      <c r="A274" t="s">
        <v>2253</v>
      </c>
      <c r="H274" s="9">
        <f>SUM(H268,H253,H226,H194,H162,H103,H76,H53,H47,H35,H11)</f>
        <v>856.83999999999992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74"/>
  <sheetViews>
    <sheetView topLeftCell="A229" zoomScale="60" zoomScaleNormal="60" workbookViewId="0">
      <selection activeCell="A276" sqref="A276"/>
    </sheetView>
  </sheetViews>
  <sheetFormatPr defaultRowHeight="14.5" x14ac:dyDescent="0.35"/>
  <cols>
    <col min="1" max="1" width="33" customWidth="1"/>
    <col min="2" max="2" width="10" customWidth="1"/>
    <col min="3" max="3" width="12.26953125" customWidth="1"/>
    <col min="6" max="6" width="11.7265625" customWidth="1"/>
    <col min="7" max="7" width="12.26953125" customWidth="1"/>
    <col min="8" max="8" width="11.7265625" customWidth="1"/>
  </cols>
  <sheetData>
    <row r="5" spans="1:8" ht="15.75" thickBot="1" x14ac:dyDescent="0.3"/>
    <row r="6" spans="1:8" ht="15.75" thickBot="1" x14ac:dyDescent="0.3">
      <c r="A6" s="11" t="s">
        <v>411</v>
      </c>
      <c r="B6" s="12" t="s">
        <v>163</v>
      </c>
      <c r="C6" s="12" t="s">
        <v>165</v>
      </c>
      <c r="D6" s="12" t="s">
        <v>166</v>
      </c>
      <c r="E6" s="12" t="s">
        <v>164</v>
      </c>
      <c r="F6" s="12" t="s">
        <v>167</v>
      </c>
      <c r="G6" s="12" t="s">
        <v>412</v>
      </c>
      <c r="H6" s="13" t="s">
        <v>169</v>
      </c>
    </row>
    <row r="7" spans="1:8" x14ac:dyDescent="0.35">
      <c r="A7" t="s">
        <v>414</v>
      </c>
      <c r="B7" t="s">
        <v>1417</v>
      </c>
      <c r="C7" s="1">
        <v>45538</v>
      </c>
      <c r="D7" s="2">
        <v>0.84166666666666667</v>
      </c>
      <c r="E7" t="s">
        <v>2</v>
      </c>
      <c r="F7" t="s">
        <v>3</v>
      </c>
      <c r="G7" s="3">
        <v>41.31</v>
      </c>
      <c r="H7" s="3">
        <v>6.19</v>
      </c>
    </row>
    <row r="8" spans="1:8" x14ac:dyDescent="0.35">
      <c r="A8" t="s">
        <v>414</v>
      </c>
      <c r="B8" t="s">
        <v>1418</v>
      </c>
      <c r="C8" s="1">
        <v>45540</v>
      </c>
      <c r="D8" s="2">
        <v>0.16666666666666666</v>
      </c>
      <c r="E8" t="s">
        <v>2</v>
      </c>
      <c r="F8" t="s">
        <v>3</v>
      </c>
      <c r="G8" s="3">
        <v>14.29</v>
      </c>
      <c r="H8" s="3">
        <v>2.14</v>
      </c>
    </row>
    <row r="9" spans="1:8" x14ac:dyDescent="0.35">
      <c r="A9" t="s">
        <v>414</v>
      </c>
      <c r="B9" t="s">
        <v>1419</v>
      </c>
      <c r="C9" s="1">
        <v>45541</v>
      </c>
      <c r="D9" s="2">
        <v>0.17569444444444446</v>
      </c>
      <c r="E9" t="s">
        <v>2</v>
      </c>
      <c r="F9" t="s">
        <v>3</v>
      </c>
      <c r="G9" s="3">
        <v>22.09</v>
      </c>
      <c r="H9" s="3">
        <v>3.31</v>
      </c>
    </row>
    <row r="10" spans="1:8" x14ac:dyDescent="0.35">
      <c r="A10" t="s">
        <v>414</v>
      </c>
      <c r="B10" t="s">
        <v>1420</v>
      </c>
      <c r="C10" s="1">
        <v>45544</v>
      </c>
      <c r="D10" s="2">
        <v>0.55694444444444446</v>
      </c>
      <c r="E10" t="s">
        <v>180</v>
      </c>
      <c r="F10" t="s">
        <v>3</v>
      </c>
      <c r="G10" s="3">
        <v>5.86</v>
      </c>
      <c r="H10" s="3">
        <v>0.88</v>
      </c>
    </row>
    <row r="11" spans="1:8" x14ac:dyDescent="0.35">
      <c r="A11" t="s">
        <v>414</v>
      </c>
      <c r="B11" t="s">
        <v>1421</v>
      </c>
      <c r="C11" s="1">
        <v>45552</v>
      </c>
      <c r="D11" s="2">
        <v>0.48125000000000001</v>
      </c>
      <c r="E11" t="s">
        <v>2</v>
      </c>
      <c r="F11" t="s">
        <v>3</v>
      </c>
      <c r="G11" s="3">
        <v>36.32</v>
      </c>
      <c r="H11" s="3">
        <v>5.44</v>
      </c>
    </row>
    <row r="12" spans="1:8" x14ac:dyDescent="0.35">
      <c r="A12" t="s">
        <v>414</v>
      </c>
      <c r="B12" t="s">
        <v>1422</v>
      </c>
      <c r="C12" s="1">
        <v>45558</v>
      </c>
      <c r="D12" s="2">
        <v>0.85069444444444453</v>
      </c>
      <c r="E12" t="s">
        <v>2</v>
      </c>
      <c r="F12" t="s">
        <v>3</v>
      </c>
      <c r="G12" s="3">
        <v>26</v>
      </c>
      <c r="H12" s="3">
        <v>3.89</v>
      </c>
    </row>
    <row r="13" spans="1:8" x14ac:dyDescent="0.35">
      <c r="A13" t="s">
        <v>414</v>
      </c>
      <c r="B13" t="s">
        <v>1423</v>
      </c>
      <c r="C13" s="1">
        <v>45561</v>
      </c>
      <c r="D13" s="2">
        <v>0.15</v>
      </c>
      <c r="E13" t="s">
        <v>2</v>
      </c>
      <c r="F13" t="s">
        <v>3</v>
      </c>
      <c r="G13" s="3">
        <v>29.53</v>
      </c>
      <c r="H13" s="3">
        <v>4.42</v>
      </c>
    </row>
    <row r="14" spans="1:8" ht="15" thickBot="1" x14ac:dyDescent="0.4">
      <c r="A14" s="4" t="s">
        <v>414</v>
      </c>
      <c r="B14" s="4" t="s">
        <v>1424</v>
      </c>
      <c r="C14" s="6">
        <v>45563</v>
      </c>
      <c r="D14" s="7">
        <v>0.9458333333333333</v>
      </c>
      <c r="E14" s="4" t="s">
        <v>2</v>
      </c>
      <c r="F14" s="4" t="s">
        <v>3</v>
      </c>
      <c r="G14" s="5">
        <v>19.95</v>
      </c>
      <c r="H14" s="5">
        <v>2.99</v>
      </c>
    </row>
    <row r="15" spans="1:8" x14ac:dyDescent="0.35">
      <c r="A15" s="26" t="s">
        <v>2230</v>
      </c>
      <c r="G15" s="9">
        <f t="shared" ref="G15:H15" si="0">SUM(G7:G14)</f>
        <v>195.35</v>
      </c>
      <c r="H15" s="9">
        <f t="shared" si="0"/>
        <v>29.260000000000005</v>
      </c>
    </row>
    <row r="17" spans="1:8" ht="15.75" thickBot="1" x14ac:dyDescent="0.3"/>
    <row r="18" spans="1:8" ht="15.75" thickBot="1" x14ac:dyDescent="0.3">
      <c r="A18" s="11" t="s">
        <v>411</v>
      </c>
      <c r="B18" s="12" t="s">
        <v>163</v>
      </c>
      <c r="C18" s="12" t="s">
        <v>165</v>
      </c>
      <c r="D18" s="12" t="s">
        <v>166</v>
      </c>
      <c r="E18" s="12" t="s">
        <v>164</v>
      </c>
      <c r="F18" s="12" t="s">
        <v>167</v>
      </c>
      <c r="G18" s="12" t="s">
        <v>412</v>
      </c>
      <c r="H18" s="13" t="s">
        <v>169</v>
      </c>
    </row>
    <row r="19" spans="1:8" x14ac:dyDescent="0.35">
      <c r="A19" t="s">
        <v>173</v>
      </c>
      <c r="B19" t="s">
        <v>1425</v>
      </c>
      <c r="C19" s="1">
        <v>45537</v>
      </c>
      <c r="D19" s="2">
        <v>0.87847222222222221</v>
      </c>
      <c r="E19" t="s">
        <v>2</v>
      </c>
      <c r="F19" t="s">
        <v>3</v>
      </c>
      <c r="G19" s="3">
        <v>17.809999999999999</v>
      </c>
      <c r="H19" s="3">
        <v>2.67</v>
      </c>
    </row>
    <row r="20" spans="1:8" x14ac:dyDescent="0.35">
      <c r="A20" t="s">
        <v>173</v>
      </c>
      <c r="B20" t="s">
        <v>1426</v>
      </c>
      <c r="C20" s="1">
        <v>45539</v>
      </c>
      <c r="D20" s="2">
        <v>8.6805555555555566E-2</v>
      </c>
      <c r="E20" t="s">
        <v>2</v>
      </c>
      <c r="F20" t="s">
        <v>3</v>
      </c>
      <c r="G20" s="3">
        <v>40.950000000000003</v>
      </c>
      <c r="H20" s="3">
        <v>6.13</v>
      </c>
    </row>
    <row r="21" spans="1:8" x14ac:dyDescent="0.35">
      <c r="A21" t="s">
        <v>173</v>
      </c>
      <c r="B21" t="s">
        <v>1427</v>
      </c>
      <c r="C21" s="1">
        <v>45540</v>
      </c>
      <c r="D21" s="2">
        <v>0.40208333333333335</v>
      </c>
      <c r="E21" t="s">
        <v>2</v>
      </c>
      <c r="F21" t="s">
        <v>3</v>
      </c>
      <c r="G21" s="3">
        <v>17.55</v>
      </c>
      <c r="H21" s="3">
        <v>2.63</v>
      </c>
    </row>
    <row r="22" spans="1:8" x14ac:dyDescent="0.35">
      <c r="A22" t="s">
        <v>173</v>
      </c>
      <c r="B22" t="s">
        <v>1428</v>
      </c>
      <c r="C22" s="1">
        <v>45540</v>
      </c>
      <c r="D22" s="2">
        <v>0.4236111111111111</v>
      </c>
      <c r="E22" t="s">
        <v>2</v>
      </c>
      <c r="F22" t="s">
        <v>3</v>
      </c>
      <c r="G22" s="3">
        <v>33.5</v>
      </c>
      <c r="H22" s="3">
        <v>5.0199999999999996</v>
      </c>
    </row>
    <row r="23" spans="1:8" x14ac:dyDescent="0.35">
      <c r="A23" t="s">
        <v>173</v>
      </c>
      <c r="B23" t="s">
        <v>1429</v>
      </c>
      <c r="C23" s="1">
        <v>45540</v>
      </c>
      <c r="D23" s="2">
        <v>0.43888888888888888</v>
      </c>
      <c r="E23" t="s">
        <v>2</v>
      </c>
      <c r="F23" t="s">
        <v>3</v>
      </c>
      <c r="G23" s="3">
        <v>23.81</v>
      </c>
      <c r="H23" s="3">
        <v>3.57</v>
      </c>
    </row>
    <row r="24" spans="1:8" x14ac:dyDescent="0.35">
      <c r="A24" t="s">
        <v>173</v>
      </c>
      <c r="B24" t="s">
        <v>1430</v>
      </c>
      <c r="C24" s="1">
        <v>45541</v>
      </c>
      <c r="D24" s="2">
        <v>0.38472222222222219</v>
      </c>
      <c r="E24" t="s">
        <v>2</v>
      </c>
      <c r="F24" t="s">
        <v>3</v>
      </c>
      <c r="G24" s="3">
        <v>27.54</v>
      </c>
      <c r="H24" s="3">
        <v>4.12</v>
      </c>
    </row>
    <row r="25" spans="1:8" x14ac:dyDescent="0.35">
      <c r="A25" t="s">
        <v>173</v>
      </c>
      <c r="B25" t="s">
        <v>1431</v>
      </c>
      <c r="C25" s="1">
        <v>45544</v>
      </c>
      <c r="D25" s="2">
        <v>0.23680555555555557</v>
      </c>
      <c r="E25" t="s">
        <v>2</v>
      </c>
      <c r="F25" t="s">
        <v>3</v>
      </c>
      <c r="G25" s="3">
        <v>20.85</v>
      </c>
      <c r="H25" s="3">
        <v>3.12</v>
      </c>
    </row>
    <row r="26" spans="1:8" x14ac:dyDescent="0.35">
      <c r="A26" t="s">
        <v>173</v>
      </c>
      <c r="B26" t="s">
        <v>1432</v>
      </c>
      <c r="C26" s="1">
        <v>45544</v>
      </c>
      <c r="D26" s="2">
        <v>0.23819444444444446</v>
      </c>
      <c r="E26" t="s">
        <v>2</v>
      </c>
      <c r="F26" t="s">
        <v>3</v>
      </c>
      <c r="G26" s="3">
        <v>37.14</v>
      </c>
      <c r="H26" s="3">
        <v>5.56</v>
      </c>
    </row>
    <row r="27" spans="1:8" x14ac:dyDescent="0.35">
      <c r="A27" t="s">
        <v>173</v>
      </c>
      <c r="B27" t="s">
        <v>1433</v>
      </c>
      <c r="C27" s="1">
        <v>45545</v>
      </c>
      <c r="D27" s="2">
        <v>0.13055555555555556</v>
      </c>
      <c r="E27" t="s">
        <v>2</v>
      </c>
      <c r="F27" t="s">
        <v>3</v>
      </c>
      <c r="G27" s="3">
        <v>19.95</v>
      </c>
      <c r="H27" s="3">
        <v>2.99</v>
      </c>
    </row>
    <row r="28" spans="1:8" x14ac:dyDescent="0.35">
      <c r="A28" t="s">
        <v>173</v>
      </c>
      <c r="B28" t="s">
        <v>1434</v>
      </c>
      <c r="C28" s="1">
        <v>45545</v>
      </c>
      <c r="D28" s="2">
        <v>0.8041666666666667</v>
      </c>
      <c r="E28" t="s">
        <v>2</v>
      </c>
      <c r="F28" t="s">
        <v>3</v>
      </c>
      <c r="G28" s="3">
        <v>13</v>
      </c>
      <c r="H28" s="3">
        <v>1.95</v>
      </c>
    </row>
    <row r="29" spans="1:8" x14ac:dyDescent="0.35">
      <c r="A29" t="s">
        <v>173</v>
      </c>
      <c r="B29" t="s">
        <v>1435</v>
      </c>
      <c r="C29" s="1">
        <v>45546</v>
      </c>
      <c r="D29" s="2">
        <v>9.7222222222222224E-2</v>
      </c>
      <c r="E29" t="s">
        <v>2</v>
      </c>
      <c r="F29" t="s">
        <v>3</v>
      </c>
      <c r="G29" s="3">
        <v>46.88</v>
      </c>
      <c r="H29" s="3">
        <v>7.02</v>
      </c>
    </row>
    <row r="30" spans="1:8" x14ac:dyDescent="0.35">
      <c r="A30" t="s">
        <v>173</v>
      </c>
      <c r="B30" t="s">
        <v>1436</v>
      </c>
      <c r="C30" s="1">
        <v>45547</v>
      </c>
      <c r="D30" s="2">
        <v>0.88055555555555554</v>
      </c>
      <c r="E30" t="s">
        <v>2</v>
      </c>
      <c r="F30" t="s">
        <v>3</v>
      </c>
      <c r="G30" s="3">
        <v>80.05</v>
      </c>
      <c r="H30" s="3">
        <v>11.99</v>
      </c>
    </row>
    <row r="31" spans="1:8" x14ac:dyDescent="0.35">
      <c r="A31" t="s">
        <v>173</v>
      </c>
      <c r="B31" t="s">
        <v>1437</v>
      </c>
      <c r="C31" s="1">
        <v>45547</v>
      </c>
      <c r="D31" s="2">
        <v>0.98611111111111116</v>
      </c>
      <c r="E31" t="s">
        <v>2</v>
      </c>
      <c r="F31" t="s">
        <v>3</v>
      </c>
      <c r="G31" s="3">
        <v>20.56</v>
      </c>
      <c r="H31" s="3">
        <v>3.08</v>
      </c>
    </row>
    <row r="32" spans="1:8" x14ac:dyDescent="0.35">
      <c r="A32" t="s">
        <v>173</v>
      </c>
      <c r="B32" t="s">
        <v>1438</v>
      </c>
      <c r="C32" s="1">
        <v>45550</v>
      </c>
      <c r="D32" s="2">
        <v>0.42152777777777778</v>
      </c>
      <c r="E32" t="s">
        <v>2</v>
      </c>
      <c r="F32" t="s">
        <v>3</v>
      </c>
      <c r="G32" s="3">
        <v>18.190000000000001</v>
      </c>
      <c r="H32" s="3">
        <v>2.72</v>
      </c>
    </row>
    <row r="33" spans="1:8" x14ac:dyDescent="0.35">
      <c r="A33" t="s">
        <v>173</v>
      </c>
      <c r="B33" t="s">
        <v>1439</v>
      </c>
      <c r="C33" s="1">
        <v>45550</v>
      </c>
      <c r="D33" s="2">
        <v>0.46319444444444446</v>
      </c>
      <c r="E33" t="s">
        <v>180</v>
      </c>
      <c r="F33" t="s">
        <v>3</v>
      </c>
      <c r="G33" s="3">
        <v>0.5</v>
      </c>
      <c r="H33" s="3">
        <v>7.0000000000000007E-2</v>
      </c>
    </row>
    <row r="34" spans="1:8" x14ac:dyDescent="0.35">
      <c r="A34" t="s">
        <v>173</v>
      </c>
      <c r="B34" t="s">
        <v>1440</v>
      </c>
      <c r="C34" s="1">
        <v>45552</v>
      </c>
      <c r="D34" s="2">
        <v>0.84027777777777779</v>
      </c>
      <c r="E34" t="s">
        <v>2</v>
      </c>
      <c r="F34" t="s">
        <v>3</v>
      </c>
      <c r="G34" s="3">
        <v>25.98</v>
      </c>
      <c r="H34" s="3">
        <v>3.89</v>
      </c>
    </row>
    <row r="35" spans="1:8" x14ac:dyDescent="0.35">
      <c r="A35" t="s">
        <v>173</v>
      </c>
      <c r="B35" t="s">
        <v>1441</v>
      </c>
      <c r="C35" s="1">
        <v>45554</v>
      </c>
      <c r="D35" s="2">
        <v>0.32361111111111113</v>
      </c>
      <c r="E35" t="s">
        <v>2</v>
      </c>
      <c r="F35" t="s">
        <v>3</v>
      </c>
      <c r="G35" s="3">
        <v>15.6</v>
      </c>
      <c r="H35" s="3">
        <v>2.34</v>
      </c>
    </row>
    <row r="36" spans="1:8" x14ac:dyDescent="0.35">
      <c r="A36" t="s">
        <v>173</v>
      </c>
      <c r="B36" t="s">
        <v>1442</v>
      </c>
      <c r="C36" s="1">
        <v>45554</v>
      </c>
      <c r="D36" s="2">
        <v>0.53749999999999998</v>
      </c>
      <c r="E36" t="s">
        <v>2</v>
      </c>
      <c r="F36" t="s">
        <v>3</v>
      </c>
      <c r="G36" s="3">
        <v>104</v>
      </c>
      <c r="H36" s="3">
        <v>15.57</v>
      </c>
    </row>
    <row r="37" spans="1:8" x14ac:dyDescent="0.35">
      <c r="A37" t="s">
        <v>173</v>
      </c>
      <c r="B37" t="s">
        <v>1443</v>
      </c>
      <c r="C37" s="1">
        <v>45557</v>
      </c>
      <c r="D37" s="2">
        <v>0.96736111111111101</v>
      </c>
      <c r="E37" t="s">
        <v>2</v>
      </c>
      <c r="F37" t="s">
        <v>3</v>
      </c>
      <c r="G37" s="3">
        <v>27.95</v>
      </c>
      <c r="H37" s="3">
        <v>4.1900000000000004</v>
      </c>
    </row>
    <row r="38" spans="1:8" x14ac:dyDescent="0.35">
      <c r="A38" t="s">
        <v>173</v>
      </c>
      <c r="B38" t="s">
        <v>1444</v>
      </c>
      <c r="C38" s="1">
        <v>45557</v>
      </c>
      <c r="D38" s="2">
        <v>0.9590277777777777</v>
      </c>
      <c r="E38" t="s">
        <v>2</v>
      </c>
      <c r="F38" t="s">
        <v>3</v>
      </c>
      <c r="G38" s="3">
        <v>30.7</v>
      </c>
      <c r="H38" s="3">
        <v>4.5999999999999996</v>
      </c>
    </row>
    <row r="39" spans="1:8" x14ac:dyDescent="0.35">
      <c r="A39" t="s">
        <v>173</v>
      </c>
      <c r="B39" t="s">
        <v>1445</v>
      </c>
      <c r="C39" s="1">
        <v>45558</v>
      </c>
      <c r="D39" s="2">
        <v>0.20208333333333331</v>
      </c>
      <c r="E39" t="s">
        <v>2</v>
      </c>
      <c r="F39" t="s">
        <v>3</v>
      </c>
      <c r="G39" s="3">
        <v>63.61</v>
      </c>
      <c r="H39" s="3">
        <v>9.5299999999999994</v>
      </c>
    </row>
    <row r="40" spans="1:8" x14ac:dyDescent="0.35">
      <c r="A40" t="s">
        <v>173</v>
      </c>
      <c r="B40" t="s">
        <v>1446</v>
      </c>
      <c r="C40" s="1">
        <v>45558</v>
      </c>
      <c r="D40" s="2">
        <v>0.74930555555555556</v>
      </c>
      <c r="E40" t="s">
        <v>2</v>
      </c>
      <c r="F40" t="s">
        <v>3</v>
      </c>
      <c r="G40" s="3">
        <v>76.38</v>
      </c>
      <c r="H40" s="3">
        <v>11.44</v>
      </c>
    </row>
    <row r="41" spans="1:8" x14ac:dyDescent="0.35">
      <c r="A41" t="s">
        <v>173</v>
      </c>
      <c r="B41" t="s">
        <v>1447</v>
      </c>
      <c r="C41" s="1">
        <v>45562</v>
      </c>
      <c r="D41" s="2">
        <v>0.21388888888888891</v>
      </c>
      <c r="E41" t="s">
        <v>2</v>
      </c>
      <c r="F41" t="s">
        <v>3</v>
      </c>
      <c r="G41" s="3">
        <v>23.54</v>
      </c>
      <c r="H41" s="3">
        <v>3.53</v>
      </c>
    </row>
    <row r="42" spans="1:8" ht="15" thickBot="1" x14ac:dyDescent="0.4">
      <c r="A42" s="4" t="s">
        <v>173</v>
      </c>
      <c r="B42" s="4" t="s">
        <v>1448</v>
      </c>
      <c r="C42" s="6">
        <v>45563</v>
      </c>
      <c r="D42" s="7">
        <v>0.94791666666666663</v>
      </c>
      <c r="E42" s="4" t="s">
        <v>2</v>
      </c>
      <c r="F42" s="4" t="s">
        <v>3</v>
      </c>
      <c r="G42" s="5">
        <v>62.05</v>
      </c>
      <c r="H42" s="5">
        <v>9.2899999999999991</v>
      </c>
    </row>
    <row r="43" spans="1:8" x14ac:dyDescent="0.35">
      <c r="A43" t="s">
        <v>2230</v>
      </c>
      <c r="G43" s="9">
        <f t="shared" ref="G43:H43" si="1">SUM(G19:G42)</f>
        <v>848.09</v>
      </c>
      <c r="H43" s="9">
        <f t="shared" si="1"/>
        <v>127.01999999999998</v>
      </c>
    </row>
    <row r="45" spans="1:8" ht="15.75" thickBot="1" x14ac:dyDescent="0.3"/>
    <row r="46" spans="1:8" ht="15.75" thickBot="1" x14ac:dyDescent="0.3">
      <c r="A46" s="11" t="s">
        <v>411</v>
      </c>
      <c r="B46" s="12" t="s">
        <v>163</v>
      </c>
      <c r="C46" s="12" t="s">
        <v>165</v>
      </c>
      <c r="D46" s="12" t="s">
        <v>166</v>
      </c>
      <c r="E46" s="12" t="s">
        <v>164</v>
      </c>
      <c r="F46" s="12" t="s">
        <v>167</v>
      </c>
      <c r="G46" s="12" t="s">
        <v>412</v>
      </c>
      <c r="H46" s="13" t="s">
        <v>169</v>
      </c>
    </row>
    <row r="47" spans="1:8" x14ac:dyDescent="0.35">
      <c r="A47" t="s">
        <v>0</v>
      </c>
      <c r="B47" t="s">
        <v>1449</v>
      </c>
      <c r="C47" s="1">
        <v>45536</v>
      </c>
      <c r="D47" s="2">
        <v>0.22083333333333333</v>
      </c>
      <c r="E47" t="s">
        <v>2</v>
      </c>
      <c r="F47" t="s">
        <v>3</v>
      </c>
      <c r="G47" s="3">
        <v>17.93</v>
      </c>
      <c r="H47" s="3">
        <v>2.69</v>
      </c>
    </row>
    <row r="48" spans="1:8" x14ac:dyDescent="0.35">
      <c r="A48" t="s">
        <v>0</v>
      </c>
      <c r="B48" t="s">
        <v>1450</v>
      </c>
      <c r="C48" s="1">
        <v>45539</v>
      </c>
      <c r="D48" s="2">
        <v>0.90347222222222223</v>
      </c>
      <c r="E48" t="s">
        <v>2</v>
      </c>
      <c r="F48" t="s">
        <v>3</v>
      </c>
      <c r="G48" s="3">
        <v>34.340000000000003</v>
      </c>
      <c r="H48" s="3">
        <v>5.14</v>
      </c>
    </row>
    <row r="49" spans="1:8" x14ac:dyDescent="0.35">
      <c r="A49" t="s">
        <v>0</v>
      </c>
      <c r="B49" t="s">
        <v>1451</v>
      </c>
      <c r="C49" s="1">
        <v>45541</v>
      </c>
      <c r="D49" s="2">
        <v>0.13055555555555556</v>
      </c>
      <c r="E49" t="s">
        <v>180</v>
      </c>
      <c r="F49" t="s">
        <v>3</v>
      </c>
      <c r="G49" s="3">
        <v>31.77</v>
      </c>
      <c r="H49" s="3">
        <v>4.76</v>
      </c>
    </row>
    <row r="50" spans="1:8" x14ac:dyDescent="0.35">
      <c r="A50" t="s">
        <v>0</v>
      </c>
      <c r="B50" t="s">
        <v>1452</v>
      </c>
      <c r="C50" s="1">
        <v>45542</v>
      </c>
      <c r="D50" s="2">
        <v>0.91388888888888886</v>
      </c>
      <c r="E50" t="s">
        <v>2</v>
      </c>
      <c r="F50" t="s">
        <v>3</v>
      </c>
      <c r="G50" s="3">
        <v>17.43</v>
      </c>
      <c r="H50" s="3">
        <v>2.61</v>
      </c>
    </row>
    <row r="51" spans="1:8" x14ac:dyDescent="0.35">
      <c r="A51" t="s">
        <v>0</v>
      </c>
      <c r="B51" t="s">
        <v>1453</v>
      </c>
      <c r="C51" s="1">
        <v>45545</v>
      </c>
      <c r="D51" s="2">
        <v>0.92986111111111114</v>
      </c>
      <c r="E51" t="s">
        <v>2</v>
      </c>
      <c r="F51" t="s">
        <v>3</v>
      </c>
      <c r="G51" s="3">
        <v>9.1</v>
      </c>
      <c r="H51" s="3">
        <v>1.36</v>
      </c>
    </row>
    <row r="52" spans="1:8" x14ac:dyDescent="0.35">
      <c r="A52" t="s">
        <v>0</v>
      </c>
      <c r="B52" t="s">
        <v>1454</v>
      </c>
      <c r="C52" s="1">
        <v>45547</v>
      </c>
      <c r="D52" s="2">
        <v>0.47638888888888892</v>
      </c>
      <c r="E52" t="s">
        <v>2</v>
      </c>
      <c r="F52" t="s">
        <v>3</v>
      </c>
      <c r="G52" s="3">
        <v>20.39</v>
      </c>
      <c r="H52" s="3">
        <v>3.05</v>
      </c>
    </row>
    <row r="53" spans="1:8" x14ac:dyDescent="0.35">
      <c r="A53" t="s">
        <v>0</v>
      </c>
      <c r="B53" t="s">
        <v>1455</v>
      </c>
      <c r="C53" s="1">
        <v>45549</v>
      </c>
      <c r="D53" s="2">
        <v>0.75902777777777775</v>
      </c>
      <c r="E53" t="s">
        <v>2</v>
      </c>
      <c r="F53" t="s">
        <v>3</v>
      </c>
      <c r="G53" s="3">
        <v>80.3</v>
      </c>
      <c r="H53" s="3">
        <v>12.02</v>
      </c>
    </row>
    <row r="54" spans="1:8" x14ac:dyDescent="0.35">
      <c r="A54" t="s">
        <v>0</v>
      </c>
      <c r="B54" t="s">
        <v>1456</v>
      </c>
      <c r="C54" s="1">
        <v>45549</v>
      </c>
      <c r="D54" s="2">
        <v>0.91805555555555562</v>
      </c>
      <c r="E54" t="s">
        <v>2</v>
      </c>
      <c r="F54" t="s">
        <v>3</v>
      </c>
      <c r="G54" s="3">
        <v>11.85</v>
      </c>
      <c r="H54" s="3">
        <v>1.77</v>
      </c>
    </row>
    <row r="55" spans="1:8" x14ac:dyDescent="0.35">
      <c r="A55" t="s">
        <v>0</v>
      </c>
      <c r="B55" t="s">
        <v>1457</v>
      </c>
      <c r="C55" s="1">
        <v>45550</v>
      </c>
      <c r="D55" s="2">
        <v>0.57291666666666663</v>
      </c>
      <c r="E55" t="s">
        <v>180</v>
      </c>
      <c r="F55" t="s">
        <v>3</v>
      </c>
      <c r="G55" s="3">
        <v>0.5</v>
      </c>
      <c r="H55" s="3">
        <v>7.0000000000000007E-2</v>
      </c>
    </row>
    <row r="56" spans="1:8" x14ac:dyDescent="0.35">
      <c r="A56" t="s">
        <v>0</v>
      </c>
      <c r="B56" t="s">
        <v>1458</v>
      </c>
      <c r="C56" s="1">
        <v>45553</v>
      </c>
      <c r="D56" s="2">
        <v>0.3743055555555555</v>
      </c>
      <c r="E56" t="s">
        <v>2</v>
      </c>
      <c r="F56" t="s">
        <v>3</v>
      </c>
      <c r="G56" s="3">
        <v>22.09</v>
      </c>
      <c r="H56" s="3">
        <v>3.31</v>
      </c>
    </row>
    <row r="57" spans="1:8" x14ac:dyDescent="0.35">
      <c r="A57" t="s">
        <v>0</v>
      </c>
      <c r="B57" t="s">
        <v>1459</v>
      </c>
      <c r="C57" s="1">
        <v>45557</v>
      </c>
      <c r="D57" s="2">
        <v>0.94652777777777775</v>
      </c>
      <c r="E57" t="s">
        <v>2</v>
      </c>
      <c r="F57" t="s">
        <v>3</v>
      </c>
      <c r="G57" s="3">
        <v>17.899999999999999</v>
      </c>
      <c r="H57" s="3">
        <v>2.68</v>
      </c>
    </row>
    <row r="58" spans="1:8" x14ac:dyDescent="0.35">
      <c r="A58" t="s">
        <v>0</v>
      </c>
      <c r="B58" t="s">
        <v>1460</v>
      </c>
      <c r="C58" s="1">
        <v>45560</v>
      </c>
      <c r="D58" s="2">
        <v>0.98263888888888884</v>
      </c>
      <c r="E58" t="s">
        <v>2</v>
      </c>
      <c r="F58" t="s">
        <v>3</v>
      </c>
      <c r="G58" s="3">
        <v>37.19</v>
      </c>
      <c r="H58" s="3">
        <v>5.57</v>
      </c>
    </row>
    <row r="59" spans="1:8" x14ac:dyDescent="0.35">
      <c r="A59" t="s">
        <v>0</v>
      </c>
      <c r="B59" t="s">
        <v>1461</v>
      </c>
      <c r="C59" s="1">
        <v>45562</v>
      </c>
      <c r="D59" s="2">
        <v>3.888888888888889E-2</v>
      </c>
      <c r="E59" t="s">
        <v>180</v>
      </c>
      <c r="F59" t="s">
        <v>3</v>
      </c>
      <c r="G59" s="3">
        <v>0.5</v>
      </c>
      <c r="H59" s="3">
        <v>7.0000000000000007E-2</v>
      </c>
    </row>
    <row r="60" spans="1:8" x14ac:dyDescent="0.35">
      <c r="A60" t="s">
        <v>0</v>
      </c>
      <c r="B60" t="s">
        <v>1462</v>
      </c>
      <c r="C60" s="1">
        <v>45562</v>
      </c>
      <c r="D60" s="2">
        <v>4.027777777777778E-2</v>
      </c>
      <c r="E60" t="s">
        <v>180</v>
      </c>
      <c r="F60" t="s">
        <v>3</v>
      </c>
      <c r="G60" s="3">
        <v>0.5</v>
      </c>
      <c r="H60" s="3">
        <v>7.0000000000000007E-2</v>
      </c>
    </row>
    <row r="61" spans="1:8" x14ac:dyDescent="0.35">
      <c r="A61" t="s">
        <v>0</v>
      </c>
      <c r="B61" t="s">
        <v>1463</v>
      </c>
      <c r="C61" s="1">
        <v>45562</v>
      </c>
      <c r="D61" s="2">
        <v>4.2361111111111106E-2</v>
      </c>
      <c r="E61" t="s">
        <v>180</v>
      </c>
      <c r="F61" t="s">
        <v>3</v>
      </c>
      <c r="G61" s="3">
        <v>0.5</v>
      </c>
      <c r="H61" s="3">
        <v>7.0000000000000007E-2</v>
      </c>
    </row>
    <row r="62" spans="1:8" ht="15" thickBot="1" x14ac:dyDescent="0.4">
      <c r="A62" s="4" t="s">
        <v>0</v>
      </c>
      <c r="B62" s="4" t="s">
        <v>1464</v>
      </c>
      <c r="C62" s="6">
        <v>45562</v>
      </c>
      <c r="D62" s="7">
        <v>0.93125000000000002</v>
      </c>
      <c r="E62" s="4" t="s">
        <v>2</v>
      </c>
      <c r="F62" s="4" t="s">
        <v>3</v>
      </c>
      <c r="G62" s="5">
        <v>15.6</v>
      </c>
      <c r="H62" s="5">
        <v>2.34</v>
      </c>
    </row>
    <row r="63" spans="1:8" x14ac:dyDescent="0.35">
      <c r="A63" t="s">
        <v>2230</v>
      </c>
      <c r="G63" s="9">
        <f t="shared" ref="G63:H63" si="2">SUM(G47:G62)</f>
        <v>317.89</v>
      </c>
      <c r="H63" s="9">
        <f t="shared" si="2"/>
        <v>47.58</v>
      </c>
    </row>
    <row r="65" spans="1:8" ht="15.75" thickBot="1" x14ac:dyDescent="0.3"/>
    <row r="66" spans="1:8" ht="15.75" thickBot="1" x14ac:dyDescent="0.3">
      <c r="A66" s="11" t="s">
        <v>411</v>
      </c>
      <c r="B66" s="12" t="s">
        <v>163</v>
      </c>
      <c r="C66" s="12" t="s">
        <v>165</v>
      </c>
      <c r="D66" s="12" t="s">
        <v>166</v>
      </c>
      <c r="E66" s="12" t="s">
        <v>164</v>
      </c>
      <c r="F66" s="12" t="s">
        <v>167</v>
      </c>
      <c r="G66" s="12" t="s">
        <v>412</v>
      </c>
      <c r="H66" s="13" t="s">
        <v>169</v>
      </c>
    </row>
    <row r="67" spans="1:8" ht="15" x14ac:dyDescent="0.25">
      <c r="A67" t="s">
        <v>496</v>
      </c>
      <c r="B67" t="s">
        <v>1465</v>
      </c>
      <c r="C67" s="1">
        <v>45537</v>
      </c>
      <c r="D67" s="2">
        <v>0.14444444444444446</v>
      </c>
      <c r="E67" t="s">
        <v>2</v>
      </c>
      <c r="F67" t="s">
        <v>3</v>
      </c>
      <c r="G67" s="3">
        <v>18.2</v>
      </c>
      <c r="H67" s="3">
        <v>2.73</v>
      </c>
    </row>
    <row r="68" spans="1:8" ht="15" x14ac:dyDescent="0.25">
      <c r="A68" t="s">
        <v>496</v>
      </c>
      <c r="B68" t="s">
        <v>1466</v>
      </c>
      <c r="C68" s="1">
        <v>45537</v>
      </c>
      <c r="D68" s="2">
        <v>0.16597222222222222</v>
      </c>
      <c r="E68" t="s">
        <v>2</v>
      </c>
      <c r="F68" t="s">
        <v>3</v>
      </c>
      <c r="G68" s="3">
        <v>35.090000000000003</v>
      </c>
      <c r="H68" s="3">
        <v>5.25</v>
      </c>
    </row>
    <row r="69" spans="1:8" ht="15" x14ac:dyDescent="0.25">
      <c r="A69" t="s">
        <v>496</v>
      </c>
      <c r="B69" t="s">
        <v>1467</v>
      </c>
      <c r="C69" s="1">
        <v>45537</v>
      </c>
      <c r="D69" s="2">
        <v>0.75486111111111109</v>
      </c>
      <c r="E69" t="s">
        <v>2</v>
      </c>
      <c r="F69" t="s">
        <v>3</v>
      </c>
      <c r="G69" s="3">
        <v>40.29</v>
      </c>
      <c r="H69" s="3">
        <v>6.03</v>
      </c>
    </row>
    <row r="70" spans="1:8" ht="15" x14ac:dyDescent="0.25">
      <c r="A70" t="s">
        <v>496</v>
      </c>
      <c r="B70" t="s">
        <v>1468</v>
      </c>
      <c r="C70" s="1">
        <v>45550</v>
      </c>
      <c r="D70" s="2">
        <v>0.45833333333333331</v>
      </c>
      <c r="E70" t="s">
        <v>180</v>
      </c>
      <c r="F70" t="s">
        <v>3</v>
      </c>
      <c r="G70" s="3">
        <v>0.5</v>
      </c>
      <c r="H70" s="3">
        <v>7.0000000000000007E-2</v>
      </c>
    </row>
    <row r="71" spans="1:8" x14ac:dyDescent="0.35">
      <c r="A71" t="s">
        <v>496</v>
      </c>
      <c r="B71" t="s">
        <v>1469</v>
      </c>
      <c r="C71" s="1">
        <v>45557</v>
      </c>
      <c r="D71" s="2">
        <v>0.17013888888888887</v>
      </c>
      <c r="E71" t="s">
        <v>2</v>
      </c>
      <c r="F71" t="s">
        <v>3</v>
      </c>
      <c r="G71" s="3">
        <v>35.090000000000003</v>
      </c>
      <c r="H71" s="3">
        <v>5.25</v>
      </c>
    </row>
    <row r="72" spans="1:8" ht="15" thickBot="1" x14ac:dyDescent="0.4">
      <c r="A72" s="4" t="s">
        <v>496</v>
      </c>
      <c r="B72" s="4" t="s">
        <v>1470</v>
      </c>
      <c r="C72" s="6">
        <v>45558</v>
      </c>
      <c r="D72" s="7">
        <v>0.21875</v>
      </c>
      <c r="E72" s="4" t="s">
        <v>2</v>
      </c>
      <c r="F72" s="4" t="s">
        <v>3</v>
      </c>
      <c r="G72" s="5">
        <v>27.3</v>
      </c>
      <c r="H72" s="5">
        <v>4.09</v>
      </c>
    </row>
    <row r="73" spans="1:8" x14ac:dyDescent="0.35">
      <c r="A73" t="s">
        <v>2230</v>
      </c>
      <c r="G73" s="9">
        <f t="shared" ref="G73:H73" si="3">SUM(G67:G72)</f>
        <v>156.47000000000003</v>
      </c>
      <c r="H73" s="9">
        <f t="shared" si="3"/>
        <v>23.42</v>
      </c>
    </row>
    <row r="75" spans="1:8" ht="15.75" thickBot="1" x14ac:dyDescent="0.3"/>
    <row r="76" spans="1:8" ht="15.75" thickBot="1" x14ac:dyDescent="0.3">
      <c r="A76" s="11" t="s">
        <v>411</v>
      </c>
      <c r="B76" s="12" t="s">
        <v>163</v>
      </c>
      <c r="C76" s="12" t="s">
        <v>165</v>
      </c>
      <c r="D76" s="12" t="s">
        <v>166</v>
      </c>
      <c r="E76" s="12" t="s">
        <v>164</v>
      </c>
      <c r="F76" s="12" t="s">
        <v>167</v>
      </c>
      <c r="G76" s="12" t="s">
        <v>412</v>
      </c>
      <c r="H76" s="13" t="s">
        <v>169</v>
      </c>
    </row>
    <row r="77" spans="1:8" x14ac:dyDescent="0.35">
      <c r="A77" t="s">
        <v>33</v>
      </c>
      <c r="B77" t="s">
        <v>1471</v>
      </c>
      <c r="C77" s="1">
        <v>45537</v>
      </c>
      <c r="D77" s="2">
        <v>0.45902777777777781</v>
      </c>
      <c r="E77" t="s">
        <v>2</v>
      </c>
      <c r="F77" t="s">
        <v>3</v>
      </c>
      <c r="G77" s="3">
        <v>31.32</v>
      </c>
      <c r="H77" s="3">
        <v>4.6900000000000004</v>
      </c>
    </row>
    <row r="78" spans="1:8" x14ac:dyDescent="0.35">
      <c r="A78" t="s">
        <v>33</v>
      </c>
      <c r="B78" t="s">
        <v>1472</v>
      </c>
      <c r="C78" s="1">
        <v>45537</v>
      </c>
      <c r="D78" s="2">
        <v>0.95624999999999993</v>
      </c>
      <c r="E78" t="s">
        <v>2</v>
      </c>
      <c r="F78" t="s">
        <v>3</v>
      </c>
      <c r="G78" s="3">
        <v>3.45</v>
      </c>
      <c r="H78" s="3">
        <v>0.52</v>
      </c>
    </row>
    <row r="79" spans="1:8" x14ac:dyDescent="0.35">
      <c r="A79" t="s">
        <v>33</v>
      </c>
      <c r="B79" t="s">
        <v>1473</v>
      </c>
      <c r="C79" s="1">
        <v>45537</v>
      </c>
      <c r="D79" s="2">
        <v>0.95486111111111116</v>
      </c>
      <c r="E79" t="s">
        <v>2</v>
      </c>
      <c r="F79" t="s">
        <v>3</v>
      </c>
      <c r="G79" s="3">
        <v>89.03</v>
      </c>
      <c r="H79" s="3">
        <v>13.33</v>
      </c>
    </row>
    <row r="80" spans="1:8" x14ac:dyDescent="0.35">
      <c r="A80" t="s">
        <v>33</v>
      </c>
      <c r="B80" t="s">
        <v>1474</v>
      </c>
      <c r="C80" s="1">
        <v>45538</v>
      </c>
      <c r="D80" s="2">
        <v>0.31319444444444444</v>
      </c>
      <c r="E80" t="s">
        <v>2</v>
      </c>
      <c r="F80" t="s">
        <v>3</v>
      </c>
      <c r="G80" s="3">
        <v>26.08</v>
      </c>
      <c r="H80" s="3">
        <v>3.91</v>
      </c>
    </row>
    <row r="81" spans="1:8" x14ac:dyDescent="0.35">
      <c r="A81" t="s">
        <v>33</v>
      </c>
      <c r="B81" t="s">
        <v>1475</v>
      </c>
      <c r="C81" s="1">
        <v>45540</v>
      </c>
      <c r="D81" s="2">
        <v>0.8027777777777777</v>
      </c>
      <c r="E81" t="s">
        <v>2</v>
      </c>
      <c r="F81" t="s">
        <v>3</v>
      </c>
      <c r="G81" s="3">
        <v>11.69</v>
      </c>
      <c r="H81" s="3">
        <v>1.75</v>
      </c>
    </row>
    <row r="82" spans="1:8" x14ac:dyDescent="0.35">
      <c r="A82" t="s">
        <v>33</v>
      </c>
      <c r="B82" t="s">
        <v>1476</v>
      </c>
      <c r="C82" s="1">
        <v>45540</v>
      </c>
      <c r="D82" s="2">
        <v>0.91041666666666676</v>
      </c>
      <c r="E82" t="s">
        <v>2</v>
      </c>
      <c r="F82" t="s">
        <v>3</v>
      </c>
      <c r="G82" s="3">
        <v>19.22</v>
      </c>
      <c r="H82" s="3">
        <v>2.88</v>
      </c>
    </row>
    <row r="83" spans="1:8" x14ac:dyDescent="0.35">
      <c r="A83" t="s">
        <v>33</v>
      </c>
      <c r="B83" t="s">
        <v>1477</v>
      </c>
      <c r="C83" s="1">
        <v>45540</v>
      </c>
      <c r="D83" s="2">
        <v>0.96805555555555556</v>
      </c>
      <c r="E83" t="s">
        <v>2</v>
      </c>
      <c r="F83" t="s">
        <v>3</v>
      </c>
      <c r="G83" s="3">
        <v>73.510000000000005</v>
      </c>
      <c r="H83" s="3">
        <v>11.01</v>
      </c>
    </row>
    <row r="84" spans="1:8" x14ac:dyDescent="0.35">
      <c r="A84" t="s">
        <v>33</v>
      </c>
      <c r="B84" t="s">
        <v>1478</v>
      </c>
      <c r="C84" s="1">
        <v>45542</v>
      </c>
      <c r="D84" s="2">
        <v>0.36458333333333331</v>
      </c>
      <c r="E84" t="s">
        <v>2</v>
      </c>
      <c r="F84" t="s">
        <v>3</v>
      </c>
      <c r="G84" s="3">
        <v>17.559999999999999</v>
      </c>
      <c r="H84" s="3">
        <v>2.63</v>
      </c>
    </row>
    <row r="85" spans="1:8" x14ac:dyDescent="0.35">
      <c r="A85" t="s">
        <v>33</v>
      </c>
      <c r="B85" t="s">
        <v>1479</v>
      </c>
      <c r="C85" s="1">
        <v>45542</v>
      </c>
      <c r="D85" s="2">
        <v>0.93402777777777779</v>
      </c>
      <c r="E85" t="s">
        <v>2</v>
      </c>
      <c r="F85" t="s">
        <v>3</v>
      </c>
      <c r="G85" s="3">
        <v>20.88</v>
      </c>
      <c r="H85" s="3">
        <v>3.13</v>
      </c>
    </row>
    <row r="86" spans="1:8" x14ac:dyDescent="0.35">
      <c r="A86" t="s">
        <v>33</v>
      </c>
      <c r="B86" t="s">
        <v>1480</v>
      </c>
      <c r="C86" s="1">
        <v>45544</v>
      </c>
      <c r="D86" s="2">
        <v>9.3055555555555558E-2</v>
      </c>
      <c r="E86" t="s">
        <v>2</v>
      </c>
      <c r="F86" t="s">
        <v>3</v>
      </c>
      <c r="G86" s="3">
        <v>31.32</v>
      </c>
      <c r="H86" s="3">
        <v>4.6900000000000004</v>
      </c>
    </row>
    <row r="87" spans="1:8" x14ac:dyDescent="0.35">
      <c r="A87" t="s">
        <v>33</v>
      </c>
      <c r="B87" t="s">
        <v>1481</v>
      </c>
      <c r="C87" s="1">
        <v>45547</v>
      </c>
      <c r="D87" s="2">
        <v>5.9722222222222225E-2</v>
      </c>
      <c r="E87" t="s">
        <v>180</v>
      </c>
      <c r="F87" t="s">
        <v>3</v>
      </c>
      <c r="G87" s="3">
        <v>26.32</v>
      </c>
      <c r="H87" s="3">
        <v>3.94</v>
      </c>
    </row>
    <row r="88" spans="1:8" x14ac:dyDescent="0.35">
      <c r="A88" t="s">
        <v>33</v>
      </c>
      <c r="B88" t="s">
        <v>1482</v>
      </c>
      <c r="C88" s="1">
        <v>45548</v>
      </c>
      <c r="D88" s="2">
        <v>4.0972222222222222E-2</v>
      </c>
      <c r="E88" t="s">
        <v>2</v>
      </c>
      <c r="F88" t="s">
        <v>3</v>
      </c>
      <c r="G88" s="3">
        <v>12.72</v>
      </c>
      <c r="H88" s="3">
        <v>1.9</v>
      </c>
    </row>
    <row r="89" spans="1:8" x14ac:dyDescent="0.35">
      <c r="A89" t="s">
        <v>33</v>
      </c>
      <c r="B89" t="s">
        <v>1483</v>
      </c>
      <c r="C89" s="1">
        <v>45548</v>
      </c>
      <c r="D89" s="2">
        <v>0.85416666666666663</v>
      </c>
      <c r="E89" t="s">
        <v>2</v>
      </c>
      <c r="F89" t="s">
        <v>3</v>
      </c>
      <c r="G89" s="3">
        <v>29.13</v>
      </c>
      <c r="H89" s="3">
        <v>4.3600000000000003</v>
      </c>
    </row>
    <row r="90" spans="1:8" x14ac:dyDescent="0.35">
      <c r="A90" t="s">
        <v>33</v>
      </c>
      <c r="B90" t="s">
        <v>1484</v>
      </c>
      <c r="C90" s="1">
        <v>45549</v>
      </c>
      <c r="D90" s="2">
        <v>3.4027777777777775E-2</v>
      </c>
      <c r="E90" t="s">
        <v>2</v>
      </c>
      <c r="F90" t="s">
        <v>3</v>
      </c>
      <c r="G90" s="3">
        <v>11.04</v>
      </c>
      <c r="H90" s="3">
        <v>1.65</v>
      </c>
    </row>
    <row r="91" spans="1:8" x14ac:dyDescent="0.35">
      <c r="A91" t="s">
        <v>33</v>
      </c>
      <c r="B91" t="s">
        <v>1485</v>
      </c>
      <c r="C91" s="1">
        <v>45552</v>
      </c>
      <c r="D91" s="2">
        <v>0.14861111111111111</v>
      </c>
      <c r="E91" t="s">
        <v>2</v>
      </c>
      <c r="F91" t="s">
        <v>3</v>
      </c>
      <c r="G91" s="3">
        <v>14.8</v>
      </c>
      <c r="H91" s="3">
        <v>2.2200000000000002</v>
      </c>
    </row>
    <row r="92" spans="1:8" x14ac:dyDescent="0.35">
      <c r="A92" t="s">
        <v>33</v>
      </c>
      <c r="B92" t="s">
        <v>1486</v>
      </c>
      <c r="C92" s="1">
        <v>45553</v>
      </c>
      <c r="D92" s="2">
        <v>6.805555555555555E-2</v>
      </c>
      <c r="E92" t="s">
        <v>2</v>
      </c>
      <c r="F92" t="s">
        <v>3</v>
      </c>
      <c r="G92" s="3">
        <v>49.01</v>
      </c>
      <c r="H92" s="3">
        <v>7.34</v>
      </c>
    </row>
    <row r="93" spans="1:8" x14ac:dyDescent="0.35">
      <c r="A93" t="s">
        <v>33</v>
      </c>
      <c r="B93" t="s">
        <v>1487</v>
      </c>
      <c r="C93" s="1">
        <v>45553</v>
      </c>
      <c r="D93" s="2">
        <v>0.82500000000000007</v>
      </c>
      <c r="E93" t="s">
        <v>2</v>
      </c>
      <c r="F93" t="s">
        <v>3</v>
      </c>
      <c r="G93" s="3">
        <v>53.98</v>
      </c>
      <c r="H93" s="3">
        <v>8.08</v>
      </c>
    </row>
    <row r="94" spans="1:8" x14ac:dyDescent="0.35">
      <c r="A94" t="s">
        <v>33</v>
      </c>
      <c r="B94" t="s">
        <v>1488</v>
      </c>
      <c r="C94" s="1">
        <v>45558</v>
      </c>
      <c r="D94" s="2">
        <v>0.26180555555555557</v>
      </c>
      <c r="E94" t="s">
        <v>2</v>
      </c>
      <c r="F94" t="s">
        <v>3</v>
      </c>
      <c r="G94" s="3">
        <v>33.92</v>
      </c>
      <c r="H94" s="3">
        <v>5.08</v>
      </c>
    </row>
    <row r="95" spans="1:8" x14ac:dyDescent="0.35">
      <c r="A95" t="s">
        <v>33</v>
      </c>
      <c r="B95" t="s">
        <v>1489</v>
      </c>
      <c r="C95" s="1">
        <v>45558</v>
      </c>
      <c r="D95" s="2">
        <v>0.73541666666666661</v>
      </c>
      <c r="E95" t="s">
        <v>2</v>
      </c>
      <c r="F95" t="s">
        <v>3</v>
      </c>
      <c r="G95" s="3">
        <v>44.96</v>
      </c>
      <c r="H95" s="3">
        <v>6.73</v>
      </c>
    </row>
    <row r="96" spans="1:8" x14ac:dyDescent="0.35">
      <c r="A96" t="s">
        <v>33</v>
      </c>
      <c r="B96" t="s">
        <v>1490</v>
      </c>
      <c r="C96" s="1">
        <v>45560</v>
      </c>
      <c r="D96" s="2">
        <v>0.14027777777777778</v>
      </c>
      <c r="E96" t="s">
        <v>2</v>
      </c>
      <c r="F96" t="s">
        <v>3</v>
      </c>
      <c r="G96" s="3">
        <v>45.92</v>
      </c>
      <c r="H96" s="3">
        <v>6.88</v>
      </c>
    </row>
    <row r="97" spans="1:8" x14ac:dyDescent="0.35">
      <c r="A97" t="s">
        <v>33</v>
      </c>
      <c r="B97" t="s">
        <v>1491</v>
      </c>
      <c r="C97" s="1">
        <v>45563</v>
      </c>
      <c r="D97" s="2">
        <v>0.45208333333333334</v>
      </c>
      <c r="E97" t="s">
        <v>2</v>
      </c>
      <c r="F97" t="s">
        <v>3</v>
      </c>
      <c r="G97" s="3">
        <v>31.61</v>
      </c>
      <c r="H97" s="3">
        <v>4.7300000000000004</v>
      </c>
    </row>
    <row r="98" spans="1:8" x14ac:dyDescent="0.35">
      <c r="A98" t="s">
        <v>33</v>
      </c>
      <c r="B98" t="s">
        <v>1492</v>
      </c>
      <c r="C98" s="1">
        <v>45563</v>
      </c>
      <c r="D98" s="2">
        <v>0.90972222222222221</v>
      </c>
      <c r="E98" t="s">
        <v>2</v>
      </c>
      <c r="F98" t="s">
        <v>3</v>
      </c>
      <c r="G98" s="3">
        <v>34.520000000000003</v>
      </c>
      <c r="H98" s="3">
        <v>5.17</v>
      </c>
    </row>
    <row r="99" spans="1:8" x14ac:dyDescent="0.35">
      <c r="A99" t="s">
        <v>33</v>
      </c>
      <c r="B99" t="s">
        <v>1493</v>
      </c>
      <c r="C99" s="1">
        <v>45565</v>
      </c>
      <c r="D99" s="2">
        <v>0.79305555555555562</v>
      </c>
      <c r="E99" t="s">
        <v>2</v>
      </c>
      <c r="F99" t="s">
        <v>3</v>
      </c>
      <c r="G99" s="3">
        <v>30.91</v>
      </c>
      <c r="H99" s="3">
        <v>4.63</v>
      </c>
    </row>
    <row r="100" spans="1:8" ht="15" thickBot="1" x14ac:dyDescent="0.4">
      <c r="A100" s="4" t="s">
        <v>33</v>
      </c>
      <c r="B100" s="4" t="s">
        <v>1494</v>
      </c>
      <c r="C100" s="6">
        <v>45565</v>
      </c>
      <c r="D100" s="7">
        <v>0.95763888888888893</v>
      </c>
      <c r="E100" s="4" t="s">
        <v>2</v>
      </c>
      <c r="F100" s="4" t="s">
        <v>3</v>
      </c>
      <c r="G100" s="5">
        <v>8.15</v>
      </c>
      <c r="H100" s="5">
        <v>1.22</v>
      </c>
    </row>
    <row r="101" spans="1:8" x14ac:dyDescent="0.35">
      <c r="A101" t="s">
        <v>2230</v>
      </c>
      <c r="G101" s="9">
        <f t="shared" ref="G101:H101" si="4">SUM(G77:G100)</f>
        <v>751.05</v>
      </c>
      <c r="H101" s="9">
        <f t="shared" si="4"/>
        <v>112.46999999999998</v>
      </c>
    </row>
    <row r="103" spans="1:8" ht="15.75" thickBot="1" x14ac:dyDescent="0.3"/>
    <row r="104" spans="1:8" ht="15.75" thickBot="1" x14ac:dyDescent="0.3">
      <c r="A104" s="11" t="s">
        <v>411</v>
      </c>
      <c r="B104" s="12" t="s">
        <v>163</v>
      </c>
      <c r="C104" s="12" t="s">
        <v>165</v>
      </c>
      <c r="D104" s="12" t="s">
        <v>166</v>
      </c>
      <c r="E104" s="12" t="s">
        <v>164</v>
      </c>
      <c r="F104" s="12" t="s">
        <v>167</v>
      </c>
      <c r="G104" s="12" t="s">
        <v>412</v>
      </c>
      <c r="H104" s="13" t="s">
        <v>169</v>
      </c>
    </row>
    <row r="105" spans="1:8" x14ac:dyDescent="0.35">
      <c r="A105" t="s">
        <v>246</v>
      </c>
      <c r="B105" t="s">
        <v>1495</v>
      </c>
      <c r="C105" s="1">
        <v>45536</v>
      </c>
      <c r="D105" s="2">
        <v>0.75</v>
      </c>
      <c r="E105" t="s">
        <v>2</v>
      </c>
      <c r="F105" t="s">
        <v>3</v>
      </c>
      <c r="G105" s="3">
        <v>18.079999999999998</v>
      </c>
      <c r="H105" s="3">
        <v>2.71</v>
      </c>
    </row>
    <row r="106" spans="1:8" x14ac:dyDescent="0.35">
      <c r="A106" t="s">
        <v>246</v>
      </c>
      <c r="B106" t="s">
        <v>1496</v>
      </c>
      <c r="C106" s="1">
        <v>45536</v>
      </c>
      <c r="D106" s="2">
        <v>0.87083333333333324</v>
      </c>
      <c r="E106" t="s">
        <v>2</v>
      </c>
      <c r="F106" t="s">
        <v>3</v>
      </c>
      <c r="G106" s="3">
        <v>18.100000000000001</v>
      </c>
      <c r="H106" s="3">
        <v>2.71</v>
      </c>
    </row>
    <row r="107" spans="1:8" x14ac:dyDescent="0.35">
      <c r="A107" t="s">
        <v>246</v>
      </c>
      <c r="B107" t="s">
        <v>1497</v>
      </c>
      <c r="C107" s="1">
        <v>45536</v>
      </c>
      <c r="D107" s="2">
        <v>0.95277777777777783</v>
      </c>
      <c r="E107" t="s">
        <v>2</v>
      </c>
      <c r="F107" t="s">
        <v>3</v>
      </c>
      <c r="G107" s="3">
        <v>14</v>
      </c>
      <c r="H107" s="3">
        <v>2.1</v>
      </c>
    </row>
    <row r="108" spans="1:8" x14ac:dyDescent="0.35">
      <c r="A108" t="s">
        <v>246</v>
      </c>
      <c r="B108" t="s">
        <v>1498</v>
      </c>
      <c r="C108" s="1">
        <v>45537</v>
      </c>
      <c r="D108" s="2">
        <v>0.40833333333333338</v>
      </c>
      <c r="E108" t="s">
        <v>2</v>
      </c>
      <c r="F108" t="s">
        <v>3</v>
      </c>
      <c r="G108" s="3">
        <v>18.2</v>
      </c>
      <c r="H108" s="3">
        <v>2.73</v>
      </c>
    </row>
    <row r="109" spans="1:8" x14ac:dyDescent="0.35">
      <c r="A109" t="s">
        <v>246</v>
      </c>
      <c r="B109" t="s">
        <v>1499</v>
      </c>
      <c r="C109" s="1">
        <v>45537</v>
      </c>
      <c r="D109" s="2">
        <v>0.77361111111111114</v>
      </c>
      <c r="E109" t="s">
        <v>2</v>
      </c>
      <c r="F109" t="s">
        <v>3</v>
      </c>
      <c r="G109" s="3">
        <v>13.68</v>
      </c>
      <c r="H109" s="3">
        <v>2.0499999999999998</v>
      </c>
    </row>
    <row r="110" spans="1:8" x14ac:dyDescent="0.35">
      <c r="A110" t="s">
        <v>246</v>
      </c>
      <c r="B110" t="s">
        <v>1500</v>
      </c>
      <c r="C110" s="1">
        <v>45537</v>
      </c>
      <c r="D110" s="2">
        <v>0.8208333333333333</v>
      </c>
      <c r="E110" t="s">
        <v>2</v>
      </c>
      <c r="F110" t="s">
        <v>3</v>
      </c>
      <c r="G110" s="3">
        <v>26.25</v>
      </c>
      <c r="H110" s="3">
        <v>3.93</v>
      </c>
    </row>
    <row r="111" spans="1:8" x14ac:dyDescent="0.35">
      <c r="A111" t="s">
        <v>246</v>
      </c>
      <c r="B111" t="s">
        <v>1501</v>
      </c>
      <c r="C111" s="1">
        <v>45537</v>
      </c>
      <c r="D111" s="2">
        <v>0.83194444444444438</v>
      </c>
      <c r="E111" t="s">
        <v>2</v>
      </c>
      <c r="F111" t="s">
        <v>3</v>
      </c>
      <c r="G111" s="3">
        <v>22.55</v>
      </c>
      <c r="H111" s="3">
        <v>3.38</v>
      </c>
    </row>
    <row r="112" spans="1:8" x14ac:dyDescent="0.35">
      <c r="A112" t="s">
        <v>246</v>
      </c>
      <c r="B112" t="s">
        <v>1502</v>
      </c>
      <c r="C112" s="1">
        <v>45541</v>
      </c>
      <c r="D112" s="2">
        <v>1.4583333333333332E-2</v>
      </c>
      <c r="E112" t="s">
        <v>2</v>
      </c>
      <c r="F112" t="s">
        <v>3</v>
      </c>
      <c r="G112" s="3">
        <v>9</v>
      </c>
      <c r="H112" s="3">
        <v>1.35</v>
      </c>
    </row>
    <row r="113" spans="1:8" x14ac:dyDescent="0.35">
      <c r="A113" t="s">
        <v>246</v>
      </c>
      <c r="B113" t="s">
        <v>1503</v>
      </c>
      <c r="C113" s="1">
        <v>45543</v>
      </c>
      <c r="D113" s="2">
        <v>0.13402777777777777</v>
      </c>
      <c r="E113" t="s">
        <v>2</v>
      </c>
      <c r="F113" t="s">
        <v>3</v>
      </c>
      <c r="G113" s="3">
        <v>20.83</v>
      </c>
      <c r="H113" s="3">
        <v>3.12</v>
      </c>
    </row>
    <row r="114" spans="1:8" x14ac:dyDescent="0.35">
      <c r="A114" t="s">
        <v>246</v>
      </c>
      <c r="B114" t="s">
        <v>1504</v>
      </c>
      <c r="C114" s="1">
        <v>45545</v>
      </c>
      <c r="D114" s="2">
        <v>0.13749999999999998</v>
      </c>
      <c r="E114" t="s">
        <v>2</v>
      </c>
      <c r="F114" t="s">
        <v>3</v>
      </c>
      <c r="G114" s="3">
        <v>5.4</v>
      </c>
      <c r="H114" s="3">
        <v>0.81</v>
      </c>
    </row>
    <row r="115" spans="1:8" x14ac:dyDescent="0.35">
      <c r="A115" t="s">
        <v>246</v>
      </c>
      <c r="B115" t="s">
        <v>1505</v>
      </c>
      <c r="C115" s="1">
        <v>45548</v>
      </c>
      <c r="D115" s="2">
        <v>8.6111111111111124E-2</v>
      </c>
      <c r="E115" t="s">
        <v>2</v>
      </c>
      <c r="F115" t="s">
        <v>3</v>
      </c>
      <c r="G115" s="3">
        <v>23.4</v>
      </c>
      <c r="H115" s="3">
        <v>3.5</v>
      </c>
    </row>
    <row r="116" spans="1:8" x14ac:dyDescent="0.35">
      <c r="A116" t="s">
        <v>246</v>
      </c>
      <c r="B116" t="s">
        <v>1506</v>
      </c>
      <c r="C116" s="1">
        <v>45549</v>
      </c>
      <c r="D116" s="2">
        <v>0.96319444444444446</v>
      </c>
      <c r="E116" t="s">
        <v>2</v>
      </c>
      <c r="F116" t="s">
        <v>3</v>
      </c>
      <c r="G116" s="3">
        <v>8.4700000000000006</v>
      </c>
      <c r="H116" s="3">
        <v>1.27</v>
      </c>
    </row>
    <row r="117" spans="1:8" x14ac:dyDescent="0.35">
      <c r="A117" t="s">
        <v>246</v>
      </c>
      <c r="B117" t="s">
        <v>1507</v>
      </c>
      <c r="C117" s="1">
        <v>45551</v>
      </c>
      <c r="D117" s="2">
        <v>3.4027777777777775E-2</v>
      </c>
      <c r="E117" t="s">
        <v>2</v>
      </c>
      <c r="F117" t="s">
        <v>3</v>
      </c>
      <c r="G117" s="3">
        <v>12.99</v>
      </c>
      <c r="H117" s="3">
        <v>1.95</v>
      </c>
    </row>
    <row r="118" spans="1:8" x14ac:dyDescent="0.35">
      <c r="A118" t="s">
        <v>246</v>
      </c>
      <c r="B118" t="s">
        <v>1508</v>
      </c>
      <c r="C118" s="1">
        <v>45552</v>
      </c>
      <c r="D118" s="2">
        <v>0.84166666666666667</v>
      </c>
      <c r="E118" t="s">
        <v>2</v>
      </c>
      <c r="F118" t="s">
        <v>3</v>
      </c>
      <c r="G118" s="3">
        <v>18</v>
      </c>
      <c r="H118" s="3">
        <v>2.7</v>
      </c>
    </row>
    <row r="119" spans="1:8" x14ac:dyDescent="0.35">
      <c r="A119" t="s">
        <v>246</v>
      </c>
      <c r="B119" t="s">
        <v>1509</v>
      </c>
      <c r="C119" s="1">
        <v>45556</v>
      </c>
      <c r="D119" s="2">
        <v>4.0972222222222222E-2</v>
      </c>
      <c r="E119" t="s">
        <v>2</v>
      </c>
      <c r="F119" t="s">
        <v>3</v>
      </c>
      <c r="G119" s="3">
        <v>12.13</v>
      </c>
      <c r="H119" s="3">
        <v>1.82</v>
      </c>
    </row>
    <row r="120" spans="1:8" x14ac:dyDescent="0.35">
      <c r="A120" t="s">
        <v>246</v>
      </c>
      <c r="B120" t="s">
        <v>1510</v>
      </c>
      <c r="C120" s="1">
        <v>45560</v>
      </c>
      <c r="D120" s="2">
        <v>9.7222222222222224E-2</v>
      </c>
      <c r="E120" t="s">
        <v>2</v>
      </c>
      <c r="F120" t="s">
        <v>3</v>
      </c>
      <c r="G120" s="3">
        <v>43.17</v>
      </c>
      <c r="H120" s="3">
        <v>6.46</v>
      </c>
    </row>
    <row r="121" spans="1:8" ht="15" thickBot="1" x14ac:dyDescent="0.4">
      <c r="A121" s="4" t="s">
        <v>246</v>
      </c>
      <c r="B121" s="4" t="s">
        <v>1511</v>
      </c>
      <c r="C121" s="6">
        <v>45564</v>
      </c>
      <c r="D121" s="7">
        <v>0.12291666666666667</v>
      </c>
      <c r="E121" s="4" t="s">
        <v>2</v>
      </c>
      <c r="F121" s="4" t="s">
        <v>3</v>
      </c>
      <c r="G121" s="5">
        <v>15.92</v>
      </c>
      <c r="H121" s="5">
        <v>2.38</v>
      </c>
    </row>
    <row r="122" spans="1:8" x14ac:dyDescent="0.35">
      <c r="A122" t="s">
        <v>2230</v>
      </c>
      <c r="G122" s="9">
        <f t="shared" ref="G122:H122" si="5">SUM(G105:G121)</f>
        <v>300.17</v>
      </c>
      <c r="H122" s="9">
        <f t="shared" si="5"/>
        <v>44.970000000000006</v>
      </c>
    </row>
    <row r="124" spans="1:8" ht="15.75" thickBot="1" x14ac:dyDescent="0.3"/>
    <row r="125" spans="1:8" ht="15.75" thickBot="1" x14ac:dyDescent="0.3">
      <c r="A125" s="11" t="s">
        <v>411</v>
      </c>
      <c r="B125" s="12" t="s">
        <v>163</v>
      </c>
      <c r="C125" s="12" t="s">
        <v>165</v>
      </c>
      <c r="D125" s="12" t="s">
        <v>166</v>
      </c>
      <c r="E125" s="12" t="s">
        <v>164</v>
      </c>
      <c r="F125" s="12" t="s">
        <v>167</v>
      </c>
      <c r="G125" s="12" t="s">
        <v>412</v>
      </c>
      <c r="H125" s="13" t="s">
        <v>169</v>
      </c>
    </row>
    <row r="126" spans="1:8" ht="15" x14ac:dyDescent="0.25">
      <c r="A126" t="s">
        <v>543</v>
      </c>
      <c r="B126" t="s">
        <v>1512</v>
      </c>
      <c r="C126" s="1">
        <v>45535</v>
      </c>
      <c r="D126" s="2">
        <v>0.99305555555555547</v>
      </c>
      <c r="E126" t="s">
        <v>2</v>
      </c>
      <c r="F126" t="s">
        <v>3</v>
      </c>
      <c r="G126" s="3">
        <v>20.49</v>
      </c>
      <c r="H126" s="3">
        <v>3.07</v>
      </c>
    </row>
    <row r="127" spans="1:8" ht="15" x14ac:dyDescent="0.25">
      <c r="A127" t="s">
        <v>543</v>
      </c>
      <c r="B127" t="s">
        <v>1513</v>
      </c>
      <c r="C127" s="1">
        <v>45536</v>
      </c>
      <c r="D127" s="2">
        <v>2.5694444444444447E-2</v>
      </c>
      <c r="E127" t="s">
        <v>2</v>
      </c>
      <c r="F127" t="s">
        <v>3</v>
      </c>
      <c r="G127" s="3">
        <v>33.65</v>
      </c>
      <c r="H127" s="3">
        <v>5.04</v>
      </c>
    </row>
    <row r="128" spans="1:8" ht="15" x14ac:dyDescent="0.25">
      <c r="A128" t="s">
        <v>543</v>
      </c>
      <c r="B128" t="s">
        <v>1514</v>
      </c>
      <c r="C128" s="1">
        <v>45537</v>
      </c>
      <c r="D128" s="2">
        <v>2.361111111111111E-2</v>
      </c>
      <c r="E128" t="s">
        <v>2</v>
      </c>
      <c r="F128" t="s">
        <v>3</v>
      </c>
      <c r="G128" s="3">
        <v>18.29</v>
      </c>
      <c r="H128" s="3">
        <v>2.74</v>
      </c>
    </row>
    <row r="129" spans="1:8" ht="15" x14ac:dyDescent="0.25">
      <c r="A129" t="s">
        <v>543</v>
      </c>
      <c r="B129" t="s">
        <v>1515</v>
      </c>
      <c r="C129" s="1">
        <v>45537</v>
      </c>
      <c r="D129" s="2">
        <v>0.97916666666666663</v>
      </c>
      <c r="E129" t="s">
        <v>2</v>
      </c>
      <c r="F129" t="s">
        <v>3</v>
      </c>
      <c r="G129" s="3">
        <v>19.22</v>
      </c>
      <c r="H129" s="3">
        <v>2.88</v>
      </c>
    </row>
    <row r="130" spans="1:8" ht="15" x14ac:dyDescent="0.25">
      <c r="A130" t="s">
        <v>543</v>
      </c>
      <c r="B130" t="s">
        <v>1516</v>
      </c>
      <c r="C130" s="1">
        <v>45542</v>
      </c>
      <c r="D130" s="2">
        <v>4.1666666666666666E-3</v>
      </c>
      <c r="E130" t="s">
        <v>2</v>
      </c>
      <c r="F130" t="s">
        <v>3</v>
      </c>
      <c r="G130" s="3">
        <v>33.65</v>
      </c>
      <c r="H130" s="3">
        <v>5.04</v>
      </c>
    </row>
    <row r="131" spans="1:8" ht="15" x14ac:dyDescent="0.25">
      <c r="A131" t="s">
        <v>543</v>
      </c>
      <c r="B131" t="s">
        <v>1517</v>
      </c>
      <c r="C131" s="1">
        <v>45542</v>
      </c>
      <c r="D131" s="2">
        <v>3.5416666666666666E-2</v>
      </c>
      <c r="E131" t="s">
        <v>2</v>
      </c>
      <c r="F131" t="s">
        <v>3</v>
      </c>
      <c r="G131" s="3">
        <v>33.93</v>
      </c>
      <c r="H131" s="3">
        <v>5.08</v>
      </c>
    </row>
    <row r="132" spans="1:8" ht="15" x14ac:dyDescent="0.25">
      <c r="A132" t="s">
        <v>543</v>
      </c>
      <c r="B132" t="s">
        <v>1518</v>
      </c>
      <c r="C132" s="1">
        <v>45542</v>
      </c>
      <c r="D132" s="2">
        <v>0.15902777777777777</v>
      </c>
      <c r="E132" t="s">
        <v>2</v>
      </c>
      <c r="F132" t="s">
        <v>3</v>
      </c>
      <c r="G132" s="3">
        <v>16.239999999999998</v>
      </c>
      <c r="H132" s="3">
        <v>2.4300000000000002</v>
      </c>
    </row>
    <row r="133" spans="1:8" ht="15" x14ac:dyDescent="0.25">
      <c r="A133" t="s">
        <v>543</v>
      </c>
      <c r="B133" t="s">
        <v>1519</v>
      </c>
      <c r="C133" s="1">
        <v>45542</v>
      </c>
      <c r="D133" s="2">
        <v>0.81666666666666676</v>
      </c>
      <c r="E133" t="s">
        <v>2</v>
      </c>
      <c r="F133" t="s">
        <v>3</v>
      </c>
      <c r="G133" s="3">
        <v>20.99</v>
      </c>
      <c r="H133" s="3">
        <v>3.14</v>
      </c>
    </row>
    <row r="134" spans="1:8" ht="15" x14ac:dyDescent="0.25">
      <c r="A134" t="s">
        <v>543</v>
      </c>
      <c r="B134" t="s">
        <v>1520</v>
      </c>
      <c r="C134" s="1">
        <v>45543</v>
      </c>
      <c r="D134" s="2">
        <v>0.1763888888888889</v>
      </c>
      <c r="E134" t="s">
        <v>2</v>
      </c>
      <c r="F134" t="s">
        <v>3</v>
      </c>
      <c r="G134" s="3">
        <v>33</v>
      </c>
      <c r="H134" s="3">
        <v>4.9400000000000004</v>
      </c>
    </row>
    <row r="135" spans="1:8" ht="15" x14ac:dyDescent="0.25">
      <c r="A135" t="s">
        <v>543</v>
      </c>
      <c r="B135" t="s">
        <v>1521</v>
      </c>
      <c r="C135" s="1">
        <v>45544</v>
      </c>
      <c r="D135" s="2">
        <v>0.28750000000000003</v>
      </c>
      <c r="E135" t="s">
        <v>2</v>
      </c>
      <c r="F135" t="s">
        <v>3</v>
      </c>
      <c r="G135" s="3">
        <v>19.64</v>
      </c>
      <c r="H135" s="3">
        <v>2.94</v>
      </c>
    </row>
    <row r="136" spans="1:8" ht="15" x14ac:dyDescent="0.25">
      <c r="A136" t="s">
        <v>543</v>
      </c>
      <c r="B136" t="s">
        <v>1522</v>
      </c>
      <c r="C136" s="1">
        <v>45545</v>
      </c>
      <c r="D136" s="2">
        <v>3.4722222222222224E-2</v>
      </c>
      <c r="E136" t="s">
        <v>2</v>
      </c>
      <c r="F136" t="s">
        <v>3</v>
      </c>
      <c r="G136" s="3">
        <v>18.59</v>
      </c>
      <c r="H136" s="3">
        <v>2.78</v>
      </c>
    </row>
    <row r="137" spans="1:8" ht="15" x14ac:dyDescent="0.25">
      <c r="A137" t="s">
        <v>543</v>
      </c>
      <c r="B137" t="s">
        <v>1523</v>
      </c>
      <c r="C137" s="1">
        <v>45547</v>
      </c>
      <c r="D137" s="2">
        <v>6.8749999999999992E-2</v>
      </c>
      <c r="E137" t="s">
        <v>2</v>
      </c>
      <c r="F137" t="s">
        <v>3</v>
      </c>
      <c r="G137" s="3">
        <v>37.54</v>
      </c>
      <c r="H137" s="3">
        <v>5.62</v>
      </c>
    </row>
    <row r="138" spans="1:8" ht="15" x14ac:dyDescent="0.25">
      <c r="A138" t="s">
        <v>543</v>
      </c>
      <c r="B138" t="s">
        <v>1524</v>
      </c>
      <c r="C138" s="1">
        <v>45548</v>
      </c>
      <c r="D138" s="2">
        <v>0.62291666666666667</v>
      </c>
      <c r="E138" t="s">
        <v>2</v>
      </c>
      <c r="F138" t="s">
        <v>3</v>
      </c>
      <c r="G138" s="3">
        <v>39</v>
      </c>
      <c r="H138" s="3">
        <v>5.84</v>
      </c>
    </row>
    <row r="139" spans="1:8" ht="15" x14ac:dyDescent="0.25">
      <c r="A139" t="s">
        <v>543</v>
      </c>
      <c r="B139" t="s">
        <v>1525</v>
      </c>
      <c r="C139" s="1">
        <v>45549</v>
      </c>
      <c r="D139" s="2">
        <v>0.9819444444444444</v>
      </c>
      <c r="E139" t="s">
        <v>2</v>
      </c>
      <c r="F139" t="s">
        <v>3</v>
      </c>
      <c r="G139" s="3">
        <v>13</v>
      </c>
      <c r="H139" s="3">
        <v>1.95</v>
      </c>
    </row>
    <row r="140" spans="1:8" ht="15" x14ac:dyDescent="0.25">
      <c r="A140" t="s">
        <v>543</v>
      </c>
      <c r="B140" t="s">
        <v>1526</v>
      </c>
      <c r="C140" s="1">
        <v>45550</v>
      </c>
      <c r="D140" s="2">
        <v>0.11527777777777777</v>
      </c>
      <c r="E140" t="s">
        <v>2</v>
      </c>
      <c r="F140" t="s">
        <v>3</v>
      </c>
      <c r="G140" s="3">
        <v>12.34</v>
      </c>
      <c r="H140" s="3">
        <v>1.85</v>
      </c>
    </row>
    <row r="141" spans="1:8" ht="15" x14ac:dyDescent="0.25">
      <c r="A141" t="s">
        <v>543</v>
      </c>
      <c r="B141" t="s">
        <v>1527</v>
      </c>
      <c r="C141" s="1">
        <v>45550</v>
      </c>
      <c r="D141" s="2">
        <v>0.15625</v>
      </c>
      <c r="E141" t="s">
        <v>2</v>
      </c>
      <c r="F141" t="s">
        <v>3</v>
      </c>
      <c r="G141" s="3">
        <v>26.98</v>
      </c>
      <c r="H141" s="3">
        <v>4.04</v>
      </c>
    </row>
    <row r="142" spans="1:8" ht="15" x14ac:dyDescent="0.25">
      <c r="A142" t="s">
        <v>543</v>
      </c>
      <c r="B142" t="s">
        <v>1528</v>
      </c>
      <c r="C142" s="1">
        <v>45550</v>
      </c>
      <c r="D142" s="2">
        <v>0.21388888888888891</v>
      </c>
      <c r="E142" t="s">
        <v>2</v>
      </c>
      <c r="F142" t="s">
        <v>3</v>
      </c>
      <c r="G142" s="3">
        <v>11.7</v>
      </c>
      <c r="H142" s="3">
        <v>1.75</v>
      </c>
    </row>
    <row r="143" spans="1:8" ht="15" x14ac:dyDescent="0.25">
      <c r="A143" t="s">
        <v>543</v>
      </c>
      <c r="B143" t="s">
        <v>1529</v>
      </c>
      <c r="C143" s="1">
        <v>45550</v>
      </c>
      <c r="D143" s="2">
        <v>0.69027777777777777</v>
      </c>
      <c r="E143" t="s">
        <v>2</v>
      </c>
      <c r="F143" t="s">
        <v>3</v>
      </c>
      <c r="G143" s="3">
        <v>66.13</v>
      </c>
      <c r="H143" s="3">
        <v>9.9</v>
      </c>
    </row>
    <row r="144" spans="1:8" ht="15" x14ac:dyDescent="0.25">
      <c r="A144" t="s">
        <v>543</v>
      </c>
      <c r="B144" t="s">
        <v>1530</v>
      </c>
      <c r="C144" s="1">
        <v>45552</v>
      </c>
      <c r="D144" s="2">
        <v>0.50138888888888888</v>
      </c>
      <c r="E144" t="s">
        <v>2</v>
      </c>
      <c r="F144" t="s">
        <v>3</v>
      </c>
      <c r="G144" s="3">
        <v>17.34</v>
      </c>
      <c r="H144" s="3">
        <v>2.6</v>
      </c>
    </row>
    <row r="145" spans="1:8" ht="15" x14ac:dyDescent="0.25">
      <c r="A145" t="s">
        <v>543</v>
      </c>
      <c r="B145" t="s">
        <v>1531</v>
      </c>
      <c r="C145" s="1">
        <v>45553</v>
      </c>
      <c r="D145" s="2">
        <v>0.79236111111111107</v>
      </c>
      <c r="E145" t="s">
        <v>2</v>
      </c>
      <c r="F145" t="s">
        <v>3</v>
      </c>
      <c r="G145" s="3">
        <v>17.739999999999998</v>
      </c>
      <c r="H145" s="3">
        <v>2.66</v>
      </c>
    </row>
    <row r="146" spans="1:8" ht="15" x14ac:dyDescent="0.25">
      <c r="A146" t="s">
        <v>543</v>
      </c>
      <c r="B146" t="s">
        <v>1532</v>
      </c>
      <c r="C146" s="1">
        <v>45554</v>
      </c>
      <c r="D146" s="2">
        <v>0.18541666666666667</v>
      </c>
      <c r="E146" t="s">
        <v>2</v>
      </c>
      <c r="F146" t="s">
        <v>3</v>
      </c>
      <c r="G146" s="3">
        <v>21.99</v>
      </c>
      <c r="H146" s="3">
        <v>3.29</v>
      </c>
    </row>
    <row r="147" spans="1:8" ht="15" x14ac:dyDescent="0.25">
      <c r="A147" t="s">
        <v>543</v>
      </c>
      <c r="B147" t="s">
        <v>1533</v>
      </c>
      <c r="C147" s="1">
        <v>45554</v>
      </c>
      <c r="D147" s="2">
        <v>0.45069444444444445</v>
      </c>
      <c r="E147" t="s">
        <v>2</v>
      </c>
      <c r="F147" t="s">
        <v>3</v>
      </c>
      <c r="G147" s="3">
        <v>38.479999999999997</v>
      </c>
      <c r="H147" s="3">
        <v>5.76</v>
      </c>
    </row>
    <row r="148" spans="1:8" ht="15" x14ac:dyDescent="0.25">
      <c r="A148" t="s">
        <v>543</v>
      </c>
      <c r="B148" t="s">
        <v>1534</v>
      </c>
      <c r="C148" s="1">
        <v>45554</v>
      </c>
      <c r="D148" s="2">
        <v>0.90138888888888891</v>
      </c>
      <c r="E148" t="s">
        <v>2</v>
      </c>
      <c r="F148" t="s">
        <v>3</v>
      </c>
      <c r="G148" s="3">
        <v>34.090000000000003</v>
      </c>
      <c r="H148" s="3">
        <v>5.0999999999999996</v>
      </c>
    </row>
    <row r="149" spans="1:8" ht="15" x14ac:dyDescent="0.25">
      <c r="A149" t="s">
        <v>543</v>
      </c>
      <c r="B149" t="s">
        <v>1535</v>
      </c>
      <c r="C149" s="1">
        <v>45554</v>
      </c>
      <c r="D149" s="2">
        <v>0.92361111111111116</v>
      </c>
      <c r="E149" t="s">
        <v>2</v>
      </c>
      <c r="F149" t="s">
        <v>3</v>
      </c>
      <c r="G149" s="3">
        <v>21.82</v>
      </c>
      <c r="H149" s="3">
        <v>3.27</v>
      </c>
    </row>
    <row r="150" spans="1:8" ht="15" x14ac:dyDescent="0.25">
      <c r="A150" t="s">
        <v>543</v>
      </c>
      <c r="B150" t="s">
        <v>1536</v>
      </c>
      <c r="C150" s="1">
        <v>45554</v>
      </c>
      <c r="D150" s="2">
        <v>0.99861111111111101</v>
      </c>
      <c r="E150" t="s">
        <v>2</v>
      </c>
      <c r="F150" t="s">
        <v>3</v>
      </c>
      <c r="G150" s="3">
        <v>27.86</v>
      </c>
      <c r="H150" s="3">
        <v>4.17</v>
      </c>
    </row>
    <row r="151" spans="1:8" ht="15" x14ac:dyDescent="0.25">
      <c r="A151" t="s">
        <v>543</v>
      </c>
      <c r="B151" t="s">
        <v>1537</v>
      </c>
      <c r="C151" s="1">
        <v>45555</v>
      </c>
      <c r="D151" s="2">
        <v>0.95416666666666661</v>
      </c>
      <c r="E151" t="s">
        <v>2</v>
      </c>
      <c r="F151" t="s">
        <v>3</v>
      </c>
      <c r="G151" s="3">
        <v>38.04</v>
      </c>
      <c r="H151" s="3">
        <v>5.7</v>
      </c>
    </row>
    <row r="152" spans="1:8" ht="15" x14ac:dyDescent="0.25">
      <c r="A152" t="s">
        <v>543</v>
      </c>
      <c r="B152" t="s">
        <v>1538</v>
      </c>
      <c r="C152" s="1">
        <v>45556</v>
      </c>
      <c r="D152" s="2">
        <v>1.5972222222222224E-2</v>
      </c>
      <c r="E152" t="s">
        <v>2</v>
      </c>
      <c r="F152" t="s">
        <v>3</v>
      </c>
      <c r="G152" s="3">
        <v>34.58</v>
      </c>
      <c r="H152" s="3">
        <v>5.18</v>
      </c>
    </row>
    <row r="153" spans="1:8" ht="15" x14ac:dyDescent="0.25">
      <c r="A153" t="s">
        <v>543</v>
      </c>
      <c r="B153" t="s">
        <v>1539</v>
      </c>
      <c r="C153" s="1">
        <v>45557</v>
      </c>
      <c r="D153" s="2">
        <v>0.23541666666666669</v>
      </c>
      <c r="E153" t="s">
        <v>2</v>
      </c>
      <c r="F153" t="s">
        <v>3</v>
      </c>
      <c r="G153" s="3">
        <v>34.58</v>
      </c>
      <c r="H153" s="3">
        <v>5.18</v>
      </c>
    </row>
    <row r="154" spans="1:8" ht="15" x14ac:dyDescent="0.25">
      <c r="A154" t="s">
        <v>543</v>
      </c>
      <c r="B154" t="s">
        <v>1540</v>
      </c>
      <c r="C154" s="1">
        <v>45557</v>
      </c>
      <c r="D154" s="2">
        <v>0.45763888888888887</v>
      </c>
      <c r="E154" t="s">
        <v>2</v>
      </c>
      <c r="F154" t="s">
        <v>3</v>
      </c>
      <c r="G154" s="3">
        <v>25.87</v>
      </c>
      <c r="H154" s="3">
        <v>3.87</v>
      </c>
    </row>
    <row r="155" spans="1:8" ht="15" x14ac:dyDescent="0.25">
      <c r="A155" t="s">
        <v>543</v>
      </c>
      <c r="B155" t="s">
        <v>1541</v>
      </c>
      <c r="C155" s="1">
        <v>45558</v>
      </c>
      <c r="D155" s="2">
        <v>8.7500000000000008E-2</v>
      </c>
      <c r="E155" t="s">
        <v>2</v>
      </c>
      <c r="F155" t="s">
        <v>3</v>
      </c>
      <c r="G155" s="3">
        <v>13.64</v>
      </c>
      <c r="H155" s="3">
        <v>2.04</v>
      </c>
    </row>
    <row r="156" spans="1:8" ht="15" x14ac:dyDescent="0.25">
      <c r="A156" t="s">
        <v>543</v>
      </c>
      <c r="B156" t="s">
        <v>1542</v>
      </c>
      <c r="C156" s="1">
        <v>45559</v>
      </c>
      <c r="D156" s="2">
        <v>0.42430555555555555</v>
      </c>
      <c r="E156" t="s">
        <v>2</v>
      </c>
      <c r="F156" t="s">
        <v>3</v>
      </c>
      <c r="G156" s="3">
        <v>15.59</v>
      </c>
      <c r="H156" s="3">
        <v>2.33</v>
      </c>
    </row>
    <row r="157" spans="1:8" ht="15" x14ac:dyDescent="0.25">
      <c r="A157" t="s">
        <v>543</v>
      </c>
      <c r="B157" t="s">
        <v>1543</v>
      </c>
      <c r="C157" s="1">
        <v>45559</v>
      </c>
      <c r="D157" s="2">
        <v>0.51597222222222217</v>
      </c>
      <c r="E157" t="s">
        <v>2</v>
      </c>
      <c r="F157" t="s">
        <v>3</v>
      </c>
      <c r="G157" s="3">
        <v>17.34</v>
      </c>
      <c r="H157" s="3">
        <v>2.6</v>
      </c>
    </row>
    <row r="158" spans="1:8" ht="15" x14ac:dyDescent="0.25">
      <c r="A158" t="s">
        <v>543</v>
      </c>
      <c r="B158" t="s">
        <v>1544</v>
      </c>
      <c r="C158" s="1">
        <v>45559</v>
      </c>
      <c r="D158" s="2">
        <v>0.87986111111111109</v>
      </c>
      <c r="E158" t="s">
        <v>2</v>
      </c>
      <c r="F158" t="s">
        <v>3</v>
      </c>
      <c r="G158" s="3">
        <v>21.17</v>
      </c>
      <c r="H158" s="3">
        <v>3.17</v>
      </c>
    </row>
    <row r="159" spans="1:8" ht="15" x14ac:dyDescent="0.25">
      <c r="A159" t="s">
        <v>543</v>
      </c>
      <c r="B159" t="s">
        <v>1203</v>
      </c>
      <c r="C159" s="1">
        <v>45559</v>
      </c>
      <c r="D159" s="2">
        <v>0.9770833333333333</v>
      </c>
      <c r="E159" t="s">
        <v>2</v>
      </c>
      <c r="F159" t="s">
        <v>3</v>
      </c>
      <c r="G159" s="3">
        <v>84.34</v>
      </c>
      <c r="H159" s="3">
        <v>12.63</v>
      </c>
    </row>
    <row r="160" spans="1:8" ht="15" x14ac:dyDescent="0.25">
      <c r="A160" t="s">
        <v>543</v>
      </c>
      <c r="B160" t="s">
        <v>1545</v>
      </c>
      <c r="C160" s="1">
        <v>45560</v>
      </c>
      <c r="D160" s="2">
        <v>0.1013888888888889</v>
      </c>
      <c r="E160" t="s">
        <v>2</v>
      </c>
      <c r="F160" t="s">
        <v>3</v>
      </c>
      <c r="G160" s="3">
        <v>40.21</v>
      </c>
      <c r="H160" s="3">
        <v>6.02</v>
      </c>
    </row>
    <row r="161" spans="1:8" ht="15" x14ac:dyDescent="0.25">
      <c r="A161" t="s">
        <v>543</v>
      </c>
      <c r="B161" t="s">
        <v>1546</v>
      </c>
      <c r="C161" s="1">
        <v>45560</v>
      </c>
      <c r="D161" s="2">
        <v>0.93888888888888899</v>
      </c>
      <c r="E161" t="s">
        <v>2</v>
      </c>
      <c r="F161" t="s">
        <v>3</v>
      </c>
      <c r="G161" s="3">
        <v>53.33</v>
      </c>
      <c r="H161" s="3">
        <v>7.99</v>
      </c>
    </row>
    <row r="162" spans="1:8" x14ac:dyDescent="0.35">
      <c r="A162" t="s">
        <v>543</v>
      </c>
      <c r="B162" t="s">
        <v>1547</v>
      </c>
      <c r="C162" s="1">
        <v>45561</v>
      </c>
      <c r="D162" s="2">
        <v>6.805555555555555E-2</v>
      </c>
      <c r="E162" t="s">
        <v>2</v>
      </c>
      <c r="F162" t="s">
        <v>3</v>
      </c>
      <c r="G162" s="3">
        <v>21.17</v>
      </c>
      <c r="H162" s="3">
        <v>3.17</v>
      </c>
    </row>
    <row r="163" spans="1:8" ht="15" thickBot="1" x14ac:dyDescent="0.4">
      <c r="A163" s="4" t="s">
        <v>543</v>
      </c>
      <c r="B163" s="4" t="s">
        <v>1548</v>
      </c>
      <c r="C163" s="6">
        <v>45564</v>
      </c>
      <c r="D163" s="7">
        <v>0.93958333333333333</v>
      </c>
      <c r="E163" s="4" t="s">
        <v>2</v>
      </c>
      <c r="F163" s="4" t="s">
        <v>3</v>
      </c>
      <c r="G163" s="5">
        <v>19.190000000000001</v>
      </c>
      <c r="H163" s="5">
        <v>2.87</v>
      </c>
    </row>
    <row r="164" spans="1:8" x14ac:dyDescent="0.35">
      <c r="A164" t="s">
        <v>2230</v>
      </c>
      <c r="G164" s="9">
        <f t="shared" ref="G164:H164" si="6">SUM(G126:G163)</f>
        <v>1072.7500000000002</v>
      </c>
      <c r="H164" s="9">
        <f t="shared" si="6"/>
        <v>160.63000000000002</v>
      </c>
    </row>
    <row r="166" spans="1:8" ht="15.75" thickBot="1" x14ac:dyDescent="0.3"/>
    <row r="167" spans="1:8" ht="15.75" thickBot="1" x14ac:dyDescent="0.3">
      <c r="A167" s="11" t="s">
        <v>411</v>
      </c>
      <c r="B167" s="12" t="s">
        <v>163</v>
      </c>
      <c r="C167" s="12" t="s">
        <v>165</v>
      </c>
      <c r="D167" s="12" t="s">
        <v>166</v>
      </c>
      <c r="E167" s="12" t="s">
        <v>164</v>
      </c>
      <c r="F167" s="12" t="s">
        <v>167</v>
      </c>
      <c r="G167" s="12" t="s">
        <v>412</v>
      </c>
      <c r="H167" s="13" t="s">
        <v>169</v>
      </c>
    </row>
    <row r="168" spans="1:8" x14ac:dyDescent="0.35">
      <c r="A168" t="s">
        <v>40</v>
      </c>
      <c r="B168" t="s">
        <v>1549</v>
      </c>
      <c r="C168" s="1">
        <v>45536</v>
      </c>
      <c r="D168" s="2">
        <v>0.96319444444444446</v>
      </c>
      <c r="E168" t="s">
        <v>2</v>
      </c>
      <c r="F168" t="s">
        <v>3</v>
      </c>
      <c r="G168" s="3">
        <v>9</v>
      </c>
      <c r="H168" s="3">
        <v>1.35</v>
      </c>
    </row>
    <row r="169" spans="1:8" x14ac:dyDescent="0.35">
      <c r="A169" t="s">
        <v>40</v>
      </c>
      <c r="B169" t="s">
        <v>1550</v>
      </c>
      <c r="C169" s="1">
        <v>45537</v>
      </c>
      <c r="D169" s="2">
        <v>4.027777777777778E-2</v>
      </c>
      <c r="E169" t="s">
        <v>2</v>
      </c>
      <c r="F169" t="s">
        <v>3</v>
      </c>
      <c r="G169" s="3">
        <v>30.3</v>
      </c>
      <c r="H169" s="3">
        <v>4.54</v>
      </c>
    </row>
    <row r="170" spans="1:8" x14ac:dyDescent="0.35">
      <c r="A170" t="s">
        <v>40</v>
      </c>
      <c r="B170" t="s">
        <v>1551</v>
      </c>
      <c r="C170" s="1">
        <v>45537</v>
      </c>
      <c r="D170" s="2">
        <v>0.14444444444444446</v>
      </c>
      <c r="E170" t="s">
        <v>2</v>
      </c>
      <c r="F170" t="s">
        <v>3</v>
      </c>
      <c r="G170" s="3">
        <v>62.2</v>
      </c>
      <c r="H170" s="3">
        <v>9.31</v>
      </c>
    </row>
    <row r="171" spans="1:8" x14ac:dyDescent="0.35">
      <c r="A171" t="s">
        <v>40</v>
      </c>
      <c r="B171" t="s">
        <v>1552</v>
      </c>
      <c r="C171" s="1">
        <v>45537</v>
      </c>
      <c r="D171" s="2">
        <v>0.72777777777777775</v>
      </c>
      <c r="E171" t="s">
        <v>2</v>
      </c>
      <c r="F171" t="s">
        <v>3</v>
      </c>
      <c r="G171" s="3">
        <v>15.65</v>
      </c>
      <c r="H171" s="3">
        <v>2.34</v>
      </c>
    </row>
    <row r="172" spans="1:8" x14ac:dyDescent="0.35">
      <c r="A172" t="s">
        <v>40</v>
      </c>
      <c r="B172" t="s">
        <v>1553</v>
      </c>
      <c r="C172" s="1">
        <v>45538</v>
      </c>
      <c r="D172" s="2">
        <v>0.53333333333333333</v>
      </c>
      <c r="E172" t="s">
        <v>180</v>
      </c>
      <c r="F172" t="s">
        <v>3</v>
      </c>
      <c r="G172" s="3">
        <v>0.5</v>
      </c>
      <c r="H172" s="3">
        <v>7.0000000000000007E-2</v>
      </c>
    </row>
    <row r="173" spans="1:8" x14ac:dyDescent="0.35">
      <c r="A173" t="s">
        <v>40</v>
      </c>
      <c r="B173" t="s">
        <v>1554</v>
      </c>
      <c r="C173" s="1">
        <v>45538</v>
      </c>
      <c r="D173" s="2">
        <v>0.56180555555555556</v>
      </c>
      <c r="E173" t="s">
        <v>180</v>
      </c>
      <c r="F173" t="s">
        <v>3</v>
      </c>
      <c r="G173" s="3">
        <v>0.5</v>
      </c>
      <c r="H173" s="3">
        <v>7.0000000000000007E-2</v>
      </c>
    </row>
    <row r="174" spans="1:8" x14ac:dyDescent="0.35">
      <c r="A174" t="s">
        <v>40</v>
      </c>
      <c r="B174" t="s">
        <v>1555</v>
      </c>
      <c r="C174" s="1">
        <v>45538</v>
      </c>
      <c r="D174" s="2">
        <v>0.86319444444444438</v>
      </c>
      <c r="E174" t="s">
        <v>2</v>
      </c>
      <c r="F174" t="s">
        <v>3</v>
      </c>
      <c r="G174" s="3">
        <v>8.15</v>
      </c>
      <c r="H174" s="3">
        <v>1.22</v>
      </c>
    </row>
    <row r="175" spans="1:8" x14ac:dyDescent="0.35">
      <c r="A175" t="s">
        <v>40</v>
      </c>
      <c r="B175" t="s">
        <v>1556</v>
      </c>
      <c r="C175" s="1">
        <v>45540</v>
      </c>
      <c r="D175" s="2">
        <v>0.15555555555555556</v>
      </c>
      <c r="E175" t="s">
        <v>2</v>
      </c>
      <c r="F175" t="s">
        <v>3</v>
      </c>
      <c r="G175" s="3">
        <v>28.89</v>
      </c>
      <c r="H175" s="3">
        <v>4.33</v>
      </c>
    </row>
    <row r="176" spans="1:8" x14ac:dyDescent="0.35">
      <c r="A176" t="s">
        <v>40</v>
      </c>
      <c r="B176" t="s">
        <v>1557</v>
      </c>
      <c r="C176" s="1">
        <v>45541</v>
      </c>
      <c r="D176" s="2">
        <v>0.19305555555555554</v>
      </c>
      <c r="E176" t="s">
        <v>2</v>
      </c>
      <c r="F176" t="s">
        <v>3</v>
      </c>
      <c r="G176" s="3">
        <v>17.149999999999999</v>
      </c>
      <c r="H176" s="3">
        <v>2.57</v>
      </c>
    </row>
    <row r="177" spans="1:8" x14ac:dyDescent="0.35">
      <c r="A177" t="s">
        <v>40</v>
      </c>
      <c r="B177" t="s">
        <v>1558</v>
      </c>
      <c r="C177" s="1">
        <v>45541</v>
      </c>
      <c r="D177" s="2">
        <v>0.95208333333333339</v>
      </c>
      <c r="E177" t="s">
        <v>2</v>
      </c>
      <c r="F177" t="s">
        <v>3</v>
      </c>
      <c r="G177" s="3">
        <v>32.6</v>
      </c>
      <c r="H177" s="3">
        <v>4.88</v>
      </c>
    </row>
    <row r="178" spans="1:8" x14ac:dyDescent="0.35">
      <c r="A178" t="s">
        <v>40</v>
      </c>
      <c r="B178" t="s">
        <v>1559</v>
      </c>
      <c r="C178" s="1">
        <v>45543</v>
      </c>
      <c r="D178" s="2">
        <v>5.5555555555555558E-3</v>
      </c>
      <c r="E178" t="s">
        <v>2</v>
      </c>
      <c r="F178" t="s">
        <v>3</v>
      </c>
      <c r="G178" s="3">
        <v>42.45</v>
      </c>
      <c r="H178" s="3">
        <v>6.36</v>
      </c>
    </row>
    <row r="179" spans="1:8" x14ac:dyDescent="0.35">
      <c r="A179" t="s">
        <v>40</v>
      </c>
      <c r="B179" t="s">
        <v>1560</v>
      </c>
      <c r="C179" s="1">
        <v>45544</v>
      </c>
      <c r="D179" s="2">
        <v>0.77500000000000002</v>
      </c>
      <c r="E179" t="s">
        <v>2</v>
      </c>
      <c r="F179" t="s">
        <v>3</v>
      </c>
      <c r="G179" s="3">
        <v>17.149999999999999</v>
      </c>
      <c r="H179" s="3">
        <v>2.57</v>
      </c>
    </row>
    <row r="180" spans="1:8" x14ac:dyDescent="0.35">
      <c r="A180" t="s">
        <v>40</v>
      </c>
      <c r="B180" t="s">
        <v>1561</v>
      </c>
      <c r="C180" s="1">
        <v>45546</v>
      </c>
      <c r="D180" s="2">
        <v>7.1527777777777787E-2</v>
      </c>
      <c r="E180" t="s">
        <v>2</v>
      </c>
      <c r="F180" t="s">
        <v>3</v>
      </c>
      <c r="G180" s="3">
        <v>8.15</v>
      </c>
      <c r="H180" s="3">
        <v>1.22</v>
      </c>
    </row>
    <row r="181" spans="1:8" x14ac:dyDescent="0.35">
      <c r="A181" t="s">
        <v>40</v>
      </c>
      <c r="B181" t="s">
        <v>1562</v>
      </c>
      <c r="C181" s="1">
        <v>45547</v>
      </c>
      <c r="D181" s="2">
        <v>0.96805555555555556</v>
      </c>
      <c r="E181" t="s">
        <v>2</v>
      </c>
      <c r="F181" t="s">
        <v>3</v>
      </c>
      <c r="G181" s="3">
        <v>18.05</v>
      </c>
      <c r="H181" s="3">
        <v>2.7</v>
      </c>
    </row>
    <row r="182" spans="1:8" x14ac:dyDescent="0.35">
      <c r="A182" t="s">
        <v>40</v>
      </c>
      <c r="B182" t="s">
        <v>1563</v>
      </c>
      <c r="C182" s="1">
        <v>45548</v>
      </c>
      <c r="D182" s="2">
        <v>0.72638888888888886</v>
      </c>
      <c r="E182" t="s">
        <v>2</v>
      </c>
      <c r="F182" t="s">
        <v>3</v>
      </c>
      <c r="G182" s="3">
        <v>18</v>
      </c>
      <c r="H182" s="3">
        <v>2.7</v>
      </c>
    </row>
    <row r="183" spans="1:8" ht="15.75" customHeight="1" x14ac:dyDescent="0.35">
      <c r="A183" t="s">
        <v>40</v>
      </c>
      <c r="B183" t="s">
        <v>1564</v>
      </c>
      <c r="C183" s="1">
        <v>45548</v>
      </c>
      <c r="D183" s="2">
        <v>0.96597222222222223</v>
      </c>
      <c r="E183" t="s">
        <v>2</v>
      </c>
      <c r="F183" t="s">
        <v>3</v>
      </c>
      <c r="G183" s="3">
        <v>18</v>
      </c>
      <c r="H183" s="3">
        <v>2.7</v>
      </c>
    </row>
    <row r="184" spans="1:8" x14ac:dyDescent="0.35">
      <c r="A184" t="s">
        <v>40</v>
      </c>
      <c r="B184" t="s">
        <v>1565</v>
      </c>
      <c r="C184" s="1">
        <v>45550</v>
      </c>
      <c r="D184" s="2">
        <v>0.54791666666666672</v>
      </c>
      <c r="E184" t="s">
        <v>2</v>
      </c>
      <c r="F184" t="s">
        <v>3</v>
      </c>
      <c r="G184" s="3">
        <v>26.15</v>
      </c>
      <c r="H184" s="3">
        <v>3.92</v>
      </c>
    </row>
    <row r="185" spans="1:8" x14ac:dyDescent="0.35">
      <c r="A185" t="s">
        <v>40</v>
      </c>
      <c r="B185" t="s">
        <v>1566</v>
      </c>
      <c r="C185" s="1">
        <v>45551</v>
      </c>
      <c r="D185" s="2">
        <v>0.8125</v>
      </c>
      <c r="E185" t="s">
        <v>2</v>
      </c>
      <c r="F185" t="s">
        <v>3</v>
      </c>
      <c r="G185" s="3">
        <v>16.3</v>
      </c>
      <c r="H185" s="3">
        <v>2.44</v>
      </c>
    </row>
    <row r="186" spans="1:8" x14ac:dyDescent="0.35">
      <c r="A186" t="s">
        <v>40</v>
      </c>
      <c r="B186" t="s">
        <v>1567</v>
      </c>
      <c r="C186" s="1">
        <v>45552</v>
      </c>
      <c r="D186" s="2">
        <v>5.486111111111111E-2</v>
      </c>
      <c r="E186" t="s">
        <v>2</v>
      </c>
      <c r="F186" t="s">
        <v>3</v>
      </c>
      <c r="G186" s="3">
        <v>21.15</v>
      </c>
      <c r="H186" s="3">
        <v>3.17</v>
      </c>
    </row>
    <row r="187" spans="1:8" x14ac:dyDescent="0.35">
      <c r="A187" t="s">
        <v>40</v>
      </c>
      <c r="B187" t="s">
        <v>1568</v>
      </c>
      <c r="C187" s="1">
        <v>45552</v>
      </c>
      <c r="D187" s="2">
        <v>0.80625000000000002</v>
      </c>
      <c r="E187" t="s">
        <v>2</v>
      </c>
      <c r="F187" t="s">
        <v>3</v>
      </c>
      <c r="G187" s="3">
        <v>24.45</v>
      </c>
      <c r="H187" s="3">
        <v>3.66</v>
      </c>
    </row>
    <row r="188" spans="1:8" x14ac:dyDescent="0.35">
      <c r="A188" t="s">
        <v>40</v>
      </c>
      <c r="B188" t="s">
        <v>1569</v>
      </c>
      <c r="C188" s="1">
        <v>45557</v>
      </c>
      <c r="D188" s="2">
        <v>8.0555555555555561E-2</v>
      </c>
      <c r="E188" t="s">
        <v>2</v>
      </c>
      <c r="F188" t="s">
        <v>3</v>
      </c>
      <c r="G188" s="3">
        <v>17.149999999999999</v>
      </c>
      <c r="H188" s="3">
        <v>2.57</v>
      </c>
    </row>
    <row r="189" spans="1:8" x14ac:dyDescent="0.35">
      <c r="A189" t="s">
        <v>40</v>
      </c>
      <c r="B189" t="s">
        <v>1570</v>
      </c>
      <c r="C189" s="1">
        <v>45557</v>
      </c>
      <c r="D189" s="2">
        <v>0.81388888888888899</v>
      </c>
      <c r="E189" t="s">
        <v>2</v>
      </c>
      <c r="F189" t="s">
        <v>3</v>
      </c>
      <c r="G189" s="3">
        <v>39.1</v>
      </c>
      <c r="H189" s="3">
        <v>5.86</v>
      </c>
    </row>
    <row r="190" spans="1:8" x14ac:dyDescent="0.35">
      <c r="A190" t="s">
        <v>40</v>
      </c>
      <c r="B190" t="s">
        <v>1571</v>
      </c>
      <c r="C190" s="1">
        <v>45558</v>
      </c>
      <c r="D190" s="2">
        <v>0.42222222222222222</v>
      </c>
      <c r="E190" t="s">
        <v>2</v>
      </c>
      <c r="F190" t="s">
        <v>3</v>
      </c>
      <c r="G190" s="3">
        <v>37.5</v>
      </c>
      <c r="H190" s="3">
        <v>5.62</v>
      </c>
    </row>
    <row r="191" spans="1:8" x14ac:dyDescent="0.35">
      <c r="A191" t="s">
        <v>40</v>
      </c>
      <c r="B191" t="s">
        <v>1572</v>
      </c>
      <c r="C191" s="1">
        <v>45559</v>
      </c>
      <c r="D191" s="2">
        <v>0.99305555555555547</v>
      </c>
      <c r="E191" t="s">
        <v>2</v>
      </c>
      <c r="F191" t="s">
        <v>3</v>
      </c>
      <c r="G191" s="3">
        <v>8.15</v>
      </c>
      <c r="H191" s="3">
        <v>1.22</v>
      </c>
    </row>
    <row r="192" spans="1:8" x14ac:dyDescent="0.35">
      <c r="A192" t="s">
        <v>40</v>
      </c>
      <c r="B192" t="s">
        <v>1573</v>
      </c>
      <c r="C192" s="1">
        <v>45561</v>
      </c>
      <c r="D192" s="2">
        <v>0.42986111111111108</v>
      </c>
      <c r="E192" t="s">
        <v>2</v>
      </c>
      <c r="F192" t="s">
        <v>3</v>
      </c>
      <c r="G192" s="3">
        <v>17.149999999999999</v>
      </c>
      <c r="H192" s="3">
        <v>2.57</v>
      </c>
    </row>
    <row r="193" spans="1:8" x14ac:dyDescent="0.35">
      <c r="A193" t="s">
        <v>40</v>
      </c>
      <c r="B193" t="s">
        <v>1574</v>
      </c>
      <c r="C193" s="1">
        <v>45561</v>
      </c>
      <c r="D193" s="2">
        <v>0.84861111111111109</v>
      </c>
      <c r="E193" t="s">
        <v>2</v>
      </c>
      <c r="F193" t="s">
        <v>3</v>
      </c>
      <c r="G193" s="3">
        <v>48.48</v>
      </c>
      <c r="H193" s="3">
        <v>7.26</v>
      </c>
    </row>
    <row r="194" spans="1:8" x14ac:dyDescent="0.35">
      <c r="A194" t="s">
        <v>40</v>
      </c>
      <c r="B194" t="s">
        <v>1575</v>
      </c>
      <c r="C194" s="1">
        <v>45562</v>
      </c>
      <c r="D194" s="2">
        <v>0.20069444444444443</v>
      </c>
      <c r="E194" t="s">
        <v>2</v>
      </c>
      <c r="F194" t="s">
        <v>3</v>
      </c>
      <c r="G194" s="3">
        <v>16.940000000000001</v>
      </c>
      <c r="H194" s="3">
        <v>2.54</v>
      </c>
    </row>
    <row r="195" spans="1:8" x14ac:dyDescent="0.35">
      <c r="A195" t="s">
        <v>40</v>
      </c>
      <c r="B195" t="s">
        <v>1576</v>
      </c>
      <c r="C195" s="1">
        <v>45562</v>
      </c>
      <c r="D195" s="2">
        <v>0.90277777777777779</v>
      </c>
      <c r="E195" t="s">
        <v>2</v>
      </c>
      <c r="F195" t="s">
        <v>3</v>
      </c>
      <c r="G195" s="3">
        <v>18</v>
      </c>
      <c r="H195" s="3">
        <v>2.7</v>
      </c>
    </row>
    <row r="196" spans="1:8" x14ac:dyDescent="0.35">
      <c r="A196" t="s">
        <v>40</v>
      </c>
      <c r="B196" t="s">
        <v>1577</v>
      </c>
      <c r="C196" s="1">
        <v>45563</v>
      </c>
      <c r="D196" s="2">
        <v>0.85138888888888886</v>
      </c>
      <c r="E196" t="s">
        <v>2</v>
      </c>
      <c r="F196" t="s">
        <v>3</v>
      </c>
      <c r="G196" s="3">
        <v>26.25</v>
      </c>
      <c r="H196" s="3">
        <v>3.93</v>
      </c>
    </row>
    <row r="197" spans="1:8" x14ac:dyDescent="0.35">
      <c r="A197" t="s">
        <v>40</v>
      </c>
      <c r="B197" t="s">
        <v>1578</v>
      </c>
      <c r="C197" s="1">
        <v>45564</v>
      </c>
      <c r="D197" s="2">
        <v>0.91041666666666676</v>
      </c>
      <c r="E197" t="s">
        <v>2</v>
      </c>
      <c r="F197" t="s">
        <v>3</v>
      </c>
      <c r="G197" s="3">
        <v>12.38</v>
      </c>
      <c r="H197" s="3">
        <v>1.85</v>
      </c>
    </row>
    <row r="198" spans="1:8" ht="15" thickBot="1" x14ac:dyDescent="0.4">
      <c r="A198" s="4" t="s">
        <v>40</v>
      </c>
      <c r="B198" s="4" t="s">
        <v>1579</v>
      </c>
      <c r="C198" s="6">
        <v>45565</v>
      </c>
      <c r="D198" s="7">
        <v>0.34722222222222227</v>
      </c>
      <c r="E198" s="4" t="s">
        <v>2</v>
      </c>
      <c r="F198" s="4" t="s">
        <v>3</v>
      </c>
      <c r="G198" s="5">
        <v>17.88</v>
      </c>
      <c r="H198" s="5">
        <v>2.68</v>
      </c>
    </row>
    <row r="199" spans="1:8" x14ac:dyDescent="0.35">
      <c r="A199" t="s">
        <v>2230</v>
      </c>
      <c r="G199" s="9">
        <f t="shared" ref="G199:H199" si="7">SUM(G168:G198)</f>
        <v>673.77</v>
      </c>
      <c r="H199" s="9">
        <f t="shared" si="7"/>
        <v>100.92000000000002</v>
      </c>
    </row>
    <row r="201" spans="1:8" ht="15.75" thickBot="1" x14ac:dyDescent="0.3"/>
    <row r="202" spans="1:8" ht="15.75" thickBot="1" x14ac:dyDescent="0.3">
      <c r="A202" s="11" t="s">
        <v>411</v>
      </c>
      <c r="B202" s="12" t="s">
        <v>163</v>
      </c>
      <c r="C202" s="12" t="s">
        <v>165</v>
      </c>
      <c r="D202" s="12" t="s">
        <v>166</v>
      </c>
      <c r="E202" s="12" t="s">
        <v>164</v>
      </c>
      <c r="F202" s="12" t="s">
        <v>167</v>
      </c>
      <c r="G202" s="12" t="s">
        <v>412</v>
      </c>
      <c r="H202" s="13" t="s">
        <v>169</v>
      </c>
    </row>
    <row r="203" spans="1:8" x14ac:dyDescent="0.35">
      <c r="A203" t="s">
        <v>148</v>
      </c>
      <c r="B203" t="s">
        <v>1580</v>
      </c>
      <c r="C203" s="1">
        <v>45536</v>
      </c>
      <c r="D203" s="2">
        <v>0.35416666666666669</v>
      </c>
      <c r="E203" t="s">
        <v>2</v>
      </c>
      <c r="F203" t="s">
        <v>3</v>
      </c>
      <c r="G203" s="3">
        <v>22.6</v>
      </c>
      <c r="H203" s="3">
        <v>3.38</v>
      </c>
    </row>
    <row r="204" spans="1:8" x14ac:dyDescent="0.35">
      <c r="A204" t="s">
        <v>148</v>
      </c>
      <c r="B204" t="s">
        <v>1581</v>
      </c>
      <c r="C204" s="1">
        <v>45536</v>
      </c>
      <c r="D204" s="2">
        <v>0.8027777777777777</v>
      </c>
      <c r="E204" t="s">
        <v>2</v>
      </c>
      <c r="F204" t="s">
        <v>3</v>
      </c>
      <c r="G204" s="3">
        <v>12.35</v>
      </c>
      <c r="H204" s="3">
        <v>1.85</v>
      </c>
    </row>
    <row r="205" spans="1:8" x14ac:dyDescent="0.35">
      <c r="A205" t="s">
        <v>148</v>
      </c>
      <c r="B205" t="s">
        <v>1582</v>
      </c>
      <c r="C205" s="1">
        <v>45537</v>
      </c>
      <c r="D205" s="2">
        <v>0.16597222222222222</v>
      </c>
      <c r="E205" t="s">
        <v>2</v>
      </c>
      <c r="F205" t="s">
        <v>3</v>
      </c>
      <c r="G205" s="3">
        <v>33.869999999999997</v>
      </c>
      <c r="H205" s="3">
        <v>5.07</v>
      </c>
    </row>
    <row r="206" spans="1:8" x14ac:dyDescent="0.35">
      <c r="A206" t="s">
        <v>148</v>
      </c>
      <c r="B206" t="s">
        <v>1583</v>
      </c>
      <c r="C206" s="1">
        <v>45538</v>
      </c>
      <c r="D206" s="2">
        <v>6.8749999999999992E-2</v>
      </c>
      <c r="E206" t="s">
        <v>2</v>
      </c>
      <c r="F206" t="s">
        <v>3</v>
      </c>
      <c r="G206" s="3">
        <v>10</v>
      </c>
      <c r="H206" s="3">
        <v>1.5</v>
      </c>
    </row>
    <row r="207" spans="1:8" x14ac:dyDescent="0.35">
      <c r="A207" t="s">
        <v>148</v>
      </c>
      <c r="B207" t="s">
        <v>1584</v>
      </c>
      <c r="C207" s="1">
        <v>45538</v>
      </c>
      <c r="D207" s="2">
        <v>8.1250000000000003E-2</v>
      </c>
      <c r="E207" t="s">
        <v>2</v>
      </c>
      <c r="F207" t="s">
        <v>3</v>
      </c>
      <c r="G207" s="3">
        <v>15.59</v>
      </c>
      <c r="H207" s="3">
        <v>2.33</v>
      </c>
    </row>
    <row r="208" spans="1:8" x14ac:dyDescent="0.35">
      <c r="A208" t="s">
        <v>148</v>
      </c>
      <c r="B208" t="s">
        <v>1585</v>
      </c>
      <c r="C208" s="1">
        <v>45538</v>
      </c>
      <c r="D208" s="2">
        <v>0.11805555555555557</v>
      </c>
      <c r="E208" t="s">
        <v>2</v>
      </c>
      <c r="F208" t="s">
        <v>3</v>
      </c>
      <c r="G208" s="3">
        <v>18</v>
      </c>
      <c r="H208" s="3">
        <v>2.7</v>
      </c>
    </row>
    <row r="209" spans="1:8" x14ac:dyDescent="0.35">
      <c r="A209" t="s">
        <v>148</v>
      </c>
      <c r="B209" t="s">
        <v>1586</v>
      </c>
      <c r="C209" s="1">
        <v>45542</v>
      </c>
      <c r="D209" s="2">
        <v>0.2298611111111111</v>
      </c>
      <c r="E209" t="s">
        <v>2</v>
      </c>
      <c r="F209" t="s">
        <v>3</v>
      </c>
      <c r="G209" s="3">
        <v>35.090000000000003</v>
      </c>
      <c r="H209" s="3">
        <v>5.25</v>
      </c>
    </row>
    <row r="210" spans="1:8" x14ac:dyDescent="0.35">
      <c r="A210" t="s">
        <v>148</v>
      </c>
      <c r="B210" t="s">
        <v>1587</v>
      </c>
      <c r="C210" s="1">
        <v>45542</v>
      </c>
      <c r="D210" s="2">
        <v>0.4604166666666667</v>
      </c>
      <c r="E210" t="s">
        <v>2</v>
      </c>
      <c r="F210" t="s">
        <v>3</v>
      </c>
      <c r="G210" s="3">
        <v>21.2</v>
      </c>
      <c r="H210" s="3">
        <v>3.17</v>
      </c>
    </row>
    <row r="211" spans="1:8" x14ac:dyDescent="0.35">
      <c r="A211" t="s">
        <v>148</v>
      </c>
      <c r="B211" t="s">
        <v>1588</v>
      </c>
      <c r="C211" s="1">
        <v>45543</v>
      </c>
      <c r="D211" s="2">
        <v>0.18958333333333333</v>
      </c>
      <c r="E211" t="s">
        <v>2</v>
      </c>
      <c r="F211" t="s">
        <v>3</v>
      </c>
      <c r="G211" s="3">
        <v>29.14</v>
      </c>
      <c r="H211" s="3">
        <v>4.3600000000000003</v>
      </c>
    </row>
    <row r="212" spans="1:8" x14ac:dyDescent="0.35">
      <c r="A212" t="s">
        <v>148</v>
      </c>
      <c r="B212" t="s">
        <v>1589</v>
      </c>
      <c r="C212" s="1">
        <v>45544</v>
      </c>
      <c r="D212" s="2">
        <v>0.21041666666666667</v>
      </c>
      <c r="E212" t="s">
        <v>2</v>
      </c>
      <c r="F212" t="s">
        <v>3</v>
      </c>
      <c r="G212" s="3">
        <v>16.25</v>
      </c>
      <c r="H212" s="3">
        <v>2.4300000000000002</v>
      </c>
    </row>
    <row r="213" spans="1:8" x14ac:dyDescent="0.35">
      <c r="A213" t="s">
        <v>148</v>
      </c>
      <c r="B213" t="s">
        <v>1590</v>
      </c>
      <c r="C213" s="1">
        <v>45546</v>
      </c>
      <c r="D213" s="2">
        <v>0.36041666666666666</v>
      </c>
      <c r="E213" t="s">
        <v>2</v>
      </c>
      <c r="F213" t="s">
        <v>3</v>
      </c>
      <c r="G213" s="3">
        <v>32.75</v>
      </c>
      <c r="H213" s="3">
        <v>4.9000000000000004</v>
      </c>
    </row>
    <row r="214" spans="1:8" x14ac:dyDescent="0.35">
      <c r="A214" t="s">
        <v>148</v>
      </c>
      <c r="B214" t="s">
        <v>1591</v>
      </c>
      <c r="C214" s="1">
        <v>45547</v>
      </c>
      <c r="D214" s="2">
        <v>0.20833333333333334</v>
      </c>
      <c r="E214" t="s">
        <v>2</v>
      </c>
      <c r="F214" t="s">
        <v>3</v>
      </c>
      <c r="G214" s="3">
        <v>14.95</v>
      </c>
      <c r="H214" s="3">
        <v>2.2400000000000002</v>
      </c>
    </row>
    <row r="215" spans="1:8" x14ac:dyDescent="0.35">
      <c r="A215" t="s">
        <v>148</v>
      </c>
      <c r="B215" t="s">
        <v>1592</v>
      </c>
      <c r="C215" s="1">
        <v>45548</v>
      </c>
      <c r="D215" s="2">
        <v>6.3194444444444442E-2</v>
      </c>
      <c r="E215" t="s">
        <v>2</v>
      </c>
      <c r="F215" t="s">
        <v>3</v>
      </c>
      <c r="G215" s="3">
        <v>25.64</v>
      </c>
      <c r="H215" s="3">
        <v>3.84</v>
      </c>
    </row>
    <row r="216" spans="1:8" x14ac:dyDescent="0.35">
      <c r="A216" t="s">
        <v>148</v>
      </c>
      <c r="B216" t="s">
        <v>1593</v>
      </c>
      <c r="C216" s="1">
        <v>45548</v>
      </c>
      <c r="D216" s="2">
        <v>0.31458333333333333</v>
      </c>
      <c r="E216" t="s">
        <v>2</v>
      </c>
      <c r="F216" t="s">
        <v>3</v>
      </c>
      <c r="G216" s="3">
        <v>23.45</v>
      </c>
      <c r="H216" s="3">
        <v>3.51</v>
      </c>
    </row>
    <row r="217" spans="1:8" x14ac:dyDescent="0.35">
      <c r="A217" t="s">
        <v>148</v>
      </c>
      <c r="B217" t="s">
        <v>1594</v>
      </c>
      <c r="C217" s="1">
        <v>45549</v>
      </c>
      <c r="D217" s="2">
        <v>0.20138888888888887</v>
      </c>
      <c r="E217" t="s">
        <v>2</v>
      </c>
      <c r="F217" t="s">
        <v>3</v>
      </c>
      <c r="G217" s="3">
        <v>23.9</v>
      </c>
      <c r="H217" s="3">
        <v>3.58</v>
      </c>
    </row>
    <row r="218" spans="1:8" x14ac:dyDescent="0.35">
      <c r="A218" t="s">
        <v>148</v>
      </c>
      <c r="B218" t="s">
        <v>1595</v>
      </c>
      <c r="C218" s="1">
        <v>45549</v>
      </c>
      <c r="D218" s="2">
        <v>0.24930555555555556</v>
      </c>
      <c r="E218" t="s">
        <v>2</v>
      </c>
      <c r="F218" t="s">
        <v>3</v>
      </c>
      <c r="G218" s="3">
        <v>9.75</v>
      </c>
      <c r="H218" s="3">
        <v>1.46</v>
      </c>
    </row>
    <row r="219" spans="1:8" x14ac:dyDescent="0.35">
      <c r="A219" t="s">
        <v>148</v>
      </c>
      <c r="B219" t="s">
        <v>1596</v>
      </c>
      <c r="C219" s="1">
        <v>45550</v>
      </c>
      <c r="D219" s="2">
        <v>0.52777777777777779</v>
      </c>
      <c r="E219" t="s">
        <v>180</v>
      </c>
      <c r="F219" t="s">
        <v>3</v>
      </c>
      <c r="G219" s="3">
        <v>0.5</v>
      </c>
      <c r="H219" s="3">
        <v>7.0000000000000007E-2</v>
      </c>
    </row>
    <row r="220" spans="1:8" x14ac:dyDescent="0.35">
      <c r="A220" t="s">
        <v>148</v>
      </c>
      <c r="B220" t="s">
        <v>1597</v>
      </c>
      <c r="C220" s="1">
        <v>45551</v>
      </c>
      <c r="D220" s="2">
        <v>0.11319444444444444</v>
      </c>
      <c r="E220" t="s">
        <v>2</v>
      </c>
      <c r="F220" t="s">
        <v>3</v>
      </c>
      <c r="G220" s="3">
        <v>67.5</v>
      </c>
      <c r="H220" s="3">
        <v>10.11</v>
      </c>
    </row>
    <row r="221" spans="1:8" x14ac:dyDescent="0.35">
      <c r="A221" t="s">
        <v>148</v>
      </c>
      <c r="B221" t="s">
        <v>1598</v>
      </c>
      <c r="C221" s="1">
        <v>45557</v>
      </c>
      <c r="D221" s="2">
        <v>0.20347222222222219</v>
      </c>
      <c r="E221" t="s">
        <v>180</v>
      </c>
      <c r="F221" t="s">
        <v>3</v>
      </c>
      <c r="G221" s="3">
        <v>10.58</v>
      </c>
      <c r="H221" s="3">
        <v>1.58</v>
      </c>
    </row>
    <row r="222" spans="1:8" x14ac:dyDescent="0.35">
      <c r="A222" t="s">
        <v>148</v>
      </c>
      <c r="B222" t="s">
        <v>1599</v>
      </c>
      <c r="C222" s="1">
        <v>45561</v>
      </c>
      <c r="D222" s="2">
        <v>0.49374999999999997</v>
      </c>
      <c r="E222" t="s">
        <v>2</v>
      </c>
      <c r="F222" t="s">
        <v>3</v>
      </c>
      <c r="G222" s="3">
        <v>28</v>
      </c>
      <c r="H222" s="3">
        <v>4.1900000000000004</v>
      </c>
    </row>
    <row r="223" spans="1:8" x14ac:dyDescent="0.35">
      <c r="A223" t="s">
        <v>148</v>
      </c>
      <c r="B223" t="s">
        <v>1600</v>
      </c>
      <c r="C223" s="1">
        <v>45562</v>
      </c>
      <c r="D223" s="2">
        <v>0.22430555555555556</v>
      </c>
      <c r="E223" t="s">
        <v>2</v>
      </c>
      <c r="F223" t="s">
        <v>3</v>
      </c>
      <c r="G223" s="3">
        <v>14.75</v>
      </c>
      <c r="H223" s="3">
        <v>2.21</v>
      </c>
    </row>
    <row r="224" spans="1:8" ht="15" thickBot="1" x14ac:dyDescent="0.4">
      <c r="A224" s="4" t="s">
        <v>148</v>
      </c>
      <c r="B224" s="4" t="s">
        <v>1601</v>
      </c>
      <c r="C224" s="6">
        <v>45563</v>
      </c>
      <c r="D224" s="7">
        <v>0.29930555555555555</v>
      </c>
      <c r="E224" s="4" t="s">
        <v>2</v>
      </c>
      <c r="F224" s="4" t="s">
        <v>3</v>
      </c>
      <c r="G224" s="5">
        <v>27.6</v>
      </c>
      <c r="H224" s="5">
        <v>4.13</v>
      </c>
    </row>
    <row r="225" spans="1:8" x14ac:dyDescent="0.35">
      <c r="A225" t="s">
        <v>2230</v>
      </c>
      <c r="G225" s="9">
        <f t="shared" ref="G225:H225" si="8">SUM(G203:G224)</f>
        <v>493.45999999999992</v>
      </c>
      <c r="H225" s="9">
        <f t="shared" si="8"/>
        <v>73.859999999999985</v>
      </c>
    </row>
    <row r="227" spans="1:8" ht="15.75" thickBot="1" x14ac:dyDescent="0.3"/>
    <row r="228" spans="1:8" ht="15.75" thickBot="1" x14ac:dyDescent="0.3">
      <c r="A228" s="11" t="s">
        <v>411</v>
      </c>
      <c r="B228" s="12" t="s">
        <v>163</v>
      </c>
      <c r="C228" s="12" t="s">
        <v>165</v>
      </c>
      <c r="D228" s="12" t="s">
        <v>166</v>
      </c>
      <c r="E228" s="12" t="s">
        <v>164</v>
      </c>
      <c r="F228" s="12" t="s">
        <v>167</v>
      </c>
      <c r="G228" s="12" t="s">
        <v>412</v>
      </c>
      <c r="H228" s="13" t="s">
        <v>169</v>
      </c>
    </row>
    <row r="229" spans="1:8" x14ac:dyDescent="0.35">
      <c r="A229" t="s">
        <v>743</v>
      </c>
      <c r="B229" t="s">
        <v>1602</v>
      </c>
      <c r="C229" s="1">
        <v>45536</v>
      </c>
      <c r="D229" s="2">
        <v>0.1361111111111111</v>
      </c>
      <c r="E229" t="s">
        <v>2</v>
      </c>
      <c r="F229" t="s">
        <v>3</v>
      </c>
      <c r="G229" s="3">
        <v>9</v>
      </c>
      <c r="H229" s="3">
        <v>1.35</v>
      </c>
    </row>
    <row r="230" spans="1:8" x14ac:dyDescent="0.35">
      <c r="A230" t="s">
        <v>743</v>
      </c>
      <c r="B230" t="s">
        <v>1603</v>
      </c>
      <c r="C230" s="1">
        <v>45537</v>
      </c>
      <c r="D230" s="2">
        <v>0.92638888888888893</v>
      </c>
      <c r="E230" t="s">
        <v>2</v>
      </c>
      <c r="F230" t="s">
        <v>3</v>
      </c>
      <c r="G230" s="3">
        <v>52.92</v>
      </c>
      <c r="H230" s="3">
        <v>7.92</v>
      </c>
    </row>
    <row r="231" spans="1:8" x14ac:dyDescent="0.35">
      <c r="A231" t="s">
        <v>743</v>
      </c>
      <c r="B231" t="s">
        <v>1604</v>
      </c>
      <c r="C231" s="1">
        <v>45537</v>
      </c>
      <c r="D231" s="2">
        <v>0.97083333333333333</v>
      </c>
      <c r="E231" t="s">
        <v>2</v>
      </c>
      <c r="F231" t="s">
        <v>3</v>
      </c>
      <c r="G231" s="3">
        <v>35.24</v>
      </c>
      <c r="H231" s="3">
        <v>5.28</v>
      </c>
    </row>
    <row r="232" spans="1:8" x14ac:dyDescent="0.35">
      <c r="A232" t="s">
        <v>743</v>
      </c>
      <c r="B232" t="s">
        <v>1605</v>
      </c>
      <c r="C232" s="1">
        <v>45538</v>
      </c>
      <c r="D232" s="2">
        <v>0.14444444444444446</v>
      </c>
      <c r="E232" t="s">
        <v>2</v>
      </c>
      <c r="F232" t="s">
        <v>3</v>
      </c>
      <c r="G232" s="3">
        <v>23.9</v>
      </c>
      <c r="H232" s="3">
        <v>3.58</v>
      </c>
    </row>
    <row r="233" spans="1:8" x14ac:dyDescent="0.35">
      <c r="A233" t="s">
        <v>743</v>
      </c>
      <c r="B233" t="s">
        <v>1606</v>
      </c>
      <c r="C233" s="1">
        <v>45538</v>
      </c>
      <c r="D233" s="2">
        <v>0.64513888888888882</v>
      </c>
      <c r="E233" t="s">
        <v>2</v>
      </c>
      <c r="F233" t="s">
        <v>3</v>
      </c>
      <c r="G233" s="3">
        <v>11.95</v>
      </c>
      <c r="H233" s="3">
        <v>1.79</v>
      </c>
    </row>
    <row r="234" spans="1:8" x14ac:dyDescent="0.35">
      <c r="A234" t="s">
        <v>743</v>
      </c>
      <c r="B234" t="s">
        <v>1607</v>
      </c>
      <c r="C234" s="1">
        <v>45538</v>
      </c>
      <c r="D234" s="2">
        <v>0.98472222222222217</v>
      </c>
      <c r="E234" t="s">
        <v>2</v>
      </c>
      <c r="F234" t="s">
        <v>3</v>
      </c>
      <c r="G234" s="3">
        <v>29.69</v>
      </c>
      <c r="H234" s="3">
        <v>4.45</v>
      </c>
    </row>
    <row r="235" spans="1:8" x14ac:dyDescent="0.35">
      <c r="A235" t="s">
        <v>743</v>
      </c>
      <c r="B235" t="s">
        <v>1608</v>
      </c>
      <c r="C235" s="1">
        <v>45539</v>
      </c>
      <c r="D235" s="2">
        <v>0.18472222222222223</v>
      </c>
      <c r="E235" t="s">
        <v>2</v>
      </c>
      <c r="F235" t="s">
        <v>3</v>
      </c>
      <c r="G235" s="3">
        <v>32.049999999999997</v>
      </c>
      <c r="H235" s="3">
        <v>4.8</v>
      </c>
    </row>
    <row r="236" spans="1:8" x14ac:dyDescent="0.35">
      <c r="A236" t="s">
        <v>743</v>
      </c>
      <c r="B236" t="s">
        <v>1609</v>
      </c>
      <c r="C236" s="1">
        <v>45541</v>
      </c>
      <c r="D236" s="2">
        <v>0.35416666666666669</v>
      </c>
      <c r="E236" t="s">
        <v>2</v>
      </c>
      <c r="F236" t="s">
        <v>3</v>
      </c>
      <c r="G236" s="3">
        <v>21.85</v>
      </c>
      <c r="H236" s="3">
        <v>3.27</v>
      </c>
    </row>
    <row r="237" spans="1:8" x14ac:dyDescent="0.35">
      <c r="A237" t="s">
        <v>743</v>
      </c>
      <c r="B237" t="s">
        <v>1610</v>
      </c>
      <c r="C237" s="1">
        <v>45546</v>
      </c>
      <c r="D237" s="2">
        <v>0.13402777777777777</v>
      </c>
      <c r="E237" t="s">
        <v>2</v>
      </c>
      <c r="F237" t="s">
        <v>3</v>
      </c>
      <c r="G237" s="3">
        <v>43.99</v>
      </c>
      <c r="H237" s="3">
        <v>6.59</v>
      </c>
    </row>
    <row r="238" spans="1:8" x14ac:dyDescent="0.35">
      <c r="A238" t="s">
        <v>743</v>
      </c>
      <c r="B238" t="s">
        <v>1611</v>
      </c>
      <c r="C238" s="1">
        <v>45547</v>
      </c>
      <c r="D238" s="2">
        <v>0.66527777777777775</v>
      </c>
      <c r="E238" t="s">
        <v>2</v>
      </c>
      <c r="F238" t="s">
        <v>3</v>
      </c>
      <c r="G238" s="3">
        <v>12.34</v>
      </c>
      <c r="H238" s="3">
        <v>1.85</v>
      </c>
    </row>
    <row r="239" spans="1:8" x14ac:dyDescent="0.35">
      <c r="A239" t="s">
        <v>743</v>
      </c>
      <c r="B239" t="s">
        <v>1612</v>
      </c>
      <c r="C239" s="1">
        <v>45549</v>
      </c>
      <c r="D239" s="2">
        <v>7.5694444444444439E-2</v>
      </c>
      <c r="E239" t="s">
        <v>2</v>
      </c>
      <c r="F239" t="s">
        <v>3</v>
      </c>
      <c r="G239" s="3">
        <v>36.24</v>
      </c>
      <c r="H239" s="3">
        <v>5.43</v>
      </c>
    </row>
    <row r="240" spans="1:8" x14ac:dyDescent="0.35">
      <c r="A240" t="s">
        <v>743</v>
      </c>
      <c r="B240" t="s">
        <v>1613</v>
      </c>
      <c r="C240" s="1">
        <v>45550</v>
      </c>
      <c r="D240" s="2">
        <v>6.5972222222222224E-2</v>
      </c>
      <c r="E240" t="s">
        <v>2</v>
      </c>
      <c r="F240" t="s">
        <v>3</v>
      </c>
      <c r="G240" s="3">
        <v>32.83</v>
      </c>
      <c r="H240" s="3">
        <v>4.92</v>
      </c>
    </row>
    <row r="241" spans="1:8" x14ac:dyDescent="0.35">
      <c r="A241" t="s">
        <v>743</v>
      </c>
      <c r="B241" t="s">
        <v>1614</v>
      </c>
      <c r="C241" s="1">
        <v>45550</v>
      </c>
      <c r="D241" s="2">
        <v>0.18402777777777779</v>
      </c>
      <c r="E241" t="s">
        <v>2</v>
      </c>
      <c r="F241" t="s">
        <v>3</v>
      </c>
      <c r="G241" s="3">
        <v>66.64</v>
      </c>
      <c r="H241" s="3">
        <v>9.98</v>
      </c>
    </row>
    <row r="242" spans="1:8" x14ac:dyDescent="0.35">
      <c r="A242" t="s">
        <v>743</v>
      </c>
      <c r="B242" t="s">
        <v>1615</v>
      </c>
      <c r="C242" s="1">
        <v>45551</v>
      </c>
      <c r="D242" s="2">
        <v>8.2638888888888887E-2</v>
      </c>
      <c r="E242" t="s">
        <v>2</v>
      </c>
      <c r="F242" t="s">
        <v>3</v>
      </c>
      <c r="G242" s="3">
        <v>39.5</v>
      </c>
      <c r="H242" s="3">
        <v>5.92</v>
      </c>
    </row>
    <row r="243" spans="1:8" x14ac:dyDescent="0.35">
      <c r="A243" t="s">
        <v>743</v>
      </c>
      <c r="B243" t="s">
        <v>1616</v>
      </c>
      <c r="C243" s="1">
        <v>45552</v>
      </c>
      <c r="D243" s="2">
        <v>0.61319444444444449</v>
      </c>
      <c r="E243" t="s">
        <v>2</v>
      </c>
      <c r="F243" t="s">
        <v>3</v>
      </c>
      <c r="G243" s="3">
        <v>27.64</v>
      </c>
      <c r="H243" s="3">
        <v>4.1399999999999997</v>
      </c>
    </row>
    <row r="244" spans="1:8" x14ac:dyDescent="0.35">
      <c r="A244" t="s">
        <v>743</v>
      </c>
      <c r="B244" t="s">
        <v>1617</v>
      </c>
      <c r="C244" s="1">
        <v>45554</v>
      </c>
      <c r="D244" s="2">
        <v>0.31666666666666665</v>
      </c>
      <c r="E244" t="s">
        <v>2</v>
      </c>
      <c r="F244" t="s">
        <v>3</v>
      </c>
      <c r="G244" s="3">
        <v>23.8</v>
      </c>
      <c r="H244" s="3">
        <v>3.56</v>
      </c>
    </row>
    <row r="245" spans="1:8" x14ac:dyDescent="0.35">
      <c r="A245" t="s">
        <v>743</v>
      </c>
      <c r="B245" t="s">
        <v>1618</v>
      </c>
      <c r="C245" s="1">
        <v>45555</v>
      </c>
      <c r="D245" s="2">
        <v>0.71180555555555547</v>
      </c>
      <c r="E245" t="s">
        <v>2</v>
      </c>
      <c r="F245" t="s">
        <v>3</v>
      </c>
      <c r="G245" s="3">
        <v>21.05</v>
      </c>
      <c r="H245" s="3">
        <v>3.15</v>
      </c>
    </row>
    <row r="246" spans="1:8" x14ac:dyDescent="0.35">
      <c r="A246" t="s">
        <v>743</v>
      </c>
      <c r="B246" t="s">
        <v>1619</v>
      </c>
      <c r="C246" s="1">
        <v>45559</v>
      </c>
      <c r="D246" s="2">
        <v>0.62708333333333333</v>
      </c>
      <c r="E246" t="s">
        <v>2</v>
      </c>
      <c r="F246" t="s">
        <v>3</v>
      </c>
      <c r="G246" s="3">
        <v>36.409999999999997</v>
      </c>
      <c r="H246" s="3">
        <v>5.45</v>
      </c>
    </row>
    <row r="247" spans="1:8" x14ac:dyDescent="0.35">
      <c r="A247" t="s">
        <v>743</v>
      </c>
      <c r="B247" t="s">
        <v>1620</v>
      </c>
      <c r="C247" s="1">
        <v>45562</v>
      </c>
      <c r="D247" s="2">
        <v>0.9472222222222223</v>
      </c>
      <c r="E247" t="s">
        <v>2</v>
      </c>
      <c r="F247" t="s">
        <v>3</v>
      </c>
      <c r="G247" s="3">
        <v>20.95</v>
      </c>
      <c r="H247" s="3">
        <v>3.14</v>
      </c>
    </row>
    <row r="248" spans="1:8" x14ac:dyDescent="0.35">
      <c r="A248" t="s">
        <v>743</v>
      </c>
      <c r="B248" t="s">
        <v>1621</v>
      </c>
      <c r="C248" s="1">
        <v>45563</v>
      </c>
      <c r="D248" s="2">
        <v>0.12430555555555556</v>
      </c>
      <c r="E248" t="s">
        <v>2</v>
      </c>
      <c r="F248" t="s">
        <v>3</v>
      </c>
      <c r="G248" s="3">
        <v>20.84</v>
      </c>
      <c r="H248" s="3">
        <v>3.12</v>
      </c>
    </row>
    <row r="249" spans="1:8" x14ac:dyDescent="0.35">
      <c r="A249" t="s">
        <v>743</v>
      </c>
      <c r="B249" t="s">
        <v>1622</v>
      </c>
      <c r="C249" s="1">
        <v>45563</v>
      </c>
      <c r="D249" s="2">
        <v>0.49513888888888885</v>
      </c>
      <c r="E249" t="s">
        <v>2</v>
      </c>
      <c r="F249" t="s">
        <v>3</v>
      </c>
      <c r="G249" s="3">
        <v>11.95</v>
      </c>
      <c r="H249" s="3">
        <v>1.79</v>
      </c>
    </row>
    <row r="250" spans="1:8" ht="15" thickBot="1" x14ac:dyDescent="0.4">
      <c r="A250" s="4" t="s">
        <v>743</v>
      </c>
      <c r="B250" s="4" t="s">
        <v>1623</v>
      </c>
      <c r="C250" s="6">
        <v>45564</v>
      </c>
      <c r="D250" s="7">
        <v>0.22500000000000001</v>
      </c>
      <c r="E250" s="4" t="s">
        <v>2</v>
      </c>
      <c r="F250" s="4" t="s">
        <v>3</v>
      </c>
      <c r="G250" s="5">
        <v>9</v>
      </c>
      <c r="H250" s="5">
        <v>1.35</v>
      </c>
    </row>
    <row r="251" spans="1:8" x14ac:dyDescent="0.35">
      <c r="A251" t="s">
        <v>2230</v>
      </c>
      <c r="G251" s="9">
        <f t="shared" ref="G251:H251" si="9">SUM(G229:G250)</f>
        <v>619.78</v>
      </c>
      <c r="H251" s="9">
        <f t="shared" si="9"/>
        <v>92.830000000000027</v>
      </c>
    </row>
    <row r="253" spans="1:8" ht="15.75" thickBot="1" x14ac:dyDescent="0.3"/>
    <row r="254" spans="1:8" ht="15.75" thickBot="1" x14ac:dyDescent="0.3">
      <c r="A254" s="11" t="s">
        <v>411</v>
      </c>
      <c r="B254" s="12" t="s">
        <v>163</v>
      </c>
      <c r="C254" s="12" t="s">
        <v>165</v>
      </c>
      <c r="D254" s="12" t="s">
        <v>166</v>
      </c>
      <c r="E254" s="12" t="s">
        <v>164</v>
      </c>
      <c r="F254" s="12" t="s">
        <v>167</v>
      </c>
      <c r="G254" s="12" t="s">
        <v>412</v>
      </c>
      <c r="H254" s="13" t="s">
        <v>169</v>
      </c>
    </row>
    <row r="255" spans="1:8" x14ac:dyDescent="0.35">
      <c r="A255" t="s">
        <v>403</v>
      </c>
      <c r="B255" t="s">
        <v>1624</v>
      </c>
      <c r="C255" s="1">
        <v>45536</v>
      </c>
      <c r="D255" s="2">
        <v>0.51874999999999993</v>
      </c>
      <c r="E255" t="s">
        <v>2</v>
      </c>
      <c r="F255" t="s">
        <v>3</v>
      </c>
      <c r="G255" s="3">
        <v>53.43</v>
      </c>
      <c r="H255" s="3">
        <v>8</v>
      </c>
    </row>
    <row r="256" spans="1:8" x14ac:dyDescent="0.35">
      <c r="A256" t="s">
        <v>403</v>
      </c>
      <c r="B256" t="s">
        <v>1625</v>
      </c>
      <c r="C256" s="1">
        <v>45537</v>
      </c>
      <c r="D256" s="2">
        <v>0.60902777777777783</v>
      </c>
      <c r="E256" t="s">
        <v>2</v>
      </c>
      <c r="F256" t="s">
        <v>3</v>
      </c>
      <c r="G256" s="3">
        <v>27.64</v>
      </c>
      <c r="H256" s="3">
        <v>4.1399999999999997</v>
      </c>
    </row>
    <row r="257" spans="1:8" x14ac:dyDescent="0.35">
      <c r="A257" t="s">
        <v>403</v>
      </c>
      <c r="B257" t="s">
        <v>1626</v>
      </c>
      <c r="C257" s="1">
        <v>45540</v>
      </c>
      <c r="D257" s="2">
        <v>8.1944444444444445E-2</v>
      </c>
      <c r="E257" t="s">
        <v>2</v>
      </c>
      <c r="F257" t="s">
        <v>3</v>
      </c>
      <c r="G257" s="3">
        <v>17.809999999999999</v>
      </c>
      <c r="H257" s="3">
        <v>2.67</v>
      </c>
    </row>
    <row r="258" spans="1:8" x14ac:dyDescent="0.35">
      <c r="A258" t="s">
        <v>403</v>
      </c>
      <c r="B258" t="s">
        <v>1627</v>
      </c>
      <c r="C258" s="1">
        <v>45540</v>
      </c>
      <c r="D258" s="2">
        <v>0.19375000000000001</v>
      </c>
      <c r="E258" t="s">
        <v>2</v>
      </c>
      <c r="F258" t="s">
        <v>3</v>
      </c>
      <c r="G258" s="3">
        <v>31.79</v>
      </c>
      <c r="H258" s="3">
        <v>4.76</v>
      </c>
    </row>
    <row r="259" spans="1:8" x14ac:dyDescent="0.35">
      <c r="A259" t="s">
        <v>403</v>
      </c>
      <c r="B259" t="s">
        <v>1628</v>
      </c>
      <c r="C259" s="1">
        <v>45543</v>
      </c>
      <c r="D259" s="2">
        <v>0.2986111111111111</v>
      </c>
      <c r="E259" t="s">
        <v>2</v>
      </c>
      <c r="F259" t="s">
        <v>3</v>
      </c>
      <c r="G259" s="3">
        <v>28.09</v>
      </c>
      <c r="H259" s="3">
        <v>4.21</v>
      </c>
    </row>
    <row r="260" spans="1:8" x14ac:dyDescent="0.35">
      <c r="A260" t="s">
        <v>403</v>
      </c>
      <c r="B260" t="s">
        <v>1629</v>
      </c>
      <c r="C260" s="1">
        <v>45550</v>
      </c>
      <c r="D260" s="2">
        <v>0.52986111111111112</v>
      </c>
      <c r="E260" t="s">
        <v>180</v>
      </c>
      <c r="F260" t="s">
        <v>3</v>
      </c>
      <c r="G260" s="3">
        <v>0.5</v>
      </c>
      <c r="H260" s="3">
        <v>7.0000000000000007E-2</v>
      </c>
    </row>
    <row r="261" spans="1:8" x14ac:dyDescent="0.35">
      <c r="A261" t="s">
        <v>403</v>
      </c>
      <c r="B261" t="s">
        <v>1630</v>
      </c>
      <c r="C261" s="1">
        <v>45551</v>
      </c>
      <c r="D261" s="2">
        <v>0.22500000000000001</v>
      </c>
      <c r="E261" t="s">
        <v>2</v>
      </c>
      <c r="F261" t="s">
        <v>3</v>
      </c>
      <c r="G261" s="3">
        <v>42.59</v>
      </c>
      <c r="H261" s="3">
        <v>6.38</v>
      </c>
    </row>
    <row r="262" spans="1:8" x14ac:dyDescent="0.35">
      <c r="A262" t="s">
        <v>403</v>
      </c>
      <c r="B262" t="s">
        <v>1631</v>
      </c>
      <c r="C262" s="1">
        <v>45552</v>
      </c>
      <c r="D262" s="2">
        <v>0.18402777777777779</v>
      </c>
      <c r="E262" t="s">
        <v>2</v>
      </c>
      <c r="F262" t="s">
        <v>3</v>
      </c>
      <c r="G262" s="3">
        <v>28.19</v>
      </c>
      <c r="H262" s="3">
        <v>4.22</v>
      </c>
    </row>
    <row r="263" spans="1:8" x14ac:dyDescent="0.35">
      <c r="A263" t="s">
        <v>403</v>
      </c>
      <c r="B263" t="s">
        <v>1632</v>
      </c>
      <c r="C263" s="1">
        <v>45555</v>
      </c>
      <c r="D263" s="2">
        <v>0.22222222222222221</v>
      </c>
      <c r="E263" t="s">
        <v>2</v>
      </c>
      <c r="F263" t="s">
        <v>3</v>
      </c>
      <c r="G263" s="3">
        <v>19.829999999999998</v>
      </c>
      <c r="H263" s="3">
        <v>2.97</v>
      </c>
    </row>
    <row r="264" spans="1:8" x14ac:dyDescent="0.35">
      <c r="A264" t="s">
        <v>403</v>
      </c>
      <c r="B264" t="s">
        <v>1633</v>
      </c>
      <c r="C264" s="1">
        <v>45556</v>
      </c>
      <c r="D264" s="2">
        <v>6.3888888888888884E-2</v>
      </c>
      <c r="E264" t="s">
        <v>2</v>
      </c>
      <c r="F264" t="s">
        <v>3</v>
      </c>
      <c r="G264" s="3">
        <v>17.04</v>
      </c>
      <c r="H264" s="3">
        <v>2.5499999999999998</v>
      </c>
    </row>
    <row r="265" spans="1:8" x14ac:dyDescent="0.35">
      <c r="A265" t="s">
        <v>403</v>
      </c>
      <c r="B265" t="s">
        <v>1634</v>
      </c>
      <c r="C265" s="1">
        <v>45557</v>
      </c>
      <c r="D265" s="2">
        <v>5.9722222222222225E-2</v>
      </c>
      <c r="E265" t="s">
        <v>2</v>
      </c>
      <c r="F265" t="s">
        <v>3</v>
      </c>
      <c r="G265" s="3">
        <v>15.29</v>
      </c>
      <c r="H265" s="3">
        <v>2.29</v>
      </c>
    </row>
    <row r="266" spans="1:8" ht="15" thickBot="1" x14ac:dyDescent="0.4">
      <c r="A266" s="4" t="s">
        <v>403</v>
      </c>
      <c r="B266" s="4" t="s">
        <v>1635</v>
      </c>
      <c r="C266" s="6">
        <v>45562</v>
      </c>
      <c r="D266" s="7">
        <v>4.1666666666666664E-2</v>
      </c>
      <c r="E266" s="4" t="s">
        <v>180</v>
      </c>
      <c r="F266" s="4" t="s">
        <v>3</v>
      </c>
      <c r="G266" s="5">
        <v>0.5</v>
      </c>
      <c r="H266" s="5">
        <v>7.0000000000000007E-2</v>
      </c>
    </row>
    <row r="267" spans="1:8" x14ac:dyDescent="0.35">
      <c r="A267" t="s">
        <v>2230</v>
      </c>
      <c r="G267" s="9">
        <f t="shared" ref="G267:H267" si="10">SUM(G255:G266)</f>
        <v>282.70000000000005</v>
      </c>
      <c r="H267" s="9">
        <f t="shared" si="10"/>
        <v>42.33</v>
      </c>
    </row>
    <row r="273" spans="1:8" x14ac:dyDescent="0.35">
      <c r="A273" t="s">
        <v>2243</v>
      </c>
      <c r="G273" s="9">
        <f>SUM(G267,G251,G225,G199,G164,G122,G101,G73,G63,G43,G15)</f>
        <v>5711.4800000000014</v>
      </c>
    </row>
    <row r="274" spans="1:8" x14ac:dyDescent="0.35">
      <c r="A274" t="s">
        <v>2242</v>
      </c>
      <c r="H274" s="9">
        <f>SUM(H267,H251,H225,H199,H164,H122,H101,H73,H63,H43,H15)</f>
        <v>855.29000000000008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59"/>
  <sheetViews>
    <sheetView topLeftCell="A247" zoomScale="70" zoomScaleNormal="70" workbookViewId="0">
      <selection activeCell="G258" sqref="G258"/>
    </sheetView>
  </sheetViews>
  <sheetFormatPr defaultRowHeight="14.5" x14ac:dyDescent="0.35"/>
  <cols>
    <col min="1" max="1" width="29.7265625" customWidth="1"/>
    <col min="3" max="3" width="13.26953125" customWidth="1"/>
    <col min="6" max="6" width="12.81640625" customWidth="1"/>
    <col min="7" max="7" width="12.26953125" customWidth="1"/>
    <col min="8" max="8" width="12.54296875" customWidth="1"/>
  </cols>
  <sheetData>
    <row r="5" spans="1:8" ht="15.75" thickBot="1" x14ac:dyDescent="0.3"/>
    <row r="6" spans="1:8" ht="15.75" thickBot="1" x14ac:dyDescent="0.3">
      <c r="A6" s="11" t="s">
        <v>411</v>
      </c>
      <c r="B6" s="12" t="s">
        <v>163</v>
      </c>
      <c r="C6" s="12" t="s">
        <v>165</v>
      </c>
      <c r="D6" s="12" t="s">
        <v>166</v>
      </c>
      <c r="E6" s="12" t="s">
        <v>164</v>
      </c>
      <c r="F6" s="12" t="s">
        <v>167</v>
      </c>
      <c r="G6" s="12" t="s">
        <v>412</v>
      </c>
      <c r="H6" s="13" t="s">
        <v>169</v>
      </c>
    </row>
    <row r="7" spans="1:8" x14ac:dyDescent="0.35">
      <c r="A7" t="s">
        <v>414</v>
      </c>
      <c r="B7" t="s">
        <v>1636</v>
      </c>
      <c r="C7" s="1">
        <v>45571</v>
      </c>
      <c r="D7" s="2">
        <v>0.17222222222222225</v>
      </c>
      <c r="E7" t="s">
        <v>2</v>
      </c>
      <c r="F7" t="s">
        <v>3</v>
      </c>
      <c r="G7" s="3">
        <v>23.45</v>
      </c>
      <c r="H7" s="3">
        <v>3.51</v>
      </c>
    </row>
    <row r="8" spans="1:8" x14ac:dyDescent="0.35">
      <c r="A8" t="s">
        <v>414</v>
      </c>
      <c r="B8" t="s">
        <v>1637</v>
      </c>
      <c r="C8" s="1">
        <v>45580</v>
      </c>
      <c r="D8" s="2">
        <v>3.5416666666666666E-2</v>
      </c>
      <c r="E8" t="s">
        <v>2</v>
      </c>
      <c r="F8" t="s">
        <v>3</v>
      </c>
      <c r="G8" s="3">
        <v>7.24</v>
      </c>
      <c r="H8" s="3">
        <v>1.08</v>
      </c>
    </row>
    <row r="9" spans="1:8" x14ac:dyDescent="0.35">
      <c r="A9" t="s">
        <v>414</v>
      </c>
      <c r="B9" t="s">
        <v>1638</v>
      </c>
      <c r="C9" s="1">
        <v>45586</v>
      </c>
      <c r="D9" s="2">
        <v>0.16250000000000001</v>
      </c>
      <c r="E9" t="s">
        <v>2</v>
      </c>
      <c r="F9" t="s">
        <v>3</v>
      </c>
      <c r="G9" s="3">
        <v>19.52</v>
      </c>
      <c r="H9" s="3">
        <v>2.92</v>
      </c>
    </row>
    <row r="10" spans="1:8" ht="15" thickBot="1" x14ac:dyDescent="0.4">
      <c r="A10" s="4" t="s">
        <v>414</v>
      </c>
      <c r="B10" s="4" t="s">
        <v>1639</v>
      </c>
      <c r="C10" s="6">
        <v>45589</v>
      </c>
      <c r="D10" s="7">
        <v>0.17986111111111111</v>
      </c>
      <c r="E10" s="4" t="s">
        <v>2</v>
      </c>
      <c r="F10" s="4" t="s">
        <v>3</v>
      </c>
      <c r="G10" s="5">
        <v>13</v>
      </c>
      <c r="H10" s="5">
        <v>1.95</v>
      </c>
    </row>
    <row r="11" spans="1:8" x14ac:dyDescent="0.35">
      <c r="A11" t="s">
        <v>2231</v>
      </c>
      <c r="G11" s="9">
        <f t="shared" ref="G11:H11" si="0">SUM(G7:G10)</f>
        <v>63.209999999999994</v>
      </c>
      <c r="H11" s="9">
        <f t="shared" si="0"/>
        <v>9.4599999999999991</v>
      </c>
    </row>
    <row r="14" spans="1:8" ht="15.75" thickBot="1" x14ac:dyDescent="0.3"/>
    <row r="15" spans="1:8" ht="15.75" thickBot="1" x14ac:dyDescent="0.3">
      <c r="A15" s="11" t="s">
        <v>411</v>
      </c>
      <c r="B15" s="12" t="s">
        <v>163</v>
      </c>
      <c r="C15" s="12" t="s">
        <v>165</v>
      </c>
      <c r="D15" s="12" t="s">
        <v>166</v>
      </c>
      <c r="E15" s="12" t="s">
        <v>164</v>
      </c>
      <c r="F15" s="12" t="s">
        <v>167</v>
      </c>
      <c r="G15" s="12" t="s">
        <v>412</v>
      </c>
      <c r="H15" s="13" t="s">
        <v>169</v>
      </c>
    </row>
    <row r="16" spans="1:8" x14ac:dyDescent="0.35">
      <c r="A16" t="s">
        <v>173</v>
      </c>
      <c r="B16" t="s">
        <v>1640</v>
      </c>
      <c r="C16" s="1">
        <v>45567</v>
      </c>
      <c r="D16" s="2">
        <v>0.42499999999999999</v>
      </c>
      <c r="E16" t="s">
        <v>2</v>
      </c>
      <c r="F16" t="s">
        <v>3</v>
      </c>
      <c r="G16" s="3">
        <v>50.62</v>
      </c>
      <c r="H16" s="3">
        <v>7.58</v>
      </c>
    </row>
    <row r="17" spans="1:8" x14ac:dyDescent="0.35">
      <c r="A17" t="s">
        <v>173</v>
      </c>
      <c r="B17" t="s">
        <v>1641</v>
      </c>
      <c r="C17" s="1">
        <v>45567</v>
      </c>
      <c r="D17" s="2">
        <v>0.98749999999999993</v>
      </c>
      <c r="E17" t="s">
        <v>2</v>
      </c>
      <c r="F17" t="s">
        <v>3</v>
      </c>
      <c r="G17" s="3">
        <v>28.74</v>
      </c>
      <c r="H17" s="3">
        <v>4.3</v>
      </c>
    </row>
    <row r="18" spans="1:8" x14ac:dyDescent="0.35">
      <c r="A18" t="s">
        <v>173</v>
      </c>
      <c r="B18" t="s">
        <v>1642</v>
      </c>
      <c r="C18" s="1">
        <v>45568</v>
      </c>
      <c r="D18" s="2">
        <v>0.45</v>
      </c>
      <c r="E18" t="s">
        <v>2</v>
      </c>
      <c r="F18" t="s">
        <v>3</v>
      </c>
      <c r="G18" s="3">
        <v>23.81</v>
      </c>
      <c r="H18" s="3">
        <v>3.57</v>
      </c>
    </row>
    <row r="19" spans="1:8" x14ac:dyDescent="0.35">
      <c r="A19" t="s">
        <v>173</v>
      </c>
      <c r="B19" t="s">
        <v>1643</v>
      </c>
      <c r="C19" s="1">
        <v>45570</v>
      </c>
      <c r="D19" s="2">
        <v>8.9583333333333334E-2</v>
      </c>
      <c r="E19" t="s">
        <v>2</v>
      </c>
      <c r="F19" t="s">
        <v>3</v>
      </c>
      <c r="G19" s="3">
        <v>42.4</v>
      </c>
      <c r="H19" s="3">
        <v>6.35</v>
      </c>
    </row>
    <row r="20" spans="1:8" x14ac:dyDescent="0.35">
      <c r="A20" t="s">
        <v>173</v>
      </c>
      <c r="B20" t="s">
        <v>1644</v>
      </c>
      <c r="C20" s="1">
        <v>45574</v>
      </c>
      <c r="D20" s="2">
        <v>0.27361111111111108</v>
      </c>
      <c r="E20" t="s">
        <v>2</v>
      </c>
      <c r="F20" t="s">
        <v>3</v>
      </c>
      <c r="G20" s="3">
        <v>10.85</v>
      </c>
      <c r="H20" s="3">
        <v>1.62</v>
      </c>
    </row>
    <row r="21" spans="1:8" x14ac:dyDescent="0.35">
      <c r="A21" t="s">
        <v>173</v>
      </c>
      <c r="B21" t="s">
        <v>1645</v>
      </c>
      <c r="C21" s="1">
        <v>45575</v>
      </c>
      <c r="D21" s="2">
        <v>0.20416666666666669</v>
      </c>
      <c r="E21" t="s">
        <v>2</v>
      </c>
      <c r="F21" t="s">
        <v>3</v>
      </c>
      <c r="G21" s="3">
        <v>23.4</v>
      </c>
      <c r="H21" s="3">
        <v>3.5</v>
      </c>
    </row>
    <row r="22" spans="1:8" x14ac:dyDescent="0.35">
      <c r="A22" t="s">
        <v>173</v>
      </c>
      <c r="B22" t="s">
        <v>1646</v>
      </c>
      <c r="C22" s="1">
        <v>45575</v>
      </c>
      <c r="D22" s="2">
        <v>0.52152777777777781</v>
      </c>
      <c r="E22" t="s">
        <v>2</v>
      </c>
      <c r="F22" t="s">
        <v>3</v>
      </c>
      <c r="G22" s="3">
        <v>31.19</v>
      </c>
      <c r="H22" s="3">
        <v>4.67</v>
      </c>
    </row>
    <row r="23" spans="1:8" x14ac:dyDescent="0.35">
      <c r="A23" t="s">
        <v>173</v>
      </c>
      <c r="B23" t="s">
        <v>1647</v>
      </c>
      <c r="C23" s="1">
        <v>45576</v>
      </c>
      <c r="D23" s="2">
        <v>0.99305555555555547</v>
      </c>
      <c r="E23" t="s">
        <v>2</v>
      </c>
      <c r="F23" t="s">
        <v>3</v>
      </c>
      <c r="G23" s="3">
        <v>30.3</v>
      </c>
      <c r="H23" s="3">
        <v>4.54</v>
      </c>
    </row>
    <row r="24" spans="1:8" x14ac:dyDescent="0.35">
      <c r="A24" t="s">
        <v>173</v>
      </c>
      <c r="B24" t="s">
        <v>1648</v>
      </c>
      <c r="C24" s="1">
        <v>45577</v>
      </c>
      <c r="D24" s="2">
        <v>4.8611111111111112E-2</v>
      </c>
      <c r="E24" t="s">
        <v>2</v>
      </c>
      <c r="F24" t="s">
        <v>3</v>
      </c>
      <c r="G24" s="3">
        <v>17.809999999999999</v>
      </c>
      <c r="H24" s="3">
        <v>2.67</v>
      </c>
    </row>
    <row r="25" spans="1:8" x14ac:dyDescent="0.35">
      <c r="A25" t="s">
        <v>173</v>
      </c>
      <c r="B25" t="s">
        <v>1649</v>
      </c>
      <c r="C25" s="1">
        <v>45579</v>
      </c>
      <c r="D25" s="2">
        <v>9.7222222222222224E-3</v>
      </c>
      <c r="E25" t="s">
        <v>2</v>
      </c>
      <c r="F25" t="s">
        <v>3</v>
      </c>
      <c r="G25" s="3">
        <v>56.54</v>
      </c>
      <c r="H25" s="3">
        <v>8.4700000000000006</v>
      </c>
    </row>
    <row r="26" spans="1:8" x14ac:dyDescent="0.35">
      <c r="A26" t="s">
        <v>173</v>
      </c>
      <c r="B26" t="s">
        <v>1650</v>
      </c>
      <c r="C26" s="1">
        <v>45579</v>
      </c>
      <c r="D26" s="2">
        <v>4.8611111111111112E-2</v>
      </c>
      <c r="E26" t="s">
        <v>2</v>
      </c>
      <c r="F26" t="s">
        <v>3</v>
      </c>
      <c r="G26" s="3">
        <v>22.09</v>
      </c>
      <c r="H26" s="3">
        <v>3.31</v>
      </c>
    </row>
    <row r="27" spans="1:8" x14ac:dyDescent="0.35">
      <c r="A27" t="s">
        <v>173</v>
      </c>
      <c r="B27" t="s">
        <v>1651</v>
      </c>
      <c r="C27" s="1">
        <v>45582</v>
      </c>
      <c r="D27" s="2">
        <v>4.1666666666666664E-2</v>
      </c>
      <c r="E27" t="s">
        <v>2</v>
      </c>
      <c r="F27" t="s">
        <v>3</v>
      </c>
      <c r="G27" s="3">
        <v>21.69</v>
      </c>
      <c r="H27" s="3">
        <v>3.25</v>
      </c>
    </row>
    <row r="28" spans="1:8" x14ac:dyDescent="0.35">
      <c r="A28" t="s">
        <v>173</v>
      </c>
      <c r="B28" t="s">
        <v>1652</v>
      </c>
      <c r="C28" s="1">
        <v>45582</v>
      </c>
      <c r="D28" s="2">
        <v>0.78055555555555556</v>
      </c>
      <c r="E28" t="s">
        <v>2</v>
      </c>
      <c r="F28" t="s">
        <v>3</v>
      </c>
      <c r="G28" s="3">
        <v>24.14</v>
      </c>
      <c r="H28" s="3">
        <v>3.61</v>
      </c>
    </row>
    <row r="29" spans="1:8" x14ac:dyDescent="0.35">
      <c r="A29" t="s">
        <v>173</v>
      </c>
      <c r="B29" t="s">
        <v>1653</v>
      </c>
      <c r="C29" s="1">
        <v>45583</v>
      </c>
      <c r="D29" s="2">
        <v>1.8055555555555557E-2</v>
      </c>
      <c r="E29" t="s">
        <v>2</v>
      </c>
      <c r="F29" t="s">
        <v>3</v>
      </c>
      <c r="G29" s="3">
        <v>20.56</v>
      </c>
      <c r="H29" s="3">
        <v>3.08</v>
      </c>
    </row>
    <row r="30" spans="1:8" x14ac:dyDescent="0.35">
      <c r="A30" t="s">
        <v>173</v>
      </c>
      <c r="B30" t="s">
        <v>1654</v>
      </c>
      <c r="C30" s="1">
        <v>45585</v>
      </c>
      <c r="D30" s="2">
        <v>0.23750000000000002</v>
      </c>
      <c r="E30" t="s">
        <v>2</v>
      </c>
      <c r="F30" t="s">
        <v>3</v>
      </c>
      <c r="G30" s="3">
        <v>23.1</v>
      </c>
      <c r="H30" s="3">
        <v>3.46</v>
      </c>
    </row>
    <row r="31" spans="1:8" x14ac:dyDescent="0.35">
      <c r="A31" t="s">
        <v>173</v>
      </c>
      <c r="B31" t="s">
        <v>1655</v>
      </c>
      <c r="C31" s="1">
        <v>45585</v>
      </c>
      <c r="D31" s="2">
        <v>0.89166666666666661</v>
      </c>
      <c r="E31" t="s">
        <v>2</v>
      </c>
      <c r="F31" t="s">
        <v>3</v>
      </c>
      <c r="G31" s="3">
        <v>29.89</v>
      </c>
      <c r="H31" s="3">
        <v>4.4800000000000004</v>
      </c>
    </row>
    <row r="32" spans="1:8" x14ac:dyDescent="0.35">
      <c r="A32" t="s">
        <v>173</v>
      </c>
      <c r="B32" t="s">
        <v>1656</v>
      </c>
      <c r="C32" s="1">
        <v>45587</v>
      </c>
      <c r="D32" s="2">
        <v>0.16874999999999998</v>
      </c>
      <c r="E32" t="s">
        <v>2</v>
      </c>
      <c r="F32" t="s">
        <v>3</v>
      </c>
      <c r="G32" s="3">
        <v>17.809999999999999</v>
      </c>
      <c r="H32" s="3">
        <v>2.67</v>
      </c>
    </row>
    <row r="33" spans="1:8" x14ac:dyDescent="0.35">
      <c r="A33" t="s">
        <v>173</v>
      </c>
      <c r="B33" t="s">
        <v>1657</v>
      </c>
      <c r="C33" s="1">
        <v>45587</v>
      </c>
      <c r="D33" s="2">
        <v>0.22638888888888889</v>
      </c>
      <c r="E33" t="s">
        <v>2</v>
      </c>
      <c r="F33" t="s">
        <v>3</v>
      </c>
      <c r="G33" s="3">
        <v>44.49</v>
      </c>
      <c r="H33" s="3">
        <v>6.66</v>
      </c>
    </row>
    <row r="34" spans="1:8" x14ac:dyDescent="0.35">
      <c r="A34" t="s">
        <v>173</v>
      </c>
      <c r="B34" t="s">
        <v>1658</v>
      </c>
      <c r="C34" s="1">
        <v>45588</v>
      </c>
      <c r="D34" s="2">
        <v>0.94861111111111107</v>
      </c>
      <c r="E34" t="s">
        <v>2</v>
      </c>
      <c r="F34" t="s">
        <v>3</v>
      </c>
      <c r="G34" s="3">
        <v>25.98</v>
      </c>
      <c r="H34" s="3">
        <v>3.89</v>
      </c>
    </row>
    <row r="35" spans="1:8" x14ac:dyDescent="0.35">
      <c r="A35" t="s">
        <v>173</v>
      </c>
      <c r="B35" t="s">
        <v>1659</v>
      </c>
      <c r="C35" s="1">
        <v>45591</v>
      </c>
      <c r="D35" s="2">
        <v>3.6805555555555557E-2</v>
      </c>
      <c r="E35" t="s">
        <v>2</v>
      </c>
      <c r="F35" t="s">
        <v>3</v>
      </c>
      <c r="G35" s="3">
        <v>25.34</v>
      </c>
      <c r="H35" s="3">
        <v>3.79</v>
      </c>
    </row>
    <row r="36" spans="1:8" x14ac:dyDescent="0.35">
      <c r="A36" t="s">
        <v>173</v>
      </c>
      <c r="B36" t="s">
        <v>1660</v>
      </c>
      <c r="C36" s="1">
        <v>45591</v>
      </c>
      <c r="D36" s="2">
        <v>3.5416666666666666E-2</v>
      </c>
      <c r="E36" t="s">
        <v>2</v>
      </c>
      <c r="F36" t="s">
        <v>3</v>
      </c>
      <c r="G36" s="3">
        <v>27.79</v>
      </c>
      <c r="H36" s="3">
        <v>4.16</v>
      </c>
    </row>
    <row r="37" spans="1:8" x14ac:dyDescent="0.35">
      <c r="A37" t="s">
        <v>173</v>
      </c>
      <c r="B37" t="s">
        <v>1661</v>
      </c>
      <c r="C37" s="1">
        <v>45591</v>
      </c>
      <c r="D37" s="2">
        <v>0.57777777777777783</v>
      </c>
      <c r="E37" t="s">
        <v>2</v>
      </c>
      <c r="F37" t="s">
        <v>3</v>
      </c>
      <c r="G37" s="3">
        <v>23.1</v>
      </c>
      <c r="H37" s="3">
        <v>3.46</v>
      </c>
    </row>
    <row r="38" spans="1:8" x14ac:dyDescent="0.35">
      <c r="A38" t="s">
        <v>173</v>
      </c>
      <c r="B38" t="s">
        <v>1662</v>
      </c>
      <c r="C38" s="1">
        <v>45594</v>
      </c>
      <c r="D38" s="2">
        <v>0.26319444444444445</v>
      </c>
      <c r="E38" t="s">
        <v>2</v>
      </c>
      <c r="F38" t="s">
        <v>3</v>
      </c>
      <c r="G38" s="3">
        <v>13</v>
      </c>
      <c r="H38" s="3">
        <v>1.95</v>
      </c>
    </row>
    <row r="39" spans="1:8" x14ac:dyDescent="0.35">
      <c r="A39" t="s">
        <v>173</v>
      </c>
      <c r="B39" t="s">
        <v>1663</v>
      </c>
      <c r="C39" s="1">
        <v>45596</v>
      </c>
      <c r="D39" s="2">
        <v>0.3263888888888889</v>
      </c>
      <c r="E39" t="s">
        <v>2</v>
      </c>
      <c r="F39" t="s">
        <v>3</v>
      </c>
      <c r="G39" s="3">
        <v>25.99</v>
      </c>
      <c r="H39" s="3">
        <v>3.89</v>
      </c>
    </row>
    <row r="40" spans="1:8" x14ac:dyDescent="0.35">
      <c r="A40" t="s">
        <v>173</v>
      </c>
      <c r="B40" t="s">
        <v>1664</v>
      </c>
      <c r="C40" s="1">
        <v>45596</v>
      </c>
      <c r="D40" s="2">
        <v>0.88055555555555554</v>
      </c>
      <c r="E40" t="s">
        <v>2</v>
      </c>
      <c r="F40" t="s">
        <v>3</v>
      </c>
      <c r="G40" s="3">
        <v>30.58</v>
      </c>
      <c r="H40" s="3">
        <v>4.58</v>
      </c>
    </row>
    <row r="41" spans="1:8" ht="15" thickBot="1" x14ac:dyDescent="0.4">
      <c r="A41" s="4" t="s">
        <v>173</v>
      </c>
      <c r="B41" s="4" t="s">
        <v>1665</v>
      </c>
      <c r="C41" s="6">
        <v>45596</v>
      </c>
      <c r="D41" s="7">
        <v>0.96736111111111101</v>
      </c>
      <c r="E41" s="4" t="s">
        <v>2</v>
      </c>
      <c r="F41" s="4" t="s">
        <v>3</v>
      </c>
      <c r="G41" s="5">
        <v>16.399999999999999</v>
      </c>
      <c r="H41" s="5">
        <v>2.46</v>
      </c>
    </row>
    <row r="42" spans="1:8" x14ac:dyDescent="0.35">
      <c r="A42" t="s">
        <v>2231</v>
      </c>
      <c r="G42" s="9">
        <f t="shared" ref="G42:H42" si="1">SUM(G16:G41)</f>
        <v>707.61</v>
      </c>
      <c r="H42" s="9">
        <f t="shared" si="1"/>
        <v>105.96999999999998</v>
      </c>
    </row>
    <row r="45" spans="1:8" ht="15.75" thickBot="1" x14ac:dyDescent="0.3"/>
    <row r="46" spans="1:8" ht="15.75" thickBot="1" x14ac:dyDescent="0.3">
      <c r="A46" s="11" t="s">
        <v>411</v>
      </c>
      <c r="B46" s="12" t="s">
        <v>163</v>
      </c>
      <c r="C46" s="12" t="s">
        <v>165</v>
      </c>
      <c r="D46" s="12" t="s">
        <v>166</v>
      </c>
      <c r="E46" s="12" t="s">
        <v>164</v>
      </c>
      <c r="F46" s="12" t="s">
        <v>167</v>
      </c>
      <c r="G46" s="12" t="s">
        <v>412</v>
      </c>
      <c r="H46" s="13" t="s">
        <v>169</v>
      </c>
    </row>
    <row r="47" spans="1:8" x14ac:dyDescent="0.35">
      <c r="A47" t="s">
        <v>0</v>
      </c>
      <c r="B47" t="s">
        <v>1666</v>
      </c>
      <c r="C47" s="1">
        <v>45566</v>
      </c>
      <c r="D47" s="2">
        <v>0.72569444444444453</v>
      </c>
      <c r="E47" t="s">
        <v>2</v>
      </c>
      <c r="F47" t="s">
        <v>3</v>
      </c>
      <c r="G47" s="3">
        <v>15.6</v>
      </c>
      <c r="H47" s="3">
        <v>2.34</v>
      </c>
    </row>
    <row r="48" spans="1:8" x14ac:dyDescent="0.35">
      <c r="A48" t="s">
        <v>0</v>
      </c>
      <c r="B48" t="s">
        <v>1667</v>
      </c>
      <c r="C48" s="1">
        <v>45570</v>
      </c>
      <c r="D48" s="2">
        <v>0.89097222222222217</v>
      </c>
      <c r="E48" t="s">
        <v>2</v>
      </c>
      <c r="F48" t="s">
        <v>3</v>
      </c>
      <c r="G48" s="3">
        <v>15.6</v>
      </c>
      <c r="H48" s="3">
        <v>2.34</v>
      </c>
    </row>
    <row r="49" spans="1:8" x14ac:dyDescent="0.35">
      <c r="A49" t="s">
        <v>0</v>
      </c>
      <c r="B49" t="s">
        <v>1668</v>
      </c>
      <c r="C49" s="1">
        <v>45575</v>
      </c>
      <c r="D49" s="2">
        <v>0.82986111111111116</v>
      </c>
      <c r="E49" t="s">
        <v>2</v>
      </c>
      <c r="F49" t="s">
        <v>3</v>
      </c>
      <c r="G49" s="3">
        <v>15.6</v>
      </c>
      <c r="H49" s="3">
        <v>2.34</v>
      </c>
    </row>
    <row r="50" spans="1:8" x14ac:dyDescent="0.35">
      <c r="A50" t="s">
        <v>0</v>
      </c>
      <c r="B50" t="s">
        <v>1669</v>
      </c>
      <c r="C50" s="1">
        <v>45576</v>
      </c>
      <c r="D50" s="2">
        <v>0.91875000000000007</v>
      </c>
      <c r="E50" t="s">
        <v>2</v>
      </c>
      <c r="F50" t="s">
        <v>3</v>
      </c>
      <c r="G50" s="3">
        <v>18.350000000000001</v>
      </c>
      <c r="H50" s="3">
        <v>2.75</v>
      </c>
    </row>
    <row r="51" spans="1:8" x14ac:dyDescent="0.35">
      <c r="A51" t="s">
        <v>0</v>
      </c>
      <c r="B51" t="s">
        <v>1670</v>
      </c>
      <c r="C51" s="1">
        <v>45577</v>
      </c>
      <c r="D51" s="2">
        <v>4.2361111111111106E-2</v>
      </c>
      <c r="E51" t="s">
        <v>2</v>
      </c>
      <c r="F51" t="s">
        <v>3</v>
      </c>
      <c r="G51" s="3">
        <v>17.25</v>
      </c>
      <c r="H51" s="3">
        <v>2.58</v>
      </c>
    </row>
    <row r="52" spans="1:8" x14ac:dyDescent="0.35">
      <c r="A52" t="s">
        <v>0</v>
      </c>
      <c r="B52" t="s">
        <v>1671</v>
      </c>
      <c r="C52" s="1">
        <v>45577</v>
      </c>
      <c r="D52" s="2">
        <v>0.1763888888888889</v>
      </c>
      <c r="E52" t="s">
        <v>2</v>
      </c>
      <c r="F52" t="s">
        <v>3</v>
      </c>
      <c r="G52" s="3">
        <v>38.65</v>
      </c>
      <c r="H52" s="3">
        <v>5.79</v>
      </c>
    </row>
    <row r="53" spans="1:8" x14ac:dyDescent="0.35">
      <c r="A53" t="s">
        <v>0</v>
      </c>
      <c r="B53" t="s">
        <v>1672</v>
      </c>
      <c r="C53" s="1">
        <v>45582</v>
      </c>
      <c r="D53" s="2">
        <v>0.73125000000000007</v>
      </c>
      <c r="E53" t="s">
        <v>2</v>
      </c>
      <c r="F53" t="s">
        <v>3</v>
      </c>
      <c r="G53" s="3">
        <v>111.98</v>
      </c>
      <c r="H53" s="3">
        <v>16.77</v>
      </c>
    </row>
    <row r="54" spans="1:8" x14ac:dyDescent="0.35">
      <c r="A54" t="s">
        <v>0</v>
      </c>
      <c r="B54" t="s">
        <v>1673</v>
      </c>
      <c r="C54" s="1">
        <v>45583</v>
      </c>
      <c r="D54" s="2">
        <v>0.13263888888888889</v>
      </c>
      <c r="E54" t="s">
        <v>2</v>
      </c>
      <c r="F54" t="s">
        <v>3</v>
      </c>
      <c r="G54" s="3">
        <v>42.25</v>
      </c>
      <c r="H54" s="3">
        <v>6.33</v>
      </c>
    </row>
    <row r="55" spans="1:8" x14ac:dyDescent="0.35">
      <c r="A55" t="s">
        <v>0</v>
      </c>
      <c r="B55" t="s">
        <v>1674</v>
      </c>
      <c r="C55" s="1">
        <v>45585</v>
      </c>
      <c r="D55" s="2">
        <v>0.94027777777777777</v>
      </c>
      <c r="E55" t="s">
        <v>2</v>
      </c>
      <c r="F55" t="s">
        <v>3</v>
      </c>
      <c r="G55" s="3">
        <v>15.6</v>
      </c>
      <c r="H55" s="3">
        <v>2.34</v>
      </c>
    </row>
    <row r="56" spans="1:8" x14ac:dyDescent="0.35">
      <c r="A56" t="s">
        <v>0</v>
      </c>
      <c r="B56" t="s">
        <v>1675</v>
      </c>
      <c r="C56" s="1">
        <v>45592</v>
      </c>
      <c r="D56" s="2">
        <v>0.13263888888888889</v>
      </c>
      <c r="E56" t="s">
        <v>2</v>
      </c>
      <c r="F56" t="s">
        <v>3</v>
      </c>
      <c r="G56" s="3">
        <v>32.49</v>
      </c>
      <c r="H56" s="3">
        <v>4.87</v>
      </c>
    </row>
    <row r="57" spans="1:8" ht="15" thickBot="1" x14ac:dyDescent="0.4">
      <c r="A57" s="4" t="s">
        <v>0</v>
      </c>
      <c r="B57" s="4" t="s">
        <v>1676</v>
      </c>
      <c r="C57" s="6">
        <v>45596</v>
      </c>
      <c r="D57" s="7">
        <v>0.36041666666666666</v>
      </c>
      <c r="E57" s="4" t="s">
        <v>2</v>
      </c>
      <c r="F57" s="4" t="s">
        <v>3</v>
      </c>
      <c r="G57" s="5">
        <v>28.51</v>
      </c>
      <c r="H57" s="5">
        <v>4.2699999999999996</v>
      </c>
    </row>
    <row r="58" spans="1:8" x14ac:dyDescent="0.35">
      <c r="A58" t="s">
        <v>2231</v>
      </c>
      <c r="G58" s="9">
        <f t="shared" ref="G58:H58" si="2">SUM(G47:G57)</f>
        <v>351.88000000000005</v>
      </c>
      <c r="H58" s="9">
        <f t="shared" si="2"/>
        <v>52.72</v>
      </c>
    </row>
    <row r="59" spans="1:8" ht="15.75" thickBot="1" x14ac:dyDescent="0.3"/>
    <row r="60" spans="1:8" ht="15.75" thickBot="1" x14ac:dyDescent="0.3">
      <c r="A60" s="11" t="s">
        <v>411</v>
      </c>
      <c r="B60" s="12" t="s">
        <v>163</v>
      </c>
      <c r="C60" s="12" t="s">
        <v>165</v>
      </c>
      <c r="D60" s="12" t="s">
        <v>166</v>
      </c>
      <c r="E60" s="12" t="s">
        <v>164</v>
      </c>
      <c r="F60" s="12" t="s">
        <v>167</v>
      </c>
      <c r="G60" s="12" t="s">
        <v>412</v>
      </c>
      <c r="H60" s="13" t="s">
        <v>169</v>
      </c>
    </row>
    <row r="61" spans="1:8" ht="15" x14ac:dyDescent="0.25">
      <c r="A61" t="s">
        <v>496</v>
      </c>
      <c r="B61" t="s">
        <v>1677</v>
      </c>
      <c r="C61" s="1">
        <v>45571</v>
      </c>
      <c r="D61" s="2">
        <v>0.17152777777777775</v>
      </c>
      <c r="E61" t="s">
        <v>2</v>
      </c>
      <c r="F61" t="s">
        <v>3</v>
      </c>
      <c r="G61" s="3">
        <v>35.1</v>
      </c>
      <c r="H61" s="3">
        <v>5.26</v>
      </c>
    </row>
    <row r="62" spans="1:8" ht="15" x14ac:dyDescent="0.25">
      <c r="A62" t="s">
        <v>496</v>
      </c>
      <c r="B62" t="s">
        <v>1678</v>
      </c>
      <c r="C62" s="1">
        <v>45571</v>
      </c>
      <c r="D62" s="2">
        <v>0.32361111111111113</v>
      </c>
      <c r="E62" t="s">
        <v>2</v>
      </c>
      <c r="F62" t="s">
        <v>3</v>
      </c>
      <c r="G62" s="3">
        <v>41.59</v>
      </c>
      <c r="H62" s="3">
        <v>6.23</v>
      </c>
    </row>
    <row r="63" spans="1:8" ht="15" x14ac:dyDescent="0.25">
      <c r="A63" t="s">
        <v>496</v>
      </c>
      <c r="B63" t="s">
        <v>1679</v>
      </c>
      <c r="C63" s="1">
        <v>45576</v>
      </c>
      <c r="D63" s="2">
        <v>0.35902777777777778</v>
      </c>
      <c r="E63" t="s">
        <v>2</v>
      </c>
      <c r="F63" t="s">
        <v>3</v>
      </c>
      <c r="G63" s="3">
        <v>19.5</v>
      </c>
      <c r="H63" s="3">
        <v>2.92</v>
      </c>
    </row>
    <row r="64" spans="1:8" x14ac:dyDescent="0.35">
      <c r="A64" t="s">
        <v>496</v>
      </c>
      <c r="B64" t="s">
        <v>1680</v>
      </c>
      <c r="C64" s="1">
        <v>45585</v>
      </c>
      <c r="D64" s="2">
        <v>5.6250000000000001E-2</v>
      </c>
      <c r="E64" t="s">
        <v>2</v>
      </c>
      <c r="F64" t="s">
        <v>3</v>
      </c>
      <c r="G64" s="3">
        <v>14.3</v>
      </c>
      <c r="H64" s="3">
        <v>2.14</v>
      </c>
    </row>
    <row r="65" spans="1:8" ht="15" thickBot="1" x14ac:dyDescent="0.4">
      <c r="A65" s="4" t="s">
        <v>496</v>
      </c>
      <c r="B65" s="4" t="s">
        <v>1681</v>
      </c>
      <c r="C65" s="6">
        <v>45594</v>
      </c>
      <c r="D65" s="7">
        <v>0.16111111111111112</v>
      </c>
      <c r="E65" s="4" t="s">
        <v>2</v>
      </c>
      <c r="F65" s="4" t="s">
        <v>3</v>
      </c>
      <c r="G65" s="5">
        <v>65.010000000000005</v>
      </c>
      <c r="H65" s="5">
        <v>9.74</v>
      </c>
    </row>
    <row r="66" spans="1:8" x14ac:dyDescent="0.35">
      <c r="A66" t="s">
        <v>2231</v>
      </c>
      <c r="G66" s="9">
        <f t="shared" ref="G66:H66" si="3">SUM(G61:G65)</f>
        <v>175.5</v>
      </c>
      <c r="H66" s="9">
        <f t="shared" si="3"/>
        <v>26.29</v>
      </c>
    </row>
    <row r="68" spans="1:8" ht="15.75" thickBot="1" x14ac:dyDescent="0.3"/>
    <row r="69" spans="1:8" ht="15.75" thickBot="1" x14ac:dyDescent="0.3">
      <c r="A69" s="11" t="s">
        <v>411</v>
      </c>
      <c r="B69" s="12" t="s">
        <v>163</v>
      </c>
      <c r="C69" s="12" t="s">
        <v>165</v>
      </c>
      <c r="D69" s="12" t="s">
        <v>166</v>
      </c>
      <c r="E69" s="12" t="s">
        <v>164</v>
      </c>
      <c r="F69" s="12" t="s">
        <v>167</v>
      </c>
      <c r="G69" s="12" t="s">
        <v>412</v>
      </c>
      <c r="H69" s="13" t="s">
        <v>169</v>
      </c>
    </row>
    <row r="70" spans="1:8" x14ac:dyDescent="0.35">
      <c r="A70" t="s">
        <v>33</v>
      </c>
      <c r="B70" t="s">
        <v>1682</v>
      </c>
      <c r="C70" s="1">
        <v>45567</v>
      </c>
      <c r="D70" s="2">
        <v>0.90902777777777777</v>
      </c>
      <c r="E70" t="s">
        <v>2</v>
      </c>
      <c r="F70" t="s">
        <v>3</v>
      </c>
      <c r="G70" s="3">
        <v>13.33</v>
      </c>
      <c r="H70" s="3">
        <v>2</v>
      </c>
    </row>
    <row r="71" spans="1:8" x14ac:dyDescent="0.35">
      <c r="A71" t="s">
        <v>33</v>
      </c>
      <c r="B71" t="s">
        <v>1683</v>
      </c>
      <c r="C71" s="1">
        <v>45571</v>
      </c>
      <c r="D71" s="2">
        <v>9.375E-2</v>
      </c>
      <c r="E71" t="s">
        <v>2</v>
      </c>
      <c r="F71" t="s">
        <v>3</v>
      </c>
      <c r="G71" s="3">
        <v>12.13</v>
      </c>
      <c r="H71" s="3">
        <v>1.82</v>
      </c>
    </row>
    <row r="72" spans="1:8" x14ac:dyDescent="0.35">
      <c r="A72" t="s">
        <v>33</v>
      </c>
      <c r="B72" t="s">
        <v>1684</v>
      </c>
      <c r="C72" s="1">
        <v>45572</v>
      </c>
      <c r="D72" s="2">
        <v>9.375E-2</v>
      </c>
      <c r="E72" t="s">
        <v>2</v>
      </c>
      <c r="F72" t="s">
        <v>3</v>
      </c>
      <c r="G72" s="3">
        <v>31.19</v>
      </c>
      <c r="H72" s="3">
        <v>4.67</v>
      </c>
    </row>
    <row r="73" spans="1:8" x14ac:dyDescent="0.35">
      <c r="A73" t="s">
        <v>33</v>
      </c>
      <c r="B73" t="s">
        <v>1685</v>
      </c>
      <c r="C73" s="1">
        <v>45572</v>
      </c>
      <c r="D73" s="2">
        <v>0.74513888888888891</v>
      </c>
      <c r="E73" t="s">
        <v>2</v>
      </c>
      <c r="F73" t="s">
        <v>3</v>
      </c>
      <c r="G73" s="3">
        <v>11.74</v>
      </c>
      <c r="H73" s="3">
        <v>1.76</v>
      </c>
    </row>
    <row r="74" spans="1:8" x14ac:dyDescent="0.35">
      <c r="A74" t="s">
        <v>33</v>
      </c>
      <c r="B74" t="s">
        <v>1686</v>
      </c>
      <c r="C74" s="1">
        <v>45573</v>
      </c>
      <c r="D74" s="2">
        <v>3.4027777777777775E-2</v>
      </c>
      <c r="E74" t="s">
        <v>2</v>
      </c>
      <c r="F74" t="s">
        <v>3</v>
      </c>
      <c r="G74" s="3">
        <v>36.56</v>
      </c>
      <c r="H74" s="3">
        <v>5.47</v>
      </c>
    </row>
    <row r="75" spans="1:8" x14ac:dyDescent="0.35">
      <c r="A75" t="s">
        <v>33</v>
      </c>
      <c r="B75" t="s">
        <v>1687</v>
      </c>
      <c r="C75" s="1">
        <v>45574</v>
      </c>
      <c r="D75" s="2">
        <v>0.15069444444444444</v>
      </c>
      <c r="E75" t="s">
        <v>2</v>
      </c>
      <c r="F75" t="s">
        <v>3</v>
      </c>
      <c r="G75" s="3">
        <v>51</v>
      </c>
      <c r="H75" s="3">
        <v>7.64</v>
      </c>
    </row>
    <row r="76" spans="1:8" x14ac:dyDescent="0.35">
      <c r="A76" t="s">
        <v>33</v>
      </c>
      <c r="B76" t="s">
        <v>1688</v>
      </c>
      <c r="C76" s="1">
        <v>45574</v>
      </c>
      <c r="D76" s="2">
        <v>0.85555555555555562</v>
      </c>
      <c r="E76" t="s">
        <v>2</v>
      </c>
      <c r="F76" t="s">
        <v>3</v>
      </c>
      <c r="G76" s="3">
        <v>8.15</v>
      </c>
      <c r="H76" s="3">
        <v>1.22</v>
      </c>
    </row>
    <row r="77" spans="1:8" x14ac:dyDescent="0.35">
      <c r="A77" t="s">
        <v>33</v>
      </c>
      <c r="B77" t="s">
        <v>1689</v>
      </c>
      <c r="C77" s="1">
        <v>45578</v>
      </c>
      <c r="D77" s="2">
        <v>0.86944444444444446</v>
      </c>
      <c r="E77" t="s">
        <v>2</v>
      </c>
      <c r="F77" t="s">
        <v>3</v>
      </c>
      <c r="G77" s="3">
        <v>27.35</v>
      </c>
      <c r="H77" s="3">
        <v>4.0999999999999996</v>
      </c>
    </row>
    <row r="78" spans="1:8" x14ac:dyDescent="0.35">
      <c r="A78" t="s">
        <v>33</v>
      </c>
      <c r="B78" t="s">
        <v>1690</v>
      </c>
      <c r="C78" s="1">
        <v>45579</v>
      </c>
      <c r="D78" s="2">
        <v>1.7361111111111112E-2</v>
      </c>
      <c r="E78" t="s">
        <v>2</v>
      </c>
      <c r="F78" t="s">
        <v>3</v>
      </c>
      <c r="G78" s="3">
        <v>35.31</v>
      </c>
      <c r="H78" s="3">
        <v>5.29</v>
      </c>
    </row>
    <row r="79" spans="1:8" x14ac:dyDescent="0.35">
      <c r="A79" t="s">
        <v>33</v>
      </c>
      <c r="B79" t="s">
        <v>1691</v>
      </c>
      <c r="C79" s="1">
        <v>45579</v>
      </c>
      <c r="D79" s="2">
        <v>0.22569444444444445</v>
      </c>
      <c r="E79" t="s">
        <v>2</v>
      </c>
      <c r="F79" t="s">
        <v>3</v>
      </c>
      <c r="G79" s="3">
        <v>34.24</v>
      </c>
      <c r="H79" s="3">
        <v>5.13</v>
      </c>
    </row>
    <row r="80" spans="1:8" x14ac:dyDescent="0.35">
      <c r="A80" t="s">
        <v>33</v>
      </c>
      <c r="B80" t="s">
        <v>1692</v>
      </c>
      <c r="C80" s="1">
        <v>45579</v>
      </c>
      <c r="D80" s="2">
        <v>0.97638888888888886</v>
      </c>
      <c r="E80" t="s">
        <v>2</v>
      </c>
      <c r="F80" t="s">
        <v>3</v>
      </c>
      <c r="G80" s="3">
        <v>51.73</v>
      </c>
      <c r="H80" s="3">
        <v>7.75</v>
      </c>
    </row>
    <row r="81" spans="1:8" x14ac:dyDescent="0.35">
      <c r="A81" t="s">
        <v>33</v>
      </c>
      <c r="B81" t="s">
        <v>1693</v>
      </c>
      <c r="C81" s="1">
        <v>45583</v>
      </c>
      <c r="D81" s="2">
        <v>0.94374999999999998</v>
      </c>
      <c r="E81" t="s">
        <v>2</v>
      </c>
      <c r="F81" t="s">
        <v>3</v>
      </c>
      <c r="G81" s="3">
        <v>42.29</v>
      </c>
      <c r="H81" s="3">
        <v>6.33</v>
      </c>
    </row>
    <row r="82" spans="1:8" x14ac:dyDescent="0.35">
      <c r="A82" t="s">
        <v>33</v>
      </c>
      <c r="B82" t="s">
        <v>1694</v>
      </c>
      <c r="C82" s="1">
        <v>45584</v>
      </c>
      <c r="D82" s="2">
        <v>4.8611111111111112E-3</v>
      </c>
      <c r="E82" t="s">
        <v>2</v>
      </c>
      <c r="F82" t="s">
        <v>3</v>
      </c>
      <c r="G82" s="3">
        <v>25.37</v>
      </c>
      <c r="H82" s="3">
        <v>3.8</v>
      </c>
    </row>
    <row r="83" spans="1:8" x14ac:dyDescent="0.35">
      <c r="A83" t="s">
        <v>33</v>
      </c>
      <c r="B83" t="s">
        <v>1695</v>
      </c>
      <c r="C83" s="1">
        <v>45584</v>
      </c>
      <c r="D83" s="2">
        <v>0.23124999999999998</v>
      </c>
      <c r="E83" t="s">
        <v>2</v>
      </c>
      <c r="F83" t="s">
        <v>3</v>
      </c>
      <c r="G83" s="3">
        <v>32.35</v>
      </c>
      <c r="H83" s="3">
        <v>4.84</v>
      </c>
    </row>
    <row r="84" spans="1:8" x14ac:dyDescent="0.35">
      <c r="A84" t="s">
        <v>33</v>
      </c>
      <c r="B84" t="s">
        <v>1696</v>
      </c>
      <c r="C84" s="1">
        <v>45587</v>
      </c>
      <c r="D84" s="2">
        <v>0.19027777777777777</v>
      </c>
      <c r="E84" t="s">
        <v>2</v>
      </c>
      <c r="F84" t="s">
        <v>3</v>
      </c>
      <c r="G84" s="3">
        <v>31.05</v>
      </c>
      <c r="H84" s="3">
        <v>4.6500000000000004</v>
      </c>
    </row>
    <row r="85" spans="1:8" x14ac:dyDescent="0.35">
      <c r="A85" t="s">
        <v>33</v>
      </c>
      <c r="B85" t="s">
        <v>1697</v>
      </c>
      <c r="C85" s="1">
        <v>45592</v>
      </c>
      <c r="D85" s="2">
        <v>0.84583333333333333</v>
      </c>
      <c r="E85" t="s">
        <v>2</v>
      </c>
      <c r="F85" t="s">
        <v>3</v>
      </c>
      <c r="G85" s="3">
        <v>51.76</v>
      </c>
      <c r="H85" s="3">
        <v>7.75</v>
      </c>
    </row>
    <row r="86" spans="1:8" x14ac:dyDescent="0.35">
      <c r="A86" t="s">
        <v>33</v>
      </c>
      <c r="B86" t="s">
        <v>1698</v>
      </c>
      <c r="C86" s="1">
        <v>45593</v>
      </c>
      <c r="D86" s="2">
        <v>0.14861111111111111</v>
      </c>
      <c r="E86" t="s">
        <v>2</v>
      </c>
      <c r="F86" t="s">
        <v>3</v>
      </c>
      <c r="G86" s="3">
        <v>26.55</v>
      </c>
      <c r="H86" s="3">
        <v>3.98</v>
      </c>
    </row>
    <row r="87" spans="1:8" ht="15" thickBot="1" x14ac:dyDescent="0.4">
      <c r="A87" s="4" t="s">
        <v>33</v>
      </c>
      <c r="B87" s="4" t="s">
        <v>1699</v>
      </c>
      <c r="C87" s="6">
        <v>45594</v>
      </c>
      <c r="D87" s="7">
        <v>8.6805555555555566E-2</v>
      </c>
      <c r="E87" s="4" t="s">
        <v>2</v>
      </c>
      <c r="F87" s="4" t="s">
        <v>3</v>
      </c>
      <c r="G87" s="5">
        <v>59.66</v>
      </c>
      <c r="H87" s="5">
        <v>8.93</v>
      </c>
    </row>
    <row r="88" spans="1:8" x14ac:dyDescent="0.35">
      <c r="A88" t="s">
        <v>2231</v>
      </c>
      <c r="G88" s="9">
        <f t="shared" ref="G88:H88" si="4">SUM(G70:G87)</f>
        <v>581.76</v>
      </c>
      <c r="H88" s="9">
        <f t="shared" si="4"/>
        <v>87.13</v>
      </c>
    </row>
    <row r="90" spans="1:8" ht="15.75" thickBot="1" x14ac:dyDescent="0.3"/>
    <row r="91" spans="1:8" ht="15.75" thickBot="1" x14ac:dyDescent="0.3">
      <c r="A91" s="11" t="s">
        <v>411</v>
      </c>
      <c r="B91" s="12" t="s">
        <v>163</v>
      </c>
      <c r="C91" s="12" t="s">
        <v>165</v>
      </c>
      <c r="D91" s="12" t="s">
        <v>166</v>
      </c>
      <c r="E91" s="12" t="s">
        <v>164</v>
      </c>
      <c r="F91" s="12" t="s">
        <v>167</v>
      </c>
      <c r="G91" s="12" t="s">
        <v>412</v>
      </c>
      <c r="H91" s="13" t="s">
        <v>169</v>
      </c>
    </row>
    <row r="92" spans="1:8" x14ac:dyDescent="0.35">
      <c r="A92" t="s">
        <v>246</v>
      </c>
      <c r="B92" t="s">
        <v>1700</v>
      </c>
      <c r="C92" s="1">
        <v>45566</v>
      </c>
      <c r="D92" s="2">
        <v>4.4444444444444446E-2</v>
      </c>
      <c r="E92" t="s">
        <v>2</v>
      </c>
      <c r="F92" t="s">
        <v>3</v>
      </c>
      <c r="G92" s="3">
        <v>35.6</v>
      </c>
      <c r="H92" s="3">
        <v>5.33</v>
      </c>
    </row>
    <row r="93" spans="1:8" x14ac:dyDescent="0.35">
      <c r="A93" t="s">
        <v>246</v>
      </c>
      <c r="B93" t="s">
        <v>1701</v>
      </c>
      <c r="C93" s="1">
        <v>45569</v>
      </c>
      <c r="D93" s="2">
        <v>0.84305555555555556</v>
      </c>
      <c r="E93" t="s">
        <v>2</v>
      </c>
      <c r="F93" t="s">
        <v>3</v>
      </c>
      <c r="G93" s="3">
        <v>5.85</v>
      </c>
      <c r="H93" s="3">
        <v>0.88</v>
      </c>
    </row>
    <row r="94" spans="1:8" x14ac:dyDescent="0.35">
      <c r="A94" t="s">
        <v>246</v>
      </c>
      <c r="B94" t="s">
        <v>1702</v>
      </c>
      <c r="C94" s="1">
        <v>45571</v>
      </c>
      <c r="D94" s="2">
        <v>0.98402777777777783</v>
      </c>
      <c r="E94" t="s">
        <v>2</v>
      </c>
      <c r="F94" t="s">
        <v>3</v>
      </c>
      <c r="G94" s="3">
        <v>14.4</v>
      </c>
      <c r="H94" s="3">
        <v>2.16</v>
      </c>
    </row>
    <row r="95" spans="1:8" x14ac:dyDescent="0.35">
      <c r="A95" t="s">
        <v>246</v>
      </c>
      <c r="B95" t="s">
        <v>1703</v>
      </c>
      <c r="C95" s="1">
        <v>45575</v>
      </c>
      <c r="D95" s="2">
        <v>0.21249999999999999</v>
      </c>
      <c r="E95" t="s">
        <v>2</v>
      </c>
      <c r="F95" t="s">
        <v>3</v>
      </c>
      <c r="G95" s="3">
        <v>11.7</v>
      </c>
      <c r="H95" s="3">
        <v>1.75</v>
      </c>
    </row>
    <row r="96" spans="1:8" x14ac:dyDescent="0.35">
      <c r="A96" t="s">
        <v>246</v>
      </c>
      <c r="B96" t="s">
        <v>1704</v>
      </c>
      <c r="C96" s="1">
        <v>45575</v>
      </c>
      <c r="D96" s="2">
        <v>0.57777777777777783</v>
      </c>
      <c r="E96" t="s">
        <v>2</v>
      </c>
      <c r="F96" t="s">
        <v>3</v>
      </c>
      <c r="G96" s="3">
        <v>22.8</v>
      </c>
      <c r="H96" s="3">
        <v>3.41</v>
      </c>
    </row>
    <row r="97" spans="1:8" x14ac:dyDescent="0.35">
      <c r="A97" t="s">
        <v>246</v>
      </c>
      <c r="B97" t="s">
        <v>1705</v>
      </c>
      <c r="C97" s="1">
        <v>45577</v>
      </c>
      <c r="D97" s="2">
        <v>9.6527777777777768E-2</v>
      </c>
      <c r="E97" t="s">
        <v>2</v>
      </c>
      <c r="F97" t="s">
        <v>3</v>
      </c>
      <c r="G97" s="3">
        <v>10.8</v>
      </c>
      <c r="H97" s="3">
        <v>1.62</v>
      </c>
    </row>
    <row r="98" spans="1:8" x14ac:dyDescent="0.35">
      <c r="A98" t="s">
        <v>246</v>
      </c>
      <c r="B98" t="s">
        <v>1706</v>
      </c>
      <c r="C98" s="1">
        <v>45581</v>
      </c>
      <c r="D98" s="2">
        <v>6.9444444444444441E-3</v>
      </c>
      <c r="E98" t="s">
        <v>2</v>
      </c>
      <c r="F98" t="s">
        <v>3</v>
      </c>
      <c r="G98" s="3">
        <v>8.76</v>
      </c>
      <c r="H98" s="3">
        <v>1.31</v>
      </c>
    </row>
    <row r="99" spans="1:8" x14ac:dyDescent="0.35">
      <c r="A99" t="s">
        <v>246</v>
      </c>
      <c r="B99" t="s">
        <v>1707</v>
      </c>
      <c r="C99" s="1">
        <v>45582</v>
      </c>
      <c r="D99" s="2">
        <v>0.67638888888888893</v>
      </c>
      <c r="E99" t="s">
        <v>2</v>
      </c>
      <c r="F99" t="s">
        <v>3</v>
      </c>
      <c r="G99" s="3">
        <v>8.66</v>
      </c>
      <c r="H99" s="3">
        <v>1.3</v>
      </c>
    </row>
    <row r="100" spans="1:8" ht="15" thickBot="1" x14ac:dyDescent="0.4">
      <c r="A100" s="4" t="s">
        <v>246</v>
      </c>
      <c r="B100" s="4" t="s">
        <v>1708</v>
      </c>
      <c r="C100" s="6">
        <v>45587</v>
      </c>
      <c r="D100" s="7">
        <v>0.10347222222222223</v>
      </c>
      <c r="E100" s="4" t="s">
        <v>2</v>
      </c>
      <c r="F100" s="4" t="s">
        <v>3</v>
      </c>
      <c r="G100" s="5">
        <v>5.4</v>
      </c>
      <c r="H100" s="5">
        <v>0.81</v>
      </c>
    </row>
    <row r="101" spans="1:8" x14ac:dyDescent="0.35">
      <c r="A101" t="s">
        <v>2231</v>
      </c>
      <c r="G101" s="9">
        <f t="shared" ref="G101:H101" si="5">SUM(G92:G100)</f>
        <v>123.97</v>
      </c>
      <c r="H101" s="9">
        <f t="shared" si="5"/>
        <v>18.57</v>
      </c>
    </row>
    <row r="104" spans="1:8" ht="15.75" thickBot="1" x14ac:dyDescent="0.3"/>
    <row r="105" spans="1:8" ht="15.75" thickBot="1" x14ac:dyDescent="0.3">
      <c r="A105" s="11" t="s">
        <v>411</v>
      </c>
      <c r="B105" s="12" t="s">
        <v>163</v>
      </c>
      <c r="C105" s="12" t="s">
        <v>165</v>
      </c>
      <c r="D105" s="12" t="s">
        <v>166</v>
      </c>
      <c r="E105" s="12" t="s">
        <v>164</v>
      </c>
      <c r="F105" s="12" t="s">
        <v>167</v>
      </c>
      <c r="G105" s="12" t="s">
        <v>412</v>
      </c>
      <c r="H105" s="13" t="s">
        <v>169</v>
      </c>
    </row>
    <row r="106" spans="1:8" ht="15" x14ac:dyDescent="0.25">
      <c r="A106" t="s">
        <v>543</v>
      </c>
      <c r="B106" t="s">
        <v>1709</v>
      </c>
      <c r="C106" s="1">
        <v>45566</v>
      </c>
      <c r="D106" s="2">
        <v>9.7222222222222224E-2</v>
      </c>
      <c r="E106" t="s">
        <v>2</v>
      </c>
      <c r="F106" t="s">
        <v>3</v>
      </c>
      <c r="G106" s="3">
        <v>21.17</v>
      </c>
      <c r="H106" s="3">
        <v>3.17</v>
      </c>
    </row>
    <row r="107" spans="1:8" ht="15" x14ac:dyDescent="0.25">
      <c r="A107" t="s">
        <v>543</v>
      </c>
      <c r="B107" t="s">
        <v>1710</v>
      </c>
      <c r="C107" s="1">
        <v>45566</v>
      </c>
      <c r="D107" s="2">
        <v>0.37222222222222223</v>
      </c>
      <c r="E107" t="s">
        <v>2</v>
      </c>
      <c r="F107" t="s">
        <v>3</v>
      </c>
      <c r="G107" s="3">
        <v>25.98</v>
      </c>
      <c r="H107" s="3">
        <v>3.89</v>
      </c>
    </row>
    <row r="108" spans="1:8" ht="15" x14ac:dyDescent="0.25">
      <c r="A108" t="s">
        <v>543</v>
      </c>
      <c r="B108" t="s">
        <v>1711</v>
      </c>
      <c r="C108" s="1">
        <v>45567</v>
      </c>
      <c r="D108" s="2">
        <v>9.375E-2</v>
      </c>
      <c r="E108" t="s">
        <v>2</v>
      </c>
      <c r="F108" t="s">
        <v>3</v>
      </c>
      <c r="G108" s="3">
        <v>15.59</v>
      </c>
      <c r="H108" s="3">
        <v>2.33</v>
      </c>
    </row>
    <row r="109" spans="1:8" ht="15" x14ac:dyDescent="0.25">
      <c r="A109" t="s">
        <v>543</v>
      </c>
      <c r="B109" t="s">
        <v>1712</v>
      </c>
      <c r="C109" s="1">
        <v>45567</v>
      </c>
      <c r="D109" s="2">
        <v>0.86944444444444446</v>
      </c>
      <c r="E109" t="s">
        <v>2</v>
      </c>
      <c r="F109" t="s">
        <v>3</v>
      </c>
      <c r="G109" s="3">
        <v>16.760000000000002</v>
      </c>
      <c r="H109" s="3">
        <v>2.5099999999999998</v>
      </c>
    </row>
    <row r="110" spans="1:8" ht="15" x14ac:dyDescent="0.25">
      <c r="A110" t="s">
        <v>543</v>
      </c>
      <c r="B110" t="s">
        <v>1713</v>
      </c>
      <c r="C110" s="1">
        <v>45567</v>
      </c>
      <c r="D110" s="2">
        <v>0.97569444444444453</v>
      </c>
      <c r="E110" t="s">
        <v>2</v>
      </c>
      <c r="F110" t="s">
        <v>3</v>
      </c>
      <c r="G110" s="3">
        <v>27.44</v>
      </c>
      <c r="H110" s="3">
        <v>4.1100000000000003</v>
      </c>
    </row>
    <row r="111" spans="1:8" ht="15" x14ac:dyDescent="0.25">
      <c r="A111" t="s">
        <v>543</v>
      </c>
      <c r="B111" t="s">
        <v>1714</v>
      </c>
      <c r="C111" s="1">
        <v>45568</v>
      </c>
      <c r="D111" s="2">
        <v>6.3888888888888884E-2</v>
      </c>
      <c r="E111" t="s">
        <v>2</v>
      </c>
      <c r="F111" t="s">
        <v>3</v>
      </c>
      <c r="G111" s="3">
        <v>27.34</v>
      </c>
      <c r="H111" s="3">
        <v>4.09</v>
      </c>
    </row>
    <row r="112" spans="1:8" ht="15" x14ac:dyDescent="0.25">
      <c r="A112" t="s">
        <v>543</v>
      </c>
      <c r="B112" t="s">
        <v>1715</v>
      </c>
      <c r="C112" s="1">
        <v>45568</v>
      </c>
      <c r="D112" s="2">
        <v>0.13819444444444443</v>
      </c>
      <c r="E112" t="s">
        <v>2</v>
      </c>
      <c r="F112" t="s">
        <v>3</v>
      </c>
      <c r="G112" s="3">
        <v>20.79</v>
      </c>
      <c r="H112" s="3">
        <v>3.11</v>
      </c>
    </row>
    <row r="113" spans="1:8" ht="15" x14ac:dyDescent="0.25">
      <c r="A113" t="s">
        <v>543</v>
      </c>
      <c r="B113" t="s">
        <v>1716</v>
      </c>
      <c r="C113" s="1">
        <v>45568</v>
      </c>
      <c r="D113" s="2">
        <v>0.21319444444444444</v>
      </c>
      <c r="E113" t="s">
        <v>2</v>
      </c>
      <c r="F113" t="s">
        <v>3</v>
      </c>
      <c r="G113" s="3">
        <v>20.49</v>
      </c>
      <c r="H113" s="3">
        <v>3.07</v>
      </c>
    </row>
    <row r="114" spans="1:8" ht="15" x14ac:dyDescent="0.25">
      <c r="A114" t="s">
        <v>543</v>
      </c>
      <c r="B114" t="s">
        <v>1717</v>
      </c>
      <c r="C114" s="1">
        <v>45568</v>
      </c>
      <c r="D114" s="2">
        <v>0.51944444444444449</v>
      </c>
      <c r="E114" t="s">
        <v>2</v>
      </c>
      <c r="F114" t="s">
        <v>3</v>
      </c>
      <c r="G114" s="3">
        <v>17.920000000000002</v>
      </c>
      <c r="H114" s="3">
        <v>2.68</v>
      </c>
    </row>
    <row r="115" spans="1:8" ht="15" x14ac:dyDescent="0.25">
      <c r="A115" t="s">
        <v>543</v>
      </c>
      <c r="B115" t="s">
        <v>1718</v>
      </c>
      <c r="C115" s="1">
        <v>45568</v>
      </c>
      <c r="D115" s="2">
        <v>0.97986111111111107</v>
      </c>
      <c r="E115" t="s">
        <v>2</v>
      </c>
      <c r="F115" t="s">
        <v>3</v>
      </c>
      <c r="G115" s="3">
        <v>33.94</v>
      </c>
      <c r="H115" s="3">
        <v>5.08</v>
      </c>
    </row>
    <row r="116" spans="1:8" ht="15" x14ac:dyDescent="0.25">
      <c r="A116" t="s">
        <v>543</v>
      </c>
      <c r="B116" t="s">
        <v>1719</v>
      </c>
      <c r="C116" s="1">
        <v>45569</v>
      </c>
      <c r="D116" s="2">
        <v>4.1666666666666666E-3</v>
      </c>
      <c r="E116" t="s">
        <v>2</v>
      </c>
      <c r="F116" t="s">
        <v>3</v>
      </c>
      <c r="G116" s="3">
        <v>17.59</v>
      </c>
      <c r="H116" s="3">
        <v>2.63</v>
      </c>
    </row>
    <row r="117" spans="1:8" ht="15" x14ac:dyDescent="0.25">
      <c r="A117" t="s">
        <v>543</v>
      </c>
      <c r="B117" t="s">
        <v>1720</v>
      </c>
      <c r="C117" s="1">
        <v>45571</v>
      </c>
      <c r="D117" s="2">
        <v>1.3888888888888888E-2</v>
      </c>
      <c r="E117" t="s">
        <v>2</v>
      </c>
      <c r="F117" t="s">
        <v>3</v>
      </c>
      <c r="G117" s="3">
        <v>26.44</v>
      </c>
      <c r="H117" s="3">
        <v>3.96</v>
      </c>
    </row>
    <row r="118" spans="1:8" ht="15" x14ac:dyDescent="0.25">
      <c r="A118" t="s">
        <v>543</v>
      </c>
      <c r="B118" t="s">
        <v>1721</v>
      </c>
      <c r="C118" s="1">
        <v>45571</v>
      </c>
      <c r="D118" s="2">
        <v>1.1111111111111112E-2</v>
      </c>
      <c r="E118" t="s">
        <v>2</v>
      </c>
      <c r="F118" t="s">
        <v>3</v>
      </c>
      <c r="G118" s="3">
        <v>37.549999999999997</v>
      </c>
      <c r="H118" s="3">
        <v>5.62</v>
      </c>
    </row>
    <row r="119" spans="1:8" ht="15" x14ac:dyDescent="0.25">
      <c r="A119" t="s">
        <v>543</v>
      </c>
      <c r="B119" t="s">
        <v>1722</v>
      </c>
      <c r="C119" s="1">
        <v>45571</v>
      </c>
      <c r="D119" s="2">
        <v>2.1527777777777781E-2</v>
      </c>
      <c r="E119" t="s">
        <v>2</v>
      </c>
      <c r="F119" t="s">
        <v>3</v>
      </c>
      <c r="G119" s="3">
        <v>23.26</v>
      </c>
      <c r="H119" s="3">
        <v>3.48</v>
      </c>
    </row>
    <row r="120" spans="1:8" ht="15" x14ac:dyDescent="0.25">
      <c r="A120" t="s">
        <v>543</v>
      </c>
      <c r="B120" t="s">
        <v>1723</v>
      </c>
      <c r="C120" s="1">
        <v>45571</v>
      </c>
      <c r="D120" s="2">
        <v>0.94305555555555554</v>
      </c>
      <c r="E120" t="s">
        <v>2</v>
      </c>
      <c r="F120" t="s">
        <v>3</v>
      </c>
      <c r="G120" s="3">
        <v>38.86</v>
      </c>
      <c r="H120" s="3">
        <v>5.82</v>
      </c>
    </row>
    <row r="121" spans="1:8" ht="15" x14ac:dyDescent="0.25">
      <c r="A121" t="s">
        <v>543</v>
      </c>
      <c r="B121" t="s">
        <v>1724</v>
      </c>
      <c r="C121" s="1">
        <v>45572</v>
      </c>
      <c r="D121" s="2">
        <v>0.9784722222222223</v>
      </c>
      <c r="E121" t="s">
        <v>2</v>
      </c>
      <c r="F121" t="s">
        <v>3</v>
      </c>
      <c r="G121" s="3">
        <v>18.54</v>
      </c>
      <c r="H121" s="3">
        <v>2.78</v>
      </c>
    </row>
    <row r="122" spans="1:8" ht="15" x14ac:dyDescent="0.25">
      <c r="A122" t="s">
        <v>543</v>
      </c>
      <c r="B122" t="s">
        <v>1725</v>
      </c>
      <c r="C122" s="1">
        <v>45573</v>
      </c>
      <c r="D122" s="2">
        <v>0.84930555555555554</v>
      </c>
      <c r="E122" t="s">
        <v>2</v>
      </c>
      <c r="F122" t="s">
        <v>3</v>
      </c>
      <c r="G122" s="3">
        <v>16.760000000000002</v>
      </c>
      <c r="H122" s="3">
        <v>2.5099999999999998</v>
      </c>
    </row>
    <row r="123" spans="1:8" ht="15" x14ac:dyDescent="0.25">
      <c r="A123" t="s">
        <v>543</v>
      </c>
      <c r="B123" t="s">
        <v>1726</v>
      </c>
      <c r="C123" s="1">
        <v>45573</v>
      </c>
      <c r="D123" s="2">
        <v>0.88263888888888886</v>
      </c>
      <c r="E123" t="s">
        <v>2</v>
      </c>
      <c r="F123" t="s">
        <v>3</v>
      </c>
      <c r="G123" s="3">
        <v>12.34</v>
      </c>
      <c r="H123" s="3">
        <v>1.85</v>
      </c>
    </row>
    <row r="124" spans="1:8" ht="15" x14ac:dyDescent="0.25">
      <c r="A124" t="s">
        <v>543</v>
      </c>
      <c r="B124" t="s">
        <v>1727</v>
      </c>
      <c r="C124" s="1">
        <v>45574</v>
      </c>
      <c r="D124" s="2">
        <v>1.1111111111111112E-2</v>
      </c>
      <c r="E124" t="s">
        <v>2</v>
      </c>
      <c r="F124" t="s">
        <v>3</v>
      </c>
      <c r="G124" s="3">
        <v>27.44</v>
      </c>
      <c r="H124" s="3">
        <v>4.1100000000000003</v>
      </c>
    </row>
    <row r="125" spans="1:8" ht="15" x14ac:dyDescent="0.25">
      <c r="A125" t="s">
        <v>543</v>
      </c>
      <c r="B125" t="s">
        <v>1728</v>
      </c>
      <c r="C125" s="1">
        <v>45574</v>
      </c>
      <c r="D125" s="2">
        <v>0.12847222222222224</v>
      </c>
      <c r="E125" t="s">
        <v>2</v>
      </c>
      <c r="F125" t="s">
        <v>3</v>
      </c>
      <c r="G125" s="3">
        <v>11.23</v>
      </c>
      <c r="H125" s="3">
        <v>1.68</v>
      </c>
    </row>
    <row r="126" spans="1:8" ht="15" x14ac:dyDescent="0.25">
      <c r="A126" t="s">
        <v>543</v>
      </c>
      <c r="B126" t="s">
        <v>1729</v>
      </c>
      <c r="C126" s="1">
        <v>45574</v>
      </c>
      <c r="D126" s="2">
        <v>0.19097222222222221</v>
      </c>
      <c r="E126" t="s">
        <v>2</v>
      </c>
      <c r="F126" t="s">
        <v>3</v>
      </c>
      <c r="G126" s="3">
        <v>21</v>
      </c>
      <c r="H126" s="3">
        <v>3.14</v>
      </c>
    </row>
    <row r="127" spans="1:8" ht="15" x14ac:dyDescent="0.25">
      <c r="A127" t="s">
        <v>543</v>
      </c>
      <c r="B127" t="s">
        <v>1730</v>
      </c>
      <c r="C127" s="1">
        <v>45575</v>
      </c>
      <c r="D127" s="2">
        <v>0.98819444444444438</v>
      </c>
      <c r="E127" t="s">
        <v>2</v>
      </c>
      <c r="F127" t="s">
        <v>3</v>
      </c>
      <c r="G127" s="3">
        <v>22.09</v>
      </c>
      <c r="H127" s="3">
        <v>3.31</v>
      </c>
    </row>
    <row r="128" spans="1:8" ht="15" x14ac:dyDescent="0.25">
      <c r="A128" t="s">
        <v>543</v>
      </c>
      <c r="B128" t="s">
        <v>1731</v>
      </c>
      <c r="C128" s="1">
        <v>45576</v>
      </c>
      <c r="D128" s="2">
        <v>5.9027777777777783E-2</v>
      </c>
      <c r="E128" t="s">
        <v>2</v>
      </c>
      <c r="F128" t="s">
        <v>3</v>
      </c>
      <c r="G128" s="3">
        <v>28.69</v>
      </c>
      <c r="H128" s="3">
        <v>4.3</v>
      </c>
    </row>
    <row r="129" spans="1:8" ht="15" x14ac:dyDescent="0.25">
      <c r="A129" t="s">
        <v>543</v>
      </c>
      <c r="B129" t="s">
        <v>1732</v>
      </c>
      <c r="C129" s="1">
        <v>45577</v>
      </c>
      <c r="D129" s="2">
        <v>7.0833333333333331E-2</v>
      </c>
      <c r="E129" t="s">
        <v>2</v>
      </c>
      <c r="F129" t="s">
        <v>3</v>
      </c>
      <c r="G129" s="3">
        <v>40.93</v>
      </c>
      <c r="H129" s="3">
        <v>6.13</v>
      </c>
    </row>
    <row r="130" spans="1:8" ht="15" x14ac:dyDescent="0.25">
      <c r="A130" t="s">
        <v>543</v>
      </c>
      <c r="B130" t="s">
        <v>1733</v>
      </c>
      <c r="C130" s="1">
        <v>45578</v>
      </c>
      <c r="D130" s="2">
        <v>0.9194444444444444</v>
      </c>
      <c r="E130" t="s">
        <v>2</v>
      </c>
      <c r="F130" t="s">
        <v>3</v>
      </c>
      <c r="G130" s="3">
        <v>13</v>
      </c>
      <c r="H130" s="3">
        <v>1.95</v>
      </c>
    </row>
    <row r="131" spans="1:8" ht="15" x14ac:dyDescent="0.25">
      <c r="A131" t="s">
        <v>543</v>
      </c>
      <c r="B131" t="s">
        <v>1734</v>
      </c>
      <c r="C131" s="1">
        <v>45579</v>
      </c>
      <c r="D131" s="2">
        <v>2.4305555555555556E-2</v>
      </c>
      <c r="E131" t="s">
        <v>2</v>
      </c>
      <c r="F131" t="s">
        <v>3</v>
      </c>
      <c r="G131" s="3">
        <v>30.89</v>
      </c>
      <c r="H131" s="3">
        <v>4.63</v>
      </c>
    </row>
    <row r="132" spans="1:8" ht="15" x14ac:dyDescent="0.25">
      <c r="A132" t="s">
        <v>543</v>
      </c>
      <c r="B132" t="s">
        <v>1735</v>
      </c>
      <c r="C132" s="1">
        <v>45579</v>
      </c>
      <c r="D132" s="2">
        <v>0.25208333333333333</v>
      </c>
      <c r="E132" t="s">
        <v>2</v>
      </c>
      <c r="F132" t="s">
        <v>3</v>
      </c>
      <c r="G132" s="3">
        <v>30.9</v>
      </c>
      <c r="H132" s="3">
        <v>4.63</v>
      </c>
    </row>
    <row r="133" spans="1:8" ht="15" x14ac:dyDescent="0.25">
      <c r="A133" t="s">
        <v>543</v>
      </c>
      <c r="B133" t="s">
        <v>1736</v>
      </c>
      <c r="C133" s="1">
        <v>45579</v>
      </c>
      <c r="D133" s="2">
        <v>0.64236111111111105</v>
      </c>
      <c r="E133" t="s">
        <v>2</v>
      </c>
      <c r="F133" t="s">
        <v>3</v>
      </c>
      <c r="G133" s="3">
        <v>25.33</v>
      </c>
      <c r="H133" s="3">
        <v>3.79</v>
      </c>
    </row>
    <row r="134" spans="1:8" ht="15" x14ac:dyDescent="0.25">
      <c r="A134" t="s">
        <v>543</v>
      </c>
      <c r="B134" t="s">
        <v>1737</v>
      </c>
      <c r="C134" s="1">
        <v>45580</v>
      </c>
      <c r="D134" s="2">
        <v>5.7638888888888885E-2</v>
      </c>
      <c r="E134" t="s">
        <v>2</v>
      </c>
      <c r="F134" t="s">
        <v>3</v>
      </c>
      <c r="G134" s="3">
        <v>68.02</v>
      </c>
      <c r="H134" s="3">
        <v>10.19</v>
      </c>
    </row>
    <row r="135" spans="1:8" ht="15" x14ac:dyDescent="0.25">
      <c r="A135" t="s">
        <v>543</v>
      </c>
      <c r="B135" t="s">
        <v>1738</v>
      </c>
      <c r="C135" s="1">
        <v>45581</v>
      </c>
      <c r="D135" s="2">
        <v>0.55277777777777781</v>
      </c>
      <c r="E135" t="s">
        <v>2</v>
      </c>
      <c r="F135" t="s">
        <v>3</v>
      </c>
      <c r="G135" s="3">
        <v>17.920000000000002</v>
      </c>
      <c r="H135" s="3">
        <v>2.68</v>
      </c>
    </row>
    <row r="136" spans="1:8" ht="15" x14ac:dyDescent="0.25">
      <c r="A136" t="s">
        <v>543</v>
      </c>
      <c r="B136" t="s">
        <v>1739</v>
      </c>
      <c r="C136" s="1">
        <v>45582</v>
      </c>
      <c r="D136" s="2">
        <v>1.8749999999999999E-2</v>
      </c>
      <c r="E136" t="s">
        <v>2</v>
      </c>
      <c r="F136" t="s">
        <v>3</v>
      </c>
      <c r="G136" s="3">
        <v>22.1</v>
      </c>
      <c r="H136" s="3">
        <v>3.31</v>
      </c>
    </row>
    <row r="137" spans="1:8" ht="15" x14ac:dyDescent="0.25">
      <c r="A137" t="s">
        <v>543</v>
      </c>
      <c r="B137" t="s">
        <v>1740</v>
      </c>
      <c r="C137" s="1">
        <v>45583</v>
      </c>
      <c r="D137" s="2">
        <v>0.45624999999999999</v>
      </c>
      <c r="E137" t="s">
        <v>2</v>
      </c>
      <c r="F137" t="s">
        <v>3</v>
      </c>
      <c r="G137" s="3">
        <v>44.82</v>
      </c>
      <c r="H137" s="3">
        <v>6.71</v>
      </c>
    </row>
    <row r="138" spans="1:8" ht="15" x14ac:dyDescent="0.25">
      <c r="A138" t="s">
        <v>543</v>
      </c>
      <c r="B138" t="s">
        <v>1741</v>
      </c>
      <c r="C138" s="1">
        <v>45584</v>
      </c>
      <c r="D138" s="2">
        <v>0.99305555555555547</v>
      </c>
      <c r="E138" t="s">
        <v>2</v>
      </c>
      <c r="F138" t="s">
        <v>3</v>
      </c>
      <c r="G138" s="3">
        <v>15.59</v>
      </c>
      <c r="H138" s="3">
        <v>2.33</v>
      </c>
    </row>
    <row r="139" spans="1:8" ht="15" x14ac:dyDescent="0.25">
      <c r="A139" t="s">
        <v>543</v>
      </c>
      <c r="B139" t="s">
        <v>1742</v>
      </c>
      <c r="C139" s="1">
        <v>45585</v>
      </c>
      <c r="D139" s="2">
        <v>8.5416666666666655E-2</v>
      </c>
      <c r="E139" t="s">
        <v>2</v>
      </c>
      <c r="F139" t="s">
        <v>3</v>
      </c>
      <c r="G139" s="3">
        <v>19.64</v>
      </c>
      <c r="H139" s="3">
        <v>2.94</v>
      </c>
    </row>
    <row r="140" spans="1:8" ht="15" x14ac:dyDescent="0.25">
      <c r="A140" t="s">
        <v>543</v>
      </c>
      <c r="B140" t="s">
        <v>1743</v>
      </c>
      <c r="C140" s="1">
        <v>45585</v>
      </c>
      <c r="D140" s="2">
        <v>0.33124999999999999</v>
      </c>
      <c r="E140" t="s">
        <v>2</v>
      </c>
      <c r="F140" t="s">
        <v>3</v>
      </c>
      <c r="G140" s="3">
        <v>50.51</v>
      </c>
      <c r="H140" s="3">
        <v>7.56</v>
      </c>
    </row>
    <row r="141" spans="1:8" ht="15" x14ac:dyDescent="0.25">
      <c r="A141" t="s">
        <v>543</v>
      </c>
      <c r="B141" t="s">
        <v>1744</v>
      </c>
      <c r="C141" s="1">
        <v>45585</v>
      </c>
      <c r="D141" s="2">
        <v>0.92569444444444438</v>
      </c>
      <c r="E141" t="s">
        <v>2</v>
      </c>
      <c r="F141" t="s">
        <v>3</v>
      </c>
      <c r="G141" s="3">
        <v>22.13</v>
      </c>
      <c r="H141" s="3">
        <v>3.31</v>
      </c>
    </row>
    <row r="142" spans="1:8" ht="15" x14ac:dyDescent="0.25">
      <c r="A142" t="s">
        <v>543</v>
      </c>
      <c r="B142" t="s">
        <v>1745</v>
      </c>
      <c r="C142" s="1">
        <v>45586</v>
      </c>
      <c r="D142" s="2">
        <v>0.92222222222222217</v>
      </c>
      <c r="E142" t="s">
        <v>2</v>
      </c>
      <c r="F142" t="s">
        <v>3</v>
      </c>
      <c r="G142" s="3">
        <v>21.14</v>
      </c>
      <c r="H142" s="3">
        <v>3.17</v>
      </c>
    </row>
    <row r="143" spans="1:8" ht="15" x14ac:dyDescent="0.25">
      <c r="A143" t="s">
        <v>543</v>
      </c>
      <c r="B143" t="s">
        <v>1746</v>
      </c>
      <c r="C143" s="1">
        <v>45587</v>
      </c>
      <c r="D143" s="2">
        <v>3.888888888888889E-2</v>
      </c>
      <c r="E143" t="s">
        <v>2</v>
      </c>
      <c r="F143" t="s">
        <v>3</v>
      </c>
      <c r="G143" s="3">
        <v>18.579999999999998</v>
      </c>
      <c r="H143" s="3">
        <v>2.78</v>
      </c>
    </row>
    <row r="144" spans="1:8" ht="15" x14ac:dyDescent="0.25">
      <c r="A144" t="s">
        <v>543</v>
      </c>
      <c r="B144" t="s">
        <v>1747</v>
      </c>
      <c r="C144" s="1">
        <v>45587</v>
      </c>
      <c r="D144" s="2">
        <v>7.013888888888889E-2</v>
      </c>
      <c r="E144" t="s">
        <v>2</v>
      </c>
      <c r="F144" t="s">
        <v>3</v>
      </c>
      <c r="G144" s="3">
        <v>21.34</v>
      </c>
      <c r="H144" s="3">
        <v>3.2</v>
      </c>
    </row>
    <row r="145" spans="1:8" ht="15" x14ac:dyDescent="0.25">
      <c r="A145" t="s">
        <v>543</v>
      </c>
      <c r="B145" t="s">
        <v>1748</v>
      </c>
      <c r="C145" s="1">
        <v>45587</v>
      </c>
      <c r="D145" s="2">
        <v>0.18541666666666667</v>
      </c>
      <c r="E145" t="s">
        <v>2</v>
      </c>
      <c r="F145" t="s">
        <v>3</v>
      </c>
      <c r="G145" s="3">
        <v>30.28</v>
      </c>
      <c r="H145" s="3">
        <v>4.53</v>
      </c>
    </row>
    <row r="146" spans="1:8" ht="15" x14ac:dyDescent="0.25">
      <c r="A146" t="s">
        <v>543</v>
      </c>
      <c r="B146" t="s">
        <v>1749</v>
      </c>
      <c r="C146" s="1">
        <v>45588</v>
      </c>
      <c r="D146" s="2">
        <v>0.99513888888888891</v>
      </c>
      <c r="E146" t="s">
        <v>2</v>
      </c>
      <c r="F146" t="s">
        <v>3</v>
      </c>
      <c r="G146" s="3">
        <v>57.53</v>
      </c>
      <c r="H146" s="3">
        <v>8.6199999999999992</v>
      </c>
    </row>
    <row r="147" spans="1:8" ht="15" x14ac:dyDescent="0.25">
      <c r="A147" t="s">
        <v>543</v>
      </c>
      <c r="B147" t="s">
        <v>1750</v>
      </c>
      <c r="C147" s="1">
        <v>45589</v>
      </c>
      <c r="D147" s="2">
        <v>7.6388888888888895E-2</v>
      </c>
      <c r="E147" t="s">
        <v>2</v>
      </c>
      <c r="F147" t="s">
        <v>3</v>
      </c>
      <c r="G147" s="3">
        <v>18.57</v>
      </c>
      <c r="H147" s="3">
        <v>2.78</v>
      </c>
    </row>
    <row r="148" spans="1:8" ht="15" x14ac:dyDescent="0.25">
      <c r="A148" t="s">
        <v>543</v>
      </c>
      <c r="B148" t="s">
        <v>1751</v>
      </c>
      <c r="C148" s="1">
        <v>45589</v>
      </c>
      <c r="D148" s="2">
        <v>0.13541666666666666</v>
      </c>
      <c r="E148" t="s">
        <v>2</v>
      </c>
      <c r="F148" t="s">
        <v>3</v>
      </c>
      <c r="G148" s="3">
        <v>30.15</v>
      </c>
      <c r="H148" s="3">
        <v>4.51</v>
      </c>
    </row>
    <row r="149" spans="1:8" ht="15" x14ac:dyDescent="0.25">
      <c r="A149" t="s">
        <v>543</v>
      </c>
      <c r="B149" t="s">
        <v>1752</v>
      </c>
      <c r="C149" s="1">
        <v>45590</v>
      </c>
      <c r="D149" s="2">
        <v>5.0694444444444452E-2</v>
      </c>
      <c r="E149" t="s">
        <v>2</v>
      </c>
      <c r="F149" t="s">
        <v>3</v>
      </c>
      <c r="G149" s="3">
        <v>45.96</v>
      </c>
      <c r="H149" s="3">
        <v>6.88</v>
      </c>
    </row>
    <row r="150" spans="1:8" ht="15" x14ac:dyDescent="0.25">
      <c r="A150" t="s">
        <v>543</v>
      </c>
      <c r="B150" t="s">
        <v>1753</v>
      </c>
      <c r="C150" s="1">
        <v>45591</v>
      </c>
      <c r="D150" s="2">
        <v>0.32847222222222222</v>
      </c>
      <c r="E150" t="s">
        <v>2</v>
      </c>
      <c r="F150" t="s">
        <v>3</v>
      </c>
      <c r="G150" s="3">
        <v>46.42</v>
      </c>
      <c r="H150" s="3">
        <v>6.95</v>
      </c>
    </row>
    <row r="151" spans="1:8" ht="15" x14ac:dyDescent="0.25">
      <c r="A151" t="s">
        <v>543</v>
      </c>
      <c r="B151" t="s">
        <v>1754</v>
      </c>
      <c r="C151" s="1">
        <v>45591</v>
      </c>
      <c r="D151" s="2">
        <v>0.54791666666666672</v>
      </c>
      <c r="E151" t="s">
        <v>2</v>
      </c>
      <c r="F151" t="s">
        <v>3</v>
      </c>
      <c r="G151" s="3">
        <v>33.520000000000003</v>
      </c>
      <c r="H151" s="3">
        <v>5.0199999999999996</v>
      </c>
    </row>
    <row r="152" spans="1:8" ht="15" x14ac:dyDescent="0.25">
      <c r="A152" t="s">
        <v>543</v>
      </c>
      <c r="B152" t="s">
        <v>1755</v>
      </c>
      <c r="C152" s="1">
        <v>45591</v>
      </c>
      <c r="D152" s="2">
        <v>0.94236111111111109</v>
      </c>
      <c r="E152" t="s">
        <v>2</v>
      </c>
      <c r="F152" t="s">
        <v>3</v>
      </c>
      <c r="G152" s="3">
        <v>78</v>
      </c>
      <c r="H152" s="3">
        <v>11.68</v>
      </c>
    </row>
    <row r="153" spans="1:8" ht="15" x14ac:dyDescent="0.25">
      <c r="A153" t="s">
        <v>543</v>
      </c>
      <c r="B153" t="s">
        <v>1756</v>
      </c>
      <c r="C153" s="1">
        <v>45593</v>
      </c>
      <c r="D153" s="2">
        <v>0.78611111111111109</v>
      </c>
      <c r="E153" t="s">
        <v>2</v>
      </c>
      <c r="F153" t="s">
        <v>3</v>
      </c>
      <c r="G153" s="3">
        <v>68.62</v>
      </c>
      <c r="H153" s="3">
        <v>10.28</v>
      </c>
    </row>
    <row r="154" spans="1:8" ht="15" x14ac:dyDescent="0.25">
      <c r="A154" t="s">
        <v>543</v>
      </c>
      <c r="B154" t="s">
        <v>1757</v>
      </c>
      <c r="C154" s="1">
        <v>45593</v>
      </c>
      <c r="D154" s="2">
        <v>0.83263888888888893</v>
      </c>
      <c r="E154" t="s">
        <v>2</v>
      </c>
      <c r="F154" t="s">
        <v>3</v>
      </c>
      <c r="G154" s="3">
        <v>68.62</v>
      </c>
      <c r="H154" s="3">
        <v>10.28</v>
      </c>
    </row>
    <row r="155" spans="1:8" ht="15" x14ac:dyDescent="0.25">
      <c r="A155" t="s">
        <v>543</v>
      </c>
      <c r="B155" t="s">
        <v>1758</v>
      </c>
      <c r="C155" s="1">
        <v>45593</v>
      </c>
      <c r="D155" s="2">
        <v>0.86805555555555547</v>
      </c>
      <c r="E155" t="s">
        <v>2</v>
      </c>
      <c r="F155" t="s">
        <v>3</v>
      </c>
      <c r="G155" s="3">
        <v>45.11</v>
      </c>
      <c r="H155" s="3">
        <v>6.76</v>
      </c>
    </row>
    <row r="156" spans="1:8" ht="15" x14ac:dyDescent="0.25">
      <c r="A156" t="s">
        <v>543</v>
      </c>
      <c r="B156" t="s">
        <v>1759</v>
      </c>
      <c r="C156" s="1">
        <v>45594</v>
      </c>
      <c r="D156" s="2">
        <v>4.4444444444444446E-2</v>
      </c>
      <c r="E156" t="s">
        <v>2</v>
      </c>
      <c r="F156" t="s">
        <v>3</v>
      </c>
      <c r="G156" s="3">
        <v>33.049999999999997</v>
      </c>
      <c r="H156" s="3">
        <v>4.95</v>
      </c>
    </row>
    <row r="157" spans="1:8" ht="15" x14ac:dyDescent="0.25">
      <c r="A157" t="s">
        <v>543</v>
      </c>
      <c r="B157" t="s">
        <v>1760</v>
      </c>
      <c r="C157" s="1">
        <v>45595</v>
      </c>
      <c r="D157" s="2">
        <v>0.17569444444444446</v>
      </c>
      <c r="E157" t="s">
        <v>2</v>
      </c>
      <c r="F157" t="s">
        <v>3</v>
      </c>
      <c r="G157" s="3">
        <v>39.08</v>
      </c>
      <c r="H157" s="3">
        <v>5.85</v>
      </c>
    </row>
    <row r="158" spans="1:8" ht="15" x14ac:dyDescent="0.25">
      <c r="A158" t="s">
        <v>543</v>
      </c>
      <c r="B158" t="s">
        <v>1761</v>
      </c>
      <c r="C158" s="1">
        <v>45595</v>
      </c>
      <c r="D158" s="2">
        <v>0.98402777777777783</v>
      </c>
      <c r="E158" t="s">
        <v>2</v>
      </c>
      <c r="F158" t="s">
        <v>3</v>
      </c>
      <c r="G158" s="3">
        <v>14.95</v>
      </c>
      <c r="H158" s="3">
        <v>2.2400000000000002</v>
      </c>
    </row>
    <row r="159" spans="1:8" ht="15" x14ac:dyDescent="0.25">
      <c r="A159" t="s">
        <v>543</v>
      </c>
      <c r="B159" t="s">
        <v>1762</v>
      </c>
      <c r="C159" s="1">
        <v>45596</v>
      </c>
      <c r="D159" s="2">
        <v>7.7083333333333337E-2</v>
      </c>
      <c r="E159" t="s">
        <v>2</v>
      </c>
      <c r="F159" t="s">
        <v>3</v>
      </c>
      <c r="G159" s="3">
        <v>32.479999999999997</v>
      </c>
      <c r="H159" s="3">
        <v>4.8600000000000003</v>
      </c>
    </row>
    <row r="160" spans="1:8" x14ac:dyDescent="0.35">
      <c r="A160" t="s">
        <v>543</v>
      </c>
      <c r="B160" t="s">
        <v>1763</v>
      </c>
      <c r="C160" s="1">
        <v>45596</v>
      </c>
      <c r="D160" s="2">
        <v>8.1944444444444445E-2</v>
      </c>
      <c r="E160" t="s">
        <v>2</v>
      </c>
      <c r="F160" t="s">
        <v>3</v>
      </c>
      <c r="G160" s="3">
        <v>8.15</v>
      </c>
      <c r="H160" s="3">
        <v>1.22</v>
      </c>
    </row>
    <row r="161" spans="1:8" ht="15" thickBot="1" x14ac:dyDescent="0.4">
      <c r="A161" s="4" t="s">
        <v>543</v>
      </c>
      <c r="B161" s="4" t="s">
        <v>1764</v>
      </c>
      <c r="C161" s="6">
        <v>45596</v>
      </c>
      <c r="D161" s="7">
        <v>0.59791666666666665</v>
      </c>
      <c r="E161" s="4" t="s">
        <v>2</v>
      </c>
      <c r="F161" s="4" t="s">
        <v>3</v>
      </c>
      <c r="G161" s="5">
        <v>22.92</v>
      </c>
      <c r="H161" s="5">
        <v>3.43</v>
      </c>
    </row>
    <row r="162" spans="1:8" x14ac:dyDescent="0.35">
      <c r="A162" t="s">
        <v>2231</v>
      </c>
      <c r="G162" s="9">
        <f t="shared" ref="G162:H162" si="6">SUM(G106:G161)</f>
        <v>1665.4600000000003</v>
      </c>
      <c r="H162" s="9">
        <f t="shared" si="6"/>
        <v>249.38</v>
      </c>
    </row>
    <row r="164" spans="1:8" ht="15.75" thickBot="1" x14ac:dyDescent="0.3"/>
    <row r="165" spans="1:8" ht="15.75" thickBot="1" x14ac:dyDescent="0.3">
      <c r="A165" s="11" t="s">
        <v>411</v>
      </c>
      <c r="B165" s="12" t="s">
        <v>163</v>
      </c>
      <c r="C165" s="12" t="s">
        <v>165</v>
      </c>
      <c r="D165" s="12" t="s">
        <v>166</v>
      </c>
      <c r="E165" s="12" t="s">
        <v>164</v>
      </c>
      <c r="F165" s="12" t="s">
        <v>167</v>
      </c>
      <c r="G165" s="12" t="s">
        <v>412</v>
      </c>
      <c r="H165" s="13" t="s">
        <v>169</v>
      </c>
    </row>
    <row r="166" spans="1:8" x14ac:dyDescent="0.35">
      <c r="A166" t="s">
        <v>40</v>
      </c>
      <c r="B166" t="s">
        <v>1765</v>
      </c>
      <c r="C166" s="1">
        <v>45569</v>
      </c>
      <c r="D166" s="2">
        <v>0.41111111111111115</v>
      </c>
      <c r="E166" t="s">
        <v>2</v>
      </c>
      <c r="F166" t="s">
        <v>3</v>
      </c>
      <c r="G166" s="3">
        <v>20.399999999999999</v>
      </c>
      <c r="H166" s="3">
        <v>3.05</v>
      </c>
    </row>
    <row r="167" spans="1:8" x14ac:dyDescent="0.35">
      <c r="A167" t="s">
        <v>40</v>
      </c>
      <c r="B167" t="s">
        <v>1766</v>
      </c>
      <c r="C167" s="1">
        <v>45572</v>
      </c>
      <c r="D167" s="2">
        <v>0.72986111111111107</v>
      </c>
      <c r="E167" t="s">
        <v>2</v>
      </c>
      <c r="F167" t="s">
        <v>3</v>
      </c>
      <c r="G167" s="3">
        <v>8.15</v>
      </c>
      <c r="H167" s="3">
        <v>1.22</v>
      </c>
    </row>
    <row r="168" spans="1:8" x14ac:dyDescent="0.35">
      <c r="A168" t="s">
        <v>40</v>
      </c>
      <c r="B168" t="s">
        <v>1767</v>
      </c>
      <c r="C168" s="1">
        <v>45572</v>
      </c>
      <c r="D168" s="2">
        <v>0.90625</v>
      </c>
      <c r="E168" t="s">
        <v>2</v>
      </c>
      <c r="F168" t="s">
        <v>3</v>
      </c>
      <c r="G168" s="3">
        <v>18.64</v>
      </c>
      <c r="H168" s="3">
        <v>2.79</v>
      </c>
    </row>
    <row r="169" spans="1:8" x14ac:dyDescent="0.35">
      <c r="A169" t="s">
        <v>40</v>
      </c>
      <c r="B169" t="s">
        <v>1768</v>
      </c>
      <c r="C169" s="1">
        <v>45573</v>
      </c>
      <c r="D169" s="2">
        <v>5.8333333333333327E-2</v>
      </c>
      <c r="E169" t="s">
        <v>2</v>
      </c>
      <c r="F169" t="s">
        <v>3</v>
      </c>
      <c r="G169" s="3">
        <v>10.74</v>
      </c>
      <c r="H169" s="3">
        <v>1.61</v>
      </c>
    </row>
    <row r="170" spans="1:8" x14ac:dyDescent="0.35">
      <c r="A170" t="s">
        <v>40</v>
      </c>
      <c r="B170" t="s">
        <v>1769</v>
      </c>
      <c r="C170" s="1">
        <v>45573</v>
      </c>
      <c r="D170" s="2">
        <v>0.70000000000000007</v>
      </c>
      <c r="E170" t="s">
        <v>2</v>
      </c>
      <c r="F170" t="s">
        <v>3</v>
      </c>
      <c r="G170" s="3">
        <v>35.1</v>
      </c>
      <c r="H170" s="3">
        <v>5.26</v>
      </c>
    </row>
    <row r="171" spans="1:8" x14ac:dyDescent="0.35">
      <c r="A171" t="s">
        <v>40</v>
      </c>
      <c r="B171" t="s">
        <v>1770</v>
      </c>
      <c r="C171" s="1">
        <v>45574</v>
      </c>
      <c r="D171" s="2">
        <v>3.888888888888889E-2</v>
      </c>
      <c r="E171" t="s">
        <v>2</v>
      </c>
      <c r="F171" t="s">
        <v>3</v>
      </c>
      <c r="G171" s="3">
        <v>18.100000000000001</v>
      </c>
      <c r="H171" s="3">
        <v>2.71</v>
      </c>
    </row>
    <row r="172" spans="1:8" x14ac:dyDescent="0.35">
      <c r="A172" t="s">
        <v>40</v>
      </c>
      <c r="B172" t="s">
        <v>1771</v>
      </c>
      <c r="C172" s="1">
        <v>45574</v>
      </c>
      <c r="D172" s="2">
        <v>0.91805555555555562</v>
      </c>
      <c r="E172" t="s">
        <v>2</v>
      </c>
      <c r="F172" t="s">
        <v>3</v>
      </c>
      <c r="G172" s="3">
        <v>30.42</v>
      </c>
      <c r="H172" s="3">
        <v>4.5599999999999996</v>
      </c>
    </row>
    <row r="173" spans="1:8" x14ac:dyDescent="0.35">
      <c r="A173" t="s">
        <v>40</v>
      </c>
      <c r="B173" t="s">
        <v>1772</v>
      </c>
      <c r="C173" s="1">
        <v>45575</v>
      </c>
      <c r="D173" s="2">
        <v>0.99722222222222223</v>
      </c>
      <c r="E173" t="s">
        <v>2</v>
      </c>
      <c r="F173" t="s">
        <v>3</v>
      </c>
      <c r="G173" s="3">
        <v>16.3</v>
      </c>
      <c r="H173" s="3">
        <v>2.44</v>
      </c>
    </row>
    <row r="174" spans="1:8" x14ac:dyDescent="0.35">
      <c r="A174" t="s">
        <v>40</v>
      </c>
      <c r="B174" t="s">
        <v>1773</v>
      </c>
      <c r="C174" s="1">
        <v>45576</v>
      </c>
      <c r="D174" s="2">
        <v>0.14930555555555555</v>
      </c>
      <c r="E174" t="s">
        <v>2</v>
      </c>
      <c r="F174" t="s">
        <v>3</v>
      </c>
      <c r="G174" s="3">
        <v>16.3</v>
      </c>
      <c r="H174" s="3">
        <v>2.44</v>
      </c>
    </row>
    <row r="175" spans="1:8" x14ac:dyDescent="0.35">
      <c r="A175" t="s">
        <v>40</v>
      </c>
      <c r="B175" t="s">
        <v>1774</v>
      </c>
      <c r="C175" s="1">
        <v>45576</v>
      </c>
      <c r="D175" s="2">
        <v>0.87708333333333333</v>
      </c>
      <c r="E175" t="s">
        <v>2</v>
      </c>
      <c r="F175" t="s">
        <v>58</v>
      </c>
      <c r="G175" s="3">
        <v>34.299999999999997</v>
      </c>
      <c r="H175" s="3">
        <v>5.14</v>
      </c>
    </row>
    <row r="176" spans="1:8" x14ac:dyDescent="0.35">
      <c r="A176" t="s">
        <v>40</v>
      </c>
      <c r="B176" t="s">
        <v>1775</v>
      </c>
      <c r="C176" s="1">
        <v>45576</v>
      </c>
      <c r="D176" s="2">
        <v>0.93333333333333324</v>
      </c>
      <c r="E176" t="s">
        <v>2</v>
      </c>
      <c r="F176" t="s">
        <v>3</v>
      </c>
      <c r="G176" s="3">
        <v>22.22</v>
      </c>
      <c r="H176" s="3">
        <v>3.33</v>
      </c>
    </row>
    <row r="177" spans="1:8" x14ac:dyDescent="0.35">
      <c r="A177" t="s">
        <v>40</v>
      </c>
      <c r="B177" t="s">
        <v>1776</v>
      </c>
      <c r="C177" s="1">
        <v>45576</v>
      </c>
      <c r="D177" s="2">
        <v>0.9194444444444444</v>
      </c>
      <c r="E177" t="s">
        <v>2</v>
      </c>
      <c r="F177" t="s">
        <v>3</v>
      </c>
      <c r="G177" s="3">
        <v>34.299999999999997</v>
      </c>
      <c r="H177" s="3">
        <v>5.14</v>
      </c>
    </row>
    <row r="178" spans="1:8" x14ac:dyDescent="0.35">
      <c r="A178" t="s">
        <v>40</v>
      </c>
      <c r="B178" t="s">
        <v>1777</v>
      </c>
      <c r="C178" s="1">
        <v>45577</v>
      </c>
      <c r="D178" s="2">
        <v>0.23611111111111113</v>
      </c>
      <c r="E178" t="s">
        <v>2</v>
      </c>
      <c r="F178" t="s">
        <v>3</v>
      </c>
      <c r="G178" s="3">
        <v>20.85</v>
      </c>
      <c r="H178" s="3">
        <v>3.12</v>
      </c>
    </row>
    <row r="179" spans="1:8" x14ac:dyDescent="0.35">
      <c r="A179" t="s">
        <v>40</v>
      </c>
      <c r="B179" t="s">
        <v>1778</v>
      </c>
      <c r="C179" s="1">
        <v>45577</v>
      </c>
      <c r="D179" s="2">
        <v>0.56041666666666667</v>
      </c>
      <c r="E179" t="s">
        <v>2</v>
      </c>
      <c r="F179" t="s">
        <v>3</v>
      </c>
      <c r="G179" s="3">
        <v>16.3</v>
      </c>
      <c r="H179" s="3">
        <v>2.44</v>
      </c>
    </row>
    <row r="180" spans="1:8" x14ac:dyDescent="0.35">
      <c r="A180" t="s">
        <v>40</v>
      </c>
      <c r="B180" t="s">
        <v>1779</v>
      </c>
      <c r="C180" s="1">
        <v>45577</v>
      </c>
      <c r="D180" s="2">
        <v>0.78125</v>
      </c>
      <c r="E180" t="s">
        <v>2</v>
      </c>
      <c r="F180" t="s">
        <v>3</v>
      </c>
      <c r="G180" s="3">
        <v>9</v>
      </c>
      <c r="H180" s="3">
        <v>1.35</v>
      </c>
    </row>
    <row r="181" spans="1:8" x14ac:dyDescent="0.35">
      <c r="A181" t="s">
        <v>40</v>
      </c>
      <c r="B181" t="s">
        <v>1780</v>
      </c>
      <c r="C181" s="1">
        <v>45578</v>
      </c>
      <c r="D181" s="2">
        <v>0.56458333333333333</v>
      </c>
      <c r="E181" t="s">
        <v>2</v>
      </c>
      <c r="F181" t="s">
        <v>3</v>
      </c>
      <c r="G181" s="3">
        <v>8.15</v>
      </c>
      <c r="H181" s="3">
        <v>1.22</v>
      </c>
    </row>
    <row r="182" spans="1:8" x14ac:dyDescent="0.35">
      <c r="A182" t="s">
        <v>40</v>
      </c>
      <c r="B182" t="s">
        <v>1781</v>
      </c>
      <c r="C182" s="1">
        <v>45578</v>
      </c>
      <c r="D182" s="2">
        <v>0.73263888888888884</v>
      </c>
      <c r="E182" t="s">
        <v>2</v>
      </c>
      <c r="F182" t="s">
        <v>3</v>
      </c>
      <c r="G182" s="3">
        <v>43.82</v>
      </c>
      <c r="H182" s="3">
        <v>6.56</v>
      </c>
    </row>
    <row r="183" spans="1:8" x14ac:dyDescent="0.35">
      <c r="A183" t="s">
        <v>40</v>
      </c>
      <c r="B183" t="s">
        <v>1782</v>
      </c>
      <c r="C183" s="1">
        <v>45582</v>
      </c>
      <c r="D183" s="2">
        <v>0.9458333333333333</v>
      </c>
      <c r="E183" t="s">
        <v>2</v>
      </c>
      <c r="F183" t="s">
        <v>3</v>
      </c>
      <c r="G183" s="3">
        <v>10.9</v>
      </c>
      <c r="H183" s="3">
        <v>1.63</v>
      </c>
    </row>
    <row r="184" spans="1:8" x14ac:dyDescent="0.35">
      <c r="A184" t="s">
        <v>40</v>
      </c>
      <c r="B184" t="s">
        <v>1783</v>
      </c>
      <c r="C184" s="1">
        <v>45583</v>
      </c>
      <c r="D184" s="2">
        <v>0.99305555555555547</v>
      </c>
      <c r="E184" t="s">
        <v>2</v>
      </c>
      <c r="F184" t="s">
        <v>3</v>
      </c>
      <c r="G184" s="3">
        <v>24.12</v>
      </c>
      <c r="H184" s="3">
        <v>3.61</v>
      </c>
    </row>
    <row r="185" spans="1:8" x14ac:dyDescent="0.35">
      <c r="A185" t="s">
        <v>40</v>
      </c>
      <c r="B185" t="s">
        <v>1784</v>
      </c>
      <c r="C185" s="1">
        <v>45584</v>
      </c>
      <c r="D185" s="2">
        <v>0.7944444444444444</v>
      </c>
      <c r="E185" t="s">
        <v>2</v>
      </c>
      <c r="F185" t="s">
        <v>3</v>
      </c>
      <c r="G185" s="3">
        <v>8.15</v>
      </c>
      <c r="H185" s="3">
        <v>1.22</v>
      </c>
    </row>
    <row r="186" spans="1:8" x14ac:dyDescent="0.35">
      <c r="A186" t="s">
        <v>40</v>
      </c>
      <c r="B186" t="s">
        <v>1785</v>
      </c>
      <c r="C186" s="1">
        <v>45585</v>
      </c>
      <c r="D186" s="2">
        <v>0.6958333333333333</v>
      </c>
      <c r="E186" t="s">
        <v>2</v>
      </c>
      <c r="F186" t="s">
        <v>3</v>
      </c>
      <c r="G186" s="3">
        <v>25.3</v>
      </c>
      <c r="H186" s="3">
        <v>3.79</v>
      </c>
    </row>
    <row r="187" spans="1:8" x14ac:dyDescent="0.35">
      <c r="A187" t="s">
        <v>40</v>
      </c>
      <c r="B187" t="s">
        <v>1786</v>
      </c>
      <c r="C187" s="1">
        <v>45588</v>
      </c>
      <c r="D187" s="2">
        <v>0.13680555555555554</v>
      </c>
      <c r="E187" t="s">
        <v>2</v>
      </c>
      <c r="F187" t="s">
        <v>3</v>
      </c>
      <c r="G187" s="3">
        <v>14.4</v>
      </c>
      <c r="H187" s="3">
        <v>2.16</v>
      </c>
    </row>
    <row r="188" spans="1:8" x14ac:dyDescent="0.35">
      <c r="A188" t="s">
        <v>40</v>
      </c>
      <c r="B188" t="s">
        <v>1787</v>
      </c>
      <c r="C188" s="1">
        <v>45588</v>
      </c>
      <c r="D188" s="2">
        <v>0.40972222222222227</v>
      </c>
      <c r="E188" t="s">
        <v>2</v>
      </c>
      <c r="F188" t="s">
        <v>3</v>
      </c>
      <c r="G188" s="3">
        <v>18</v>
      </c>
      <c r="H188" s="3">
        <v>2.7</v>
      </c>
    </row>
    <row r="189" spans="1:8" x14ac:dyDescent="0.35">
      <c r="A189" t="s">
        <v>40</v>
      </c>
      <c r="B189" t="s">
        <v>1788</v>
      </c>
      <c r="C189" s="1">
        <v>45590</v>
      </c>
      <c r="D189" s="2">
        <v>0.84861111111111109</v>
      </c>
      <c r="E189" t="s">
        <v>2</v>
      </c>
      <c r="F189" t="s">
        <v>3</v>
      </c>
      <c r="G189" s="3">
        <v>8.15</v>
      </c>
      <c r="H189" s="3">
        <v>1.22</v>
      </c>
    </row>
    <row r="190" spans="1:8" x14ac:dyDescent="0.35">
      <c r="A190" t="s">
        <v>40</v>
      </c>
      <c r="B190" t="s">
        <v>1789</v>
      </c>
      <c r="C190" s="1">
        <v>45591</v>
      </c>
      <c r="D190" s="2">
        <v>0.41388888888888892</v>
      </c>
      <c r="E190" t="s">
        <v>2</v>
      </c>
      <c r="F190" t="s">
        <v>3</v>
      </c>
      <c r="G190" s="3">
        <v>9.1</v>
      </c>
      <c r="H190" s="3">
        <v>1.36</v>
      </c>
    </row>
    <row r="191" spans="1:8" x14ac:dyDescent="0.35">
      <c r="A191" t="s">
        <v>40</v>
      </c>
      <c r="B191" t="s">
        <v>1790</v>
      </c>
      <c r="C191" s="1">
        <v>45591</v>
      </c>
      <c r="D191" s="2">
        <v>0.8833333333333333</v>
      </c>
      <c r="E191" t="s">
        <v>2</v>
      </c>
      <c r="F191" t="s">
        <v>3</v>
      </c>
      <c r="G191" s="3">
        <v>29.95</v>
      </c>
      <c r="H191" s="3">
        <v>4.49</v>
      </c>
    </row>
    <row r="192" spans="1:8" x14ac:dyDescent="0.35">
      <c r="A192" t="s">
        <v>40</v>
      </c>
      <c r="B192" t="s">
        <v>1791</v>
      </c>
      <c r="C192" s="1">
        <v>45592</v>
      </c>
      <c r="D192" s="2">
        <v>0.72222222222222221</v>
      </c>
      <c r="E192" t="s">
        <v>2</v>
      </c>
      <c r="F192" t="s">
        <v>3</v>
      </c>
      <c r="G192" s="3">
        <v>31.58</v>
      </c>
      <c r="H192" s="3">
        <v>4.7300000000000004</v>
      </c>
    </row>
    <row r="193" spans="1:8" x14ac:dyDescent="0.35">
      <c r="A193" t="s">
        <v>40</v>
      </c>
      <c r="B193" t="s">
        <v>1792</v>
      </c>
      <c r="C193" s="1">
        <v>45595</v>
      </c>
      <c r="D193" s="2">
        <v>0.96388888888888891</v>
      </c>
      <c r="E193" t="s">
        <v>2</v>
      </c>
      <c r="F193" t="s">
        <v>3</v>
      </c>
      <c r="G193" s="3">
        <v>9</v>
      </c>
      <c r="H193" s="3">
        <v>1.35</v>
      </c>
    </row>
    <row r="194" spans="1:8" ht="15" thickBot="1" x14ac:dyDescent="0.4">
      <c r="A194" s="4" t="s">
        <v>40</v>
      </c>
      <c r="B194" s="4" t="s">
        <v>1793</v>
      </c>
      <c r="C194" s="6">
        <v>45595</v>
      </c>
      <c r="D194" s="7">
        <v>0.99930555555555556</v>
      </c>
      <c r="E194" s="4" t="s">
        <v>2</v>
      </c>
      <c r="F194" s="4" t="s">
        <v>3</v>
      </c>
      <c r="G194" s="5">
        <v>8.15</v>
      </c>
      <c r="H194" s="5">
        <v>1.22</v>
      </c>
    </row>
    <row r="195" spans="1:8" x14ac:dyDescent="0.35">
      <c r="A195" t="s">
        <v>2231</v>
      </c>
      <c r="G195" s="9">
        <f t="shared" ref="G195:H195" si="7">SUM(G166:G194)</f>
        <v>559.89</v>
      </c>
      <c r="H195" s="9">
        <f t="shared" si="7"/>
        <v>83.86</v>
      </c>
    </row>
    <row r="198" spans="1:8" ht="15.75" thickBot="1" x14ac:dyDescent="0.3"/>
    <row r="199" spans="1:8" ht="15.75" thickBot="1" x14ac:dyDescent="0.3">
      <c r="A199" s="11" t="s">
        <v>411</v>
      </c>
      <c r="B199" s="12" t="s">
        <v>163</v>
      </c>
      <c r="C199" s="12" t="s">
        <v>165</v>
      </c>
      <c r="D199" s="12" t="s">
        <v>166</v>
      </c>
      <c r="E199" s="12" t="s">
        <v>164</v>
      </c>
      <c r="F199" s="12" t="s">
        <v>167</v>
      </c>
      <c r="G199" s="12" t="s">
        <v>412</v>
      </c>
      <c r="H199" s="13" t="s">
        <v>169</v>
      </c>
    </row>
    <row r="200" spans="1:8" x14ac:dyDescent="0.35">
      <c r="A200" t="s">
        <v>148</v>
      </c>
      <c r="B200" t="s">
        <v>1794</v>
      </c>
      <c r="C200" s="1">
        <v>45567</v>
      </c>
      <c r="D200" s="2">
        <v>0.21944444444444444</v>
      </c>
      <c r="E200" t="s">
        <v>2</v>
      </c>
      <c r="F200" t="s">
        <v>3</v>
      </c>
      <c r="G200" s="3">
        <v>17.809999999999999</v>
      </c>
      <c r="H200" s="3">
        <v>2.67</v>
      </c>
    </row>
    <row r="201" spans="1:8" x14ac:dyDescent="0.35">
      <c r="A201" t="s">
        <v>148</v>
      </c>
      <c r="B201" t="s">
        <v>1795</v>
      </c>
      <c r="C201" s="1">
        <v>45568</v>
      </c>
      <c r="D201" s="2">
        <v>0.32083333333333336</v>
      </c>
      <c r="E201" t="s">
        <v>2</v>
      </c>
      <c r="F201" t="s">
        <v>3</v>
      </c>
      <c r="G201" s="3">
        <v>31.34</v>
      </c>
      <c r="H201" s="3">
        <v>4.6900000000000004</v>
      </c>
    </row>
    <row r="202" spans="1:8" x14ac:dyDescent="0.35">
      <c r="A202" t="s">
        <v>148</v>
      </c>
      <c r="B202" t="s">
        <v>1796</v>
      </c>
      <c r="C202" s="1">
        <v>45570</v>
      </c>
      <c r="D202" s="2">
        <v>9.930555555555555E-2</v>
      </c>
      <c r="E202" t="s">
        <v>2</v>
      </c>
      <c r="F202" t="s">
        <v>3</v>
      </c>
      <c r="G202" s="3">
        <v>56.8</v>
      </c>
      <c r="H202" s="3">
        <v>8.51</v>
      </c>
    </row>
    <row r="203" spans="1:8" x14ac:dyDescent="0.35">
      <c r="A203" t="s">
        <v>148</v>
      </c>
      <c r="B203" t="s">
        <v>1797</v>
      </c>
      <c r="C203" s="1">
        <v>45576</v>
      </c>
      <c r="D203" s="2">
        <v>0.16319444444444445</v>
      </c>
      <c r="E203" t="s">
        <v>2</v>
      </c>
      <c r="F203" t="s">
        <v>3</v>
      </c>
      <c r="G203" s="3">
        <v>19.5</v>
      </c>
      <c r="H203" s="3">
        <v>2.92</v>
      </c>
    </row>
    <row r="204" spans="1:8" x14ac:dyDescent="0.35">
      <c r="A204" t="s">
        <v>148</v>
      </c>
      <c r="B204" t="s">
        <v>1798</v>
      </c>
      <c r="C204" s="1">
        <v>45578</v>
      </c>
      <c r="D204" s="2">
        <v>0.22638888888888889</v>
      </c>
      <c r="E204" t="s">
        <v>2</v>
      </c>
      <c r="F204" t="s">
        <v>3</v>
      </c>
      <c r="G204" s="3">
        <v>17.100000000000001</v>
      </c>
      <c r="H204" s="3">
        <v>2.56</v>
      </c>
    </row>
    <row r="205" spans="1:8" x14ac:dyDescent="0.35">
      <c r="A205" t="s">
        <v>148</v>
      </c>
      <c r="B205" t="s">
        <v>1799</v>
      </c>
      <c r="C205" s="1">
        <v>45579</v>
      </c>
      <c r="D205" s="2">
        <v>7.3611111111111113E-2</v>
      </c>
      <c r="E205" t="s">
        <v>2</v>
      </c>
      <c r="F205" t="s">
        <v>3</v>
      </c>
      <c r="G205" s="3">
        <v>17.8</v>
      </c>
      <c r="H205" s="3">
        <v>2.67</v>
      </c>
    </row>
    <row r="206" spans="1:8" x14ac:dyDescent="0.35">
      <c r="A206" t="s">
        <v>148</v>
      </c>
      <c r="B206" t="s">
        <v>1800</v>
      </c>
      <c r="C206" s="1">
        <v>45579</v>
      </c>
      <c r="D206" s="2">
        <v>0.51180555555555551</v>
      </c>
      <c r="E206" t="s">
        <v>2</v>
      </c>
      <c r="F206" t="s">
        <v>3</v>
      </c>
      <c r="G206" s="3">
        <v>11.05</v>
      </c>
      <c r="H206" s="3">
        <v>1.65</v>
      </c>
    </row>
    <row r="207" spans="1:8" x14ac:dyDescent="0.35">
      <c r="A207" t="s">
        <v>148</v>
      </c>
      <c r="B207" t="s">
        <v>1801</v>
      </c>
      <c r="C207" s="1">
        <v>45585</v>
      </c>
      <c r="D207" s="2">
        <v>0.71736111111111101</v>
      </c>
      <c r="E207" t="s">
        <v>2</v>
      </c>
      <c r="F207" t="s">
        <v>3</v>
      </c>
      <c r="G207" s="3">
        <v>18.190000000000001</v>
      </c>
      <c r="H207" s="3">
        <v>2.72</v>
      </c>
    </row>
    <row r="208" spans="1:8" x14ac:dyDescent="0.35">
      <c r="A208" t="s">
        <v>148</v>
      </c>
      <c r="B208" t="s">
        <v>1802</v>
      </c>
      <c r="C208" s="1">
        <v>45586</v>
      </c>
      <c r="D208" s="2">
        <v>0.25069444444444444</v>
      </c>
      <c r="E208" t="s">
        <v>2</v>
      </c>
      <c r="F208" t="s">
        <v>3</v>
      </c>
      <c r="G208" s="3">
        <v>32.159999999999997</v>
      </c>
      <c r="H208" s="3">
        <v>4.82</v>
      </c>
    </row>
    <row r="209" spans="1:8" x14ac:dyDescent="0.35">
      <c r="A209" t="s">
        <v>148</v>
      </c>
      <c r="B209" t="s">
        <v>1803</v>
      </c>
      <c r="C209" s="1">
        <v>45587</v>
      </c>
      <c r="D209" s="2">
        <v>0.30138888888888887</v>
      </c>
      <c r="E209" t="s">
        <v>2</v>
      </c>
      <c r="F209" t="s">
        <v>3</v>
      </c>
      <c r="G209" s="3">
        <v>53.36</v>
      </c>
      <c r="H209" s="3">
        <v>7.99</v>
      </c>
    </row>
    <row r="210" spans="1:8" x14ac:dyDescent="0.35">
      <c r="A210" t="s">
        <v>148</v>
      </c>
      <c r="B210" t="s">
        <v>1804</v>
      </c>
      <c r="C210" s="1">
        <v>45587</v>
      </c>
      <c r="D210" s="2">
        <v>0.53125</v>
      </c>
      <c r="E210" t="s">
        <v>2</v>
      </c>
      <c r="F210" t="s">
        <v>3</v>
      </c>
      <c r="G210" s="3">
        <v>33.6</v>
      </c>
      <c r="H210" s="3">
        <v>5.03</v>
      </c>
    </row>
    <row r="211" spans="1:8" x14ac:dyDescent="0.35">
      <c r="A211" t="s">
        <v>148</v>
      </c>
      <c r="B211" t="s">
        <v>1805</v>
      </c>
      <c r="C211" s="1">
        <v>45590</v>
      </c>
      <c r="D211" s="2">
        <v>0.94930555555555562</v>
      </c>
      <c r="E211" t="s">
        <v>2</v>
      </c>
      <c r="F211" t="s">
        <v>3</v>
      </c>
      <c r="G211" s="3">
        <v>23.97</v>
      </c>
      <c r="H211" s="3">
        <v>3.59</v>
      </c>
    </row>
    <row r="212" spans="1:8" ht="15" thickBot="1" x14ac:dyDescent="0.4">
      <c r="A212" s="4" t="s">
        <v>148</v>
      </c>
      <c r="B212" s="4" t="s">
        <v>1806</v>
      </c>
      <c r="C212" s="6">
        <v>45595</v>
      </c>
      <c r="D212" s="7">
        <v>0.26527777777777778</v>
      </c>
      <c r="E212" s="4" t="s">
        <v>2</v>
      </c>
      <c r="F212" s="4" t="s">
        <v>3</v>
      </c>
      <c r="G212" s="5">
        <v>55.75</v>
      </c>
      <c r="H212" s="5">
        <v>8.35</v>
      </c>
    </row>
    <row r="213" spans="1:8" x14ac:dyDescent="0.35">
      <c r="A213" t="s">
        <v>2231</v>
      </c>
      <c r="G213" s="3">
        <f t="shared" ref="G213:H213" si="8">SUM(G200:G212)</f>
        <v>388.43000000000006</v>
      </c>
      <c r="H213" s="3">
        <f t="shared" si="8"/>
        <v>58.169999999999995</v>
      </c>
    </row>
    <row r="214" spans="1:8" x14ac:dyDescent="0.35">
      <c r="G214" s="3"/>
      <c r="H214" s="3"/>
    </row>
    <row r="215" spans="1:8" ht="15.75" thickBot="1" x14ac:dyDescent="0.3">
      <c r="G215" s="3"/>
      <c r="H215" s="3"/>
    </row>
    <row r="216" spans="1:8" ht="15.75" thickBot="1" x14ac:dyDescent="0.3">
      <c r="A216" s="11" t="s">
        <v>411</v>
      </c>
      <c r="B216" s="12" t="s">
        <v>163</v>
      </c>
      <c r="C216" s="12" t="s">
        <v>165</v>
      </c>
      <c r="D216" s="12" t="s">
        <v>166</v>
      </c>
      <c r="E216" s="12" t="s">
        <v>164</v>
      </c>
      <c r="F216" s="12" t="s">
        <v>167</v>
      </c>
      <c r="G216" s="25" t="s">
        <v>412</v>
      </c>
      <c r="H216" s="28" t="s">
        <v>169</v>
      </c>
    </row>
    <row r="217" spans="1:8" x14ac:dyDescent="0.35">
      <c r="A217" t="s">
        <v>743</v>
      </c>
      <c r="B217" t="s">
        <v>1807</v>
      </c>
      <c r="C217" s="1">
        <v>45566</v>
      </c>
      <c r="D217" s="2">
        <v>0.12152777777777778</v>
      </c>
      <c r="E217" t="s">
        <v>2</v>
      </c>
      <c r="F217" t="s">
        <v>3</v>
      </c>
      <c r="G217" s="3">
        <v>14.84</v>
      </c>
      <c r="H217" s="3">
        <v>2.2200000000000002</v>
      </c>
    </row>
    <row r="218" spans="1:8" x14ac:dyDescent="0.35">
      <c r="A218" t="s">
        <v>743</v>
      </c>
      <c r="B218" t="s">
        <v>1808</v>
      </c>
      <c r="C218" s="1">
        <v>45567</v>
      </c>
      <c r="D218" s="2">
        <v>0.67152777777777783</v>
      </c>
      <c r="E218" t="s">
        <v>2</v>
      </c>
      <c r="F218" t="s">
        <v>3</v>
      </c>
      <c r="G218" s="3">
        <v>18</v>
      </c>
      <c r="H218" s="3">
        <v>2.7</v>
      </c>
    </row>
    <row r="219" spans="1:8" x14ac:dyDescent="0.35">
      <c r="A219" t="s">
        <v>743</v>
      </c>
      <c r="B219" t="s">
        <v>1809</v>
      </c>
      <c r="C219" s="1">
        <v>45570</v>
      </c>
      <c r="D219" s="2">
        <v>0.15416666666666667</v>
      </c>
      <c r="E219" t="s">
        <v>2</v>
      </c>
      <c r="F219" t="s">
        <v>3</v>
      </c>
      <c r="G219" s="3">
        <v>11.95</v>
      </c>
      <c r="H219" s="3">
        <v>1.79</v>
      </c>
    </row>
    <row r="220" spans="1:8" x14ac:dyDescent="0.35">
      <c r="A220" t="s">
        <v>743</v>
      </c>
      <c r="B220" t="s">
        <v>1810</v>
      </c>
      <c r="C220" s="1">
        <v>45571</v>
      </c>
      <c r="D220" s="2">
        <v>0.17500000000000002</v>
      </c>
      <c r="E220" t="s">
        <v>2</v>
      </c>
      <c r="F220" t="s">
        <v>3</v>
      </c>
      <c r="G220" s="3">
        <v>4.91</v>
      </c>
      <c r="H220" s="3">
        <v>0.74</v>
      </c>
    </row>
    <row r="221" spans="1:8" x14ac:dyDescent="0.35">
      <c r="A221" t="s">
        <v>743</v>
      </c>
      <c r="B221" t="s">
        <v>1811</v>
      </c>
      <c r="C221" s="1">
        <v>45571</v>
      </c>
      <c r="D221" s="2">
        <v>0.94513888888888886</v>
      </c>
      <c r="E221" t="s">
        <v>2</v>
      </c>
      <c r="F221" t="s">
        <v>3</v>
      </c>
      <c r="G221" s="3">
        <v>21.44</v>
      </c>
      <c r="H221" s="3">
        <v>3.21</v>
      </c>
    </row>
    <row r="222" spans="1:8" x14ac:dyDescent="0.35">
      <c r="A222" t="s">
        <v>743</v>
      </c>
      <c r="B222" t="s">
        <v>1812</v>
      </c>
      <c r="C222" s="1">
        <v>45573</v>
      </c>
      <c r="D222" s="2">
        <v>0.93402777777777779</v>
      </c>
      <c r="E222" t="s">
        <v>2</v>
      </c>
      <c r="F222" t="s">
        <v>3</v>
      </c>
      <c r="G222" s="3">
        <v>12.38</v>
      </c>
      <c r="H222" s="3">
        <v>1.85</v>
      </c>
    </row>
    <row r="223" spans="1:8" x14ac:dyDescent="0.35">
      <c r="A223" t="s">
        <v>743</v>
      </c>
      <c r="B223" t="s">
        <v>1813</v>
      </c>
      <c r="C223" s="1">
        <v>45574</v>
      </c>
      <c r="D223" s="2">
        <v>1.8055555555555557E-2</v>
      </c>
      <c r="E223" t="s">
        <v>2</v>
      </c>
      <c r="F223" t="s">
        <v>3</v>
      </c>
      <c r="G223" s="3">
        <v>35.880000000000003</v>
      </c>
      <c r="H223" s="3">
        <v>5.37</v>
      </c>
    </row>
    <row r="224" spans="1:8" x14ac:dyDescent="0.35">
      <c r="A224" t="s">
        <v>743</v>
      </c>
      <c r="B224" t="s">
        <v>1814</v>
      </c>
      <c r="C224" s="1">
        <v>45576</v>
      </c>
      <c r="D224" s="2">
        <v>1.6666666666666666E-2</v>
      </c>
      <c r="E224" t="s">
        <v>2</v>
      </c>
      <c r="F224" t="s">
        <v>3</v>
      </c>
      <c r="G224" s="3">
        <v>9</v>
      </c>
      <c r="H224" s="3">
        <v>1.35</v>
      </c>
    </row>
    <row r="225" spans="1:8" x14ac:dyDescent="0.35">
      <c r="A225" t="s">
        <v>743</v>
      </c>
      <c r="B225" t="s">
        <v>1815</v>
      </c>
      <c r="C225" s="1">
        <v>45579</v>
      </c>
      <c r="D225" s="2">
        <v>0.22500000000000001</v>
      </c>
      <c r="E225" t="s">
        <v>2</v>
      </c>
      <c r="F225" t="s">
        <v>3</v>
      </c>
      <c r="G225" s="3">
        <v>15.2</v>
      </c>
      <c r="H225" s="3">
        <v>2.2799999999999998</v>
      </c>
    </row>
    <row r="226" spans="1:8" x14ac:dyDescent="0.35">
      <c r="A226" t="s">
        <v>743</v>
      </c>
      <c r="B226" t="s">
        <v>1816</v>
      </c>
      <c r="C226" s="1">
        <v>45579</v>
      </c>
      <c r="D226" s="2">
        <v>0.31388888888888888</v>
      </c>
      <c r="E226" t="s">
        <v>2</v>
      </c>
      <c r="F226" t="s">
        <v>3</v>
      </c>
      <c r="G226" s="3">
        <v>10</v>
      </c>
      <c r="H226" s="3">
        <v>1.5</v>
      </c>
    </row>
    <row r="227" spans="1:8" x14ac:dyDescent="0.35">
      <c r="A227" t="s">
        <v>743</v>
      </c>
      <c r="B227" t="s">
        <v>1817</v>
      </c>
      <c r="C227" s="1">
        <v>45580</v>
      </c>
      <c r="D227" s="2">
        <v>0.89583333333333337</v>
      </c>
      <c r="E227" t="s">
        <v>2</v>
      </c>
      <c r="F227" t="s">
        <v>3</v>
      </c>
      <c r="G227" s="3">
        <v>8.15</v>
      </c>
      <c r="H227" s="3">
        <v>1.22</v>
      </c>
    </row>
    <row r="228" spans="1:8" x14ac:dyDescent="0.35">
      <c r="A228" t="s">
        <v>743</v>
      </c>
      <c r="B228" t="s">
        <v>1818</v>
      </c>
      <c r="C228" s="1">
        <v>45582</v>
      </c>
      <c r="D228" s="2">
        <v>0.39374999999999999</v>
      </c>
      <c r="E228" t="s">
        <v>2</v>
      </c>
      <c r="F228" t="s">
        <v>3</v>
      </c>
      <c r="G228" s="3">
        <v>13.8</v>
      </c>
      <c r="H228" s="3">
        <v>2.0699999999999998</v>
      </c>
    </row>
    <row r="229" spans="1:8" x14ac:dyDescent="0.35">
      <c r="A229" t="s">
        <v>743</v>
      </c>
      <c r="B229" t="s">
        <v>1819</v>
      </c>
      <c r="C229" s="1">
        <v>45583</v>
      </c>
      <c r="D229" s="2">
        <v>0.79305555555555562</v>
      </c>
      <c r="E229" t="s">
        <v>2</v>
      </c>
      <c r="F229" t="s">
        <v>3</v>
      </c>
      <c r="G229" s="3">
        <v>18</v>
      </c>
      <c r="H229" s="3">
        <v>2.7</v>
      </c>
    </row>
    <row r="230" spans="1:8" x14ac:dyDescent="0.35">
      <c r="A230" t="s">
        <v>743</v>
      </c>
      <c r="B230" t="s">
        <v>1820</v>
      </c>
      <c r="C230" s="1">
        <v>45585</v>
      </c>
      <c r="D230" s="2">
        <v>0.50972222222222219</v>
      </c>
      <c r="E230" t="s">
        <v>2</v>
      </c>
      <c r="F230" t="s">
        <v>3</v>
      </c>
      <c r="G230" s="3">
        <v>17.149999999999999</v>
      </c>
      <c r="H230" s="3">
        <v>2.57</v>
      </c>
    </row>
    <row r="231" spans="1:8" x14ac:dyDescent="0.35">
      <c r="A231" t="s">
        <v>743</v>
      </c>
      <c r="B231" t="s">
        <v>1821</v>
      </c>
      <c r="C231" s="1">
        <v>45589</v>
      </c>
      <c r="D231" s="2">
        <v>0.22222222222222221</v>
      </c>
      <c r="E231" t="s">
        <v>2</v>
      </c>
      <c r="F231" t="s">
        <v>3</v>
      </c>
      <c r="G231" s="3">
        <v>66.72</v>
      </c>
      <c r="H231" s="3">
        <v>9.99</v>
      </c>
    </row>
    <row r="232" spans="1:8" x14ac:dyDescent="0.35">
      <c r="A232" t="s">
        <v>743</v>
      </c>
      <c r="B232" t="s">
        <v>1822</v>
      </c>
      <c r="C232" s="1">
        <v>45589</v>
      </c>
      <c r="D232" s="2">
        <v>0.96527777777777779</v>
      </c>
      <c r="E232" t="s">
        <v>2</v>
      </c>
      <c r="F232" t="s">
        <v>3</v>
      </c>
      <c r="G232" s="3">
        <v>11.95</v>
      </c>
      <c r="H232" s="3">
        <v>1.79</v>
      </c>
    </row>
    <row r="233" spans="1:8" x14ac:dyDescent="0.35">
      <c r="A233" t="s">
        <v>743</v>
      </c>
      <c r="B233" t="s">
        <v>1823</v>
      </c>
      <c r="C233" s="1">
        <v>45591</v>
      </c>
      <c r="D233" s="2">
        <v>0.61319444444444449</v>
      </c>
      <c r="E233" t="s">
        <v>2</v>
      </c>
      <c r="F233" t="s">
        <v>3</v>
      </c>
      <c r="G233" s="3">
        <v>12.34</v>
      </c>
      <c r="H233" s="3">
        <v>1.85</v>
      </c>
    </row>
    <row r="234" spans="1:8" ht="15" thickBot="1" x14ac:dyDescent="0.4">
      <c r="A234" s="4" t="s">
        <v>743</v>
      </c>
      <c r="B234" s="4" t="s">
        <v>1824</v>
      </c>
      <c r="C234" s="6">
        <v>45592</v>
      </c>
      <c r="D234" s="7">
        <v>0.4604166666666667</v>
      </c>
      <c r="E234" s="4" t="s">
        <v>2</v>
      </c>
      <c r="F234" s="4" t="s">
        <v>3</v>
      </c>
      <c r="G234" s="5">
        <v>20.99</v>
      </c>
      <c r="H234" s="5">
        <v>3.14</v>
      </c>
    </row>
    <row r="235" spans="1:8" x14ac:dyDescent="0.35">
      <c r="A235" s="26" t="s">
        <v>2231</v>
      </c>
      <c r="G235" s="9">
        <f t="shared" ref="G235:H235" si="9">SUM(G217:G234)</f>
        <v>322.7</v>
      </c>
      <c r="H235" s="9">
        <f t="shared" si="9"/>
        <v>48.34</v>
      </c>
    </row>
    <row r="238" spans="1:8" ht="15.75" thickBot="1" x14ac:dyDescent="0.3"/>
    <row r="239" spans="1:8" ht="15.75" thickBot="1" x14ac:dyDescent="0.3">
      <c r="A239" s="11" t="s">
        <v>411</v>
      </c>
      <c r="B239" s="12" t="s">
        <v>163</v>
      </c>
      <c r="C239" s="12" t="s">
        <v>165</v>
      </c>
      <c r="D239" s="12" t="s">
        <v>166</v>
      </c>
      <c r="E239" s="12" t="s">
        <v>164</v>
      </c>
      <c r="F239" s="12" t="s">
        <v>167</v>
      </c>
      <c r="G239" s="12" t="s">
        <v>412</v>
      </c>
      <c r="H239" s="13" t="s">
        <v>169</v>
      </c>
    </row>
    <row r="240" spans="1:8" x14ac:dyDescent="0.35">
      <c r="A240" t="s">
        <v>403</v>
      </c>
      <c r="B240" t="s">
        <v>1825</v>
      </c>
      <c r="C240" s="1">
        <v>45566</v>
      </c>
      <c r="D240" s="2">
        <v>2.7777777777777776E-2</v>
      </c>
      <c r="E240" t="s">
        <v>2</v>
      </c>
      <c r="F240" t="s">
        <v>3</v>
      </c>
      <c r="G240" s="3">
        <v>15.75</v>
      </c>
      <c r="H240" s="3">
        <v>2.36</v>
      </c>
    </row>
    <row r="241" spans="1:8" x14ac:dyDescent="0.35">
      <c r="A241" t="s">
        <v>403</v>
      </c>
      <c r="B241" t="s">
        <v>1826</v>
      </c>
      <c r="C241" s="1">
        <v>45566</v>
      </c>
      <c r="D241" s="2">
        <v>0.13749999999999998</v>
      </c>
      <c r="E241" t="s">
        <v>2</v>
      </c>
      <c r="F241" t="s">
        <v>3</v>
      </c>
      <c r="G241" s="3">
        <v>20.95</v>
      </c>
      <c r="H241" s="3">
        <v>3.14</v>
      </c>
    </row>
    <row r="242" spans="1:8" x14ac:dyDescent="0.35">
      <c r="A242" t="s">
        <v>403</v>
      </c>
      <c r="B242" t="s">
        <v>1827</v>
      </c>
      <c r="C242" s="1">
        <v>45574</v>
      </c>
      <c r="D242" s="2">
        <v>0.20625000000000002</v>
      </c>
      <c r="E242" t="s">
        <v>2</v>
      </c>
      <c r="F242" t="s">
        <v>3</v>
      </c>
      <c r="G242" s="3">
        <v>30.54</v>
      </c>
      <c r="H242" s="3">
        <v>4.57</v>
      </c>
    </row>
    <row r="243" spans="1:8" x14ac:dyDescent="0.35">
      <c r="A243" t="s">
        <v>403</v>
      </c>
      <c r="B243" t="s">
        <v>1828</v>
      </c>
      <c r="C243" s="1">
        <v>45576</v>
      </c>
      <c r="D243" s="2">
        <v>0.25208333333333333</v>
      </c>
      <c r="E243" t="s">
        <v>2</v>
      </c>
      <c r="F243" t="s">
        <v>3</v>
      </c>
      <c r="G243" s="3">
        <v>20.95</v>
      </c>
      <c r="H243" s="3">
        <v>3.14</v>
      </c>
    </row>
    <row r="244" spans="1:8" x14ac:dyDescent="0.35">
      <c r="A244" t="s">
        <v>403</v>
      </c>
      <c r="B244" t="s">
        <v>1829</v>
      </c>
      <c r="C244" s="1">
        <v>45577</v>
      </c>
      <c r="D244" s="2">
        <v>0.3527777777777778</v>
      </c>
      <c r="E244" t="s">
        <v>2</v>
      </c>
      <c r="F244" t="s">
        <v>3</v>
      </c>
      <c r="G244" s="3">
        <v>16.579999999999998</v>
      </c>
      <c r="H244" s="3">
        <v>2.48</v>
      </c>
    </row>
    <row r="245" spans="1:8" x14ac:dyDescent="0.35">
      <c r="A245" t="s">
        <v>403</v>
      </c>
      <c r="B245" t="s">
        <v>1830</v>
      </c>
      <c r="C245" s="1">
        <v>45578</v>
      </c>
      <c r="D245" s="2">
        <v>2.4999999999999998E-2</v>
      </c>
      <c r="E245" t="s">
        <v>2</v>
      </c>
      <c r="F245" t="s">
        <v>3</v>
      </c>
      <c r="G245" s="3">
        <v>59.27</v>
      </c>
      <c r="H245" s="3">
        <v>8.8800000000000008</v>
      </c>
    </row>
    <row r="246" spans="1:8" x14ac:dyDescent="0.35">
      <c r="A246" t="s">
        <v>403</v>
      </c>
      <c r="B246" t="s">
        <v>1831</v>
      </c>
      <c r="C246" s="1">
        <v>45585</v>
      </c>
      <c r="D246" s="2">
        <v>0.25</v>
      </c>
      <c r="E246" t="s">
        <v>2</v>
      </c>
      <c r="F246" t="s">
        <v>3</v>
      </c>
      <c r="G246" s="3">
        <v>17.04</v>
      </c>
      <c r="H246" s="3">
        <v>2.5499999999999998</v>
      </c>
    </row>
    <row r="247" spans="1:8" x14ac:dyDescent="0.35">
      <c r="A247" t="s">
        <v>403</v>
      </c>
      <c r="B247" t="s">
        <v>1832</v>
      </c>
      <c r="C247" s="1">
        <v>45587</v>
      </c>
      <c r="D247" s="2">
        <v>0.1986111111111111</v>
      </c>
      <c r="E247" t="s">
        <v>2</v>
      </c>
      <c r="F247" t="s">
        <v>3</v>
      </c>
      <c r="G247" s="3">
        <v>13</v>
      </c>
      <c r="H247" s="3">
        <v>1.95</v>
      </c>
    </row>
    <row r="248" spans="1:8" x14ac:dyDescent="0.35">
      <c r="A248" t="s">
        <v>403</v>
      </c>
      <c r="B248" t="s">
        <v>1833</v>
      </c>
      <c r="C248" s="1">
        <v>45592</v>
      </c>
      <c r="D248" s="2">
        <v>0.88124999999999998</v>
      </c>
      <c r="E248" t="s">
        <v>2</v>
      </c>
      <c r="F248" t="s">
        <v>3</v>
      </c>
      <c r="G248" s="3">
        <v>35.950000000000003</v>
      </c>
      <c r="H248" s="3">
        <v>5.38</v>
      </c>
    </row>
    <row r="249" spans="1:8" x14ac:dyDescent="0.35">
      <c r="A249" t="s">
        <v>403</v>
      </c>
      <c r="B249" t="s">
        <v>1834</v>
      </c>
      <c r="C249" s="1">
        <v>45593</v>
      </c>
      <c r="D249" s="2">
        <v>0.97291666666666676</v>
      </c>
      <c r="E249" t="s">
        <v>2</v>
      </c>
      <c r="F249" t="s">
        <v>3</v>
      </c>
      <c r="G249" s="3">
        <v>23.59</v>
      </c>
      <c r="H249" s="3">
        <v>3.53</v>
      </c>
    </row>
    <row r="250" spans="1:8" x14ac:dyDescent="0.35">
      <c r="A250" t="s">
        <v>403</v>
      </c>
      <c r="B250" t="s">
        <v>1835</v>
      </c>
      <c r="C250" s="1">
        <v>45594</v>
      </c>
      <c r="D250" s="2">
        <v>0.27569444444444446</v>
      </c>
      <c r="E250" t="s">
        <v>2</v>
      </c>
      <c r="F250" t="s">
        <v>3</v>
      </c>
      <c r="G250" s="3">
        <v>53.78</v>
      </c>
      <c r="H250" s="3">
        <v>8.0500000000000007</v>
      </c>
    </row>
    <row r="251" spans="1:8" ht="15" thickBot="1" x14ac:dyDescent="0.4">
      <c r="A251" s="4" t="s">
        <v>403</v>
      </c>
      <c r="B251" s="4" t="s">
        <v>1836</v>
      </c>
      <c r="C251" s="6">
        <v>45596</v>
      </c>
      <c r="D251" s="7">
        <v>0.19444444444444445</v>
      </c>
      <c r="E251" s="4" t="s">
        <v>2</v>
      </c>
      <c r="F251" s="4" t="s">
        <v>3</v>
      </c>
      <c r="G251" s="5">
        <v>39.4</v>
      </c>
      <c r="H251" s="5">
        <v>5.9</v>
      </c>
    </row>
    <row r="252" spans="1:8" x14ac:dyDescent="0.35">
      <c r="A252" t="s">
        <v>2231</v>
      </c>
      <c r="G252" s="9">
        <f t="shared" ref="G252:H252" si="10">SUM(G240:G251)</f>
        <v>346.8</v>
      </c>
      <c r="H252" s="9">
        <f t="shared" si="10"/>
        <v>51.93</v>
      </c>
    </row>
    <row r="258" spans="1:8" x14ac:dyDescent="0.35">
      <c r="A258" t="s">
        <v>2240</v>
      </c>
      <c r="G258" s="9">
        <f>SUM(G252,G235,G213,G195,G162,G101,G88,G66,G58,G42,G11)</f>
        <v>5287.21</v>
      </c>
    </row>
    <row r="259" spans="1:8" x14ac:dyDescent="0.35">
      <c r="A259" t="s">
        <v>2241</v>
      </c>
      <c r="H259" s="9">
        <f>SUM(H252,H235,H213,H195,H162,H101,H88,H66,H58,H42,H11)</f>
        <v>791.82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51"/>
  <sheetViews>
    <sheetView topLeftCell="A228" zoomScale="90" zoomScaleNormal="90" workbookViewId="0">
      <selection activeCell="G249" sqref="G249"/>
    </sheetView>
  </sheetViews>
  <sheetFormatPr defaultRowHeight="14.5" x14ac:dyDescent="0.35"/>
  <cols>
    <col min="1" max="1" width="26.90625" customWidth="1"/>
    <col min="3" max="3" width="14.26953125" customWidth="1"/>
    <col min="6" max="6" width="12" customWidth="1"/>
    <col min="7" max="7" width="15" customWidth="1"/>
    <col min="8" max="8" width="14" customWidth="1"/>
  </cols>
  <sheetData>
    <row r="5" spans="1:8" ht="15.75" thickBot="1" x14ac:dyDescent="0.3"/>
    <row r="6" spans="1:8" ht="15" thickBot="1" x14ac:dyDescent="0.4">
      <c r="A6" s="11" t="s">
        <v>411</v>
      </c>
      <c r="B6" s="12" t="s">
        <v>163</v>
      </c>
      <c r="C6" s="12" t="s">
        <v>165</v>
      </c>
      <c r="D6" s="12" t="s">
        <v>166</v>
      </c>
      <c r="E6" s="12" t="s">
        <v>164</v>
      </c>
      <c r="F6" s="12" t="s">
        <v>167</v>
      </c>
      <c r="G6" s="12" t="s">
        <v>412</v>
      </c>
      <c r="H6" s="13" t="s">
        <v>169</v>
      </c>
    </row>
    <row r="7" spans="1:8" x14ac:dyDescent="0.35">
      <c r="A7" t="s">
        <v>414</v>
      </c>
      <c r="B7" t="s">
        <v>1837</v>
      </c>
      <c r="C7" s="1">
        <v>45598</v>
      </c>
      <c r="D7" s="2">
        <v>0.21736111111111112</v>
      </c>
      <c r="E7" t="s">
        <v>2</v>
      </c>
      <c r="F7" t="s">
        <v>3</v>
      </c>
      <c r="G7" s="3">
        <v>46.93</v>
      </c>
      <c r="H7" s="3">
        <v>7.03</v>
      </c>
    </row>
    <row r="8" spans="1:8" x14ac:dyDescent="0.35">
      <c r="A8" t="s">
        <v>414</v>
      </c>
      <c r="B8" t="s">
        <v>1838</v>
      </c>
      <c r="C8" s="1">
        <v>45598</v>
      </c>
      <c r="D8" s="2">
        <v>0.62708333333333333</v>
      </c>
      <c r="E8" t="s">
        <v>180</v>
      </c>
      <c r="F8" t="s">
        <v>3</v>
      </c>
      <c r="G8" s="3">
        <v>0.5</v>
      </c>
      <c r="H8" s="3">
        <v>7.0000000000000007E-2</v>
      </c>
    </row>
    <row r="9" spans="1:8" x14ac:dyDescent="0.35">
      <c r="A9" t="s">
        <v>414</v>
      </c>
      <c r="B9" t="s">
        <v>1839</v>
      </c>
      <c r="C9" s="1">
        <v>45601</v>
      </c>
      <c r="D9" s="2">
        <v>0.16597222222222222</v>
      </c>
      <c r="E9" t="s">
        <v>2</v>
      </c>
      <c r="F9" t="s">
        <v>3</v>
      </c>
      <c r="G9" s="3">
        <v>25.55</v>
      </c>
      <c r="H9" s="3">
        <v>3.83</v>
      </c>
    </row>
    <row r="10" spans="1:8" x14ac:dyDescent="0.35">
      <c r="A10" t="s">
        <v>414</v>
      </c>
      <c r="B10" t="s">
        <v>1840</v>
      </c>
      <c r="C10" s="1">
        <v>45608</v>
      </c>
      <c r="D10" s="2">
        <v>0.29097222222222224</v>
      </c>
      <c r="E10" t="s">
        <v>180</v>
      </c>
      <c r="F10" t="s">
        <v>3</v>
      </c>
      <c r="G10" s="3">
        <v>0.5</v>
      </c>
      <c r="H10" s="3">
        <v>7.0000000000000007E-2</v>
      </c>
    </row>
    <row r="11" spans="1:8" x14ac:dyDescent="0.35">
      <c r="A11" t="s">
        <v>414</v>
      </c>
      <c r="B11" t="s">
        <v>1841</v>
      </c>
      <c r="C11" s="1">
        <v>45608</v>
      </c>
      <c r="D11" s="2">
        <v>0.53611111111111109</v>
      </c>
      <c r="E11" t="s">
        <v>180</v>
      </c>
      <c r="F11" t="s">
        <v>3</v>
      </c>
      <c r="G11" s="3">
        <v>0.5</v>
      </c>
      <c r="H11" s="3">
        <v>7.0000000000000007E-2</v>
      </c>
    </row>
    <row r="12" spans="1:8" x14ac:dyDescent="0.35">
      <c r="A12" t="s">
        <v>414</v>
      </c>
      <c r="B12" t="s">
        <v>1842</v>
      </c>
      <c r="C12" s="1">
        <v>45609</v>
      </c>
      <c r="D12" s="2">
        <v>0.61111111111111105</v>
      </c>
      <c r="E12" t="s">
        <v>180</v>
      </c>
      <c r="F12" t="s">
        <v>3</v>
      </c>
      <c r="G12" s="3">
        <v>0.5</v>
      </c>
      <c r="H12" s="3">
        <v>7.0000000000000007E-2</v>
      </c>
    </row>
    <row r="13" spans="1:8" x14ac:dyDescent="0.35">
      <c r="A13" t="s">
        <v>414</v>
      </c>
      <c r="B13" t="s">
        <v>1843</v>
      </c>
      <c r="C13" s="1">
        <v>45609</v>
      </c>
      <c r="D13" s="2">
        <v>0.95277777777777783</v>
      </c>
      <c r="E13" t="s">
        <v>2</v>
      </c>
      <c r="F13" t="s">
        <v>3</v>
      </c>
      <c r="G13" s="3">
        <v>31.67</v>
      </c>
      <c r="H13" s="3">
        <v>4.74</v>
      </c>
    </row>
    <row r="14" spans="1:8" x14ac:dyDescent="0.35">
      <c r="A14" t="s">
        <v>414</v>
      </c>
      <c r="B14" t="s">
        <v>1844</v>
      </c>
      <c r="C14" s="1">
        <v>45610</v>
      </c>
      <c r="D14" s="2">
        <v>0.85138888888888886</v>
      </c>
      <c r="E14" t="s">
        <v>180</v>
      </c>
      <c r="F14" t="s">
        <v>3</v>
      </c>
      <c r="G14" s="3">
        <v>0.5</v>
      </c>
      <c r="H14" s="3">
        <v>7.0000000000000007E-2</v>
      </c>
    </row>
    <row r="15" spans="1:8" ht="15" thickBot="1" x14ac:dyDescent="0.4">
      <c r="A15" s="4" t="s">
        <v>414</v>
      </c>
      <c r="B15" s="4" t="s">
        <v>1845</v>
      </c>
      <c r="C15" s="6">
        <v>45612</v>
      </c>
      <c r="D15" s="7">
        <v>0.32013888888888892</v>
      </c>
      <c r="E15" s="4" t="s">
        <v>2</v>
      </c>
      <c r="F15" s="4" t="s">
        <v>3</v>
      </c>
      <c r="G15" s="5">
        <v>20.64</v>
      </c>
      <c r="H15" s="5">
        <v>3.09</v>
      </c>
    </row>
    <row r="16" spans="1:8" x14ac:dyDescent="0.35">
      <c r="A16" s="26" t="s">
        <v>2232</v>
      </c>
      <c r="G16" s="9">
        <f t="shared" ref="G16:H16" si="0">SUM(G7:G15)</f>
        <v>127.29</v>
      </c>
      <c r="H16" s="9">
        <f t="shared" si="0"/>
        <v>19.04</v>
      </c>
    </row>
    <row r="18" spans="1:8" ht="15.75" thickBot="1" x14ac:dyDescent="0.3"/>
    <row r="19" spans="1:8" ht="15.75" thickBot="1" x14ac:dyDescent="0.3">
      <c r="A19" s="11" t="s">
        <v>411</v>
      </c>
      <c r="B19" s="12" t="s">
        <v>163</v>
      </c>
      <c r="C19" s="12" t="s">
        <v>165</v>
      </c>
      <c r="D19" s="12" t="s">
        <v>166</v>
      </c>
      <c r="E19" s="12" t="s">
        <v>164</v>
      </c>
      <c r="F19" s="12" t="s">
        <v>167</v>
      </c>
      <c r="G19" s="12" t="s">
        <v>412</v>
      </c>
      <c r="H19" s="13" t="s">
        <v>169</v>
      </c>
    </row>
    <row r="20" spans="1:8" x14ac:dyDescent="0.35">
      <c r="A20" t="s">
        <v>173</v>
      </c>
      <c r="B20" t="s">
        <v>1846</v>
      </c>
      <c r="C20" s="1">
        <v>45596</v>
      </c>
      <c r="D20" s="2">
        <v>0.96875</v>
      </c>
      <c r="E20" t="s">
        <v>2</v>
      </c>
      <c r="F20" t="s">
        <v>3</v>
      </c>
      <c r="G20" s="3">
        <v>58.4</v>
      </c>
      <c r="H20" s="3">
        <v>8.75</v>
      </c>
    </row>
    <row r="21" spans="1:8" x14ac:dyDescent="0.35">
      <c r="A21" t="s">
        <v>173</v>
      </c>
      <c r="B21" t="s">
        <v>1847</v>
      </c>
      <c r="C21" s="1">
        <v>45598</v>
      </c>
      <c r="D21" s="2">
        <v>0.61111111111111105</v>
      </c>
      <c r="E21" t="s">
        <v>180</v>
      </c>
      <c r="F21" t="s">
        <v>3</v>
      </c>
      <c r="G21" s="3">
        <v>0.5</v>
      </c>
      <c r="H21" s="3">
        <v>7.0000000000000007E-2</v>
      </c>
    </row>
    <row r="22" spans="1:8" x14ac:dyDescent="0.35">
      <c r="A22" t="s">
        <v>173</v>
      </c>
      <c r="B22" t="s">
        <v>1848</v>
      </c>
      <c r="C22" s="1">
        <v>45599</v>
      </c>
      <c r="D22" s="2">
        <v>0.2076388888888889</v>
      </c>
      <c r="E22" t="s">
        <v>2</v>
      </c>
      <c r="F22" t="s">
        <v>3</v>
      </c>
      <c r="G22" s="3">
        <v>24.31</v>
      </c>
      <c r="H22" s="3">
        <v>3.64</v>
      </c>
    </row>
    <row r="23" spans="1:8" x14ac:dyDescent="0.35">
      <c r="A23" t="s">
        <v>173</v>
      </c>
      <c r="B23" t="s">
        <v>1849</v>
      </c>
      <c r="C23" s="1">
        <v>45599</v>
      </c>
      <c r="D23" s="2">
        <v>0.79166666666666663</v>
      </c>
      <c r="E23" t="s">
        <v>2</v>
      </c>
      <c r="F23" t="s">
        <v>3</v>
      </c>
      <c r="G23" s="3">
        <v>17.809999999999999</v>
      </c>
      <c r="H23" s="3">
        <v>2.67</v>
      </c>
    </row>
    <row r="24" spans="1:8" x14ac:dyDescent="0.35">
      <c r="A24" t="s">
        <v>173</v>
      </c>
      <c r="B24" t="s">
        <v>1850</v>
      </c>
      <c r="C24" s="1">
        <v>45603</v>
      </c>
      <c r="D24" s="2">
        <v>0.44930555555555557</v>
      </c>
      <c r="E24" t="s">
        <v>2</v>
      </c>
      <c r="F24" t="s">
        <v>3</v>
      </c>
      <c r="G24" s="3">
        <v>66.319999999999993</v>
      </c>
      <c r="H24" s="3">
        <v>9.93</v>
      </c>
    </row>
    <row r="25" spans="1:8" x14ac:dyDescent="0.35">
      <c r="A25" t="s">
        <v>173</v>
      </c>
      <c r="B25" t="s">
        <v>1851</v>
      </c>
      <c r="C25" s="1">
        <v>45603</v>
      </c>
      <c r="D25" s="2">
        <v>0.46388888888888885</v>
      </c>
      <c r="E25" t="s">
        <v>2</v>
      </c>
      <c r="F25" t="s">
        <v>3</v>
      </c>
      <c r="G25" s="3">
        <v>31.96</v>
      </c>
      <c r="H25" s="3">
        <v>4.79</v>
      </c>
    </row>
    <row r="26" spans="1:8" x14ac:dyDescent="0.35">
      <c r="A26" t="s">
        <v>173</v>
      </c>
      <c r="B26" t="s">
        <v>1852</v>
      </c>
      <c r="C26" s="1">
        <v>45607</v>
      </c>
      <c r="D26" s="2">
        <v>0.13055555555555556</v>
      </c>
      <c r="E26" t="s">
        <v>2</v>
      </c>
      <c r="F26" t="s">
        <v>3</v>
      </c>
      <c r="G26" s="3">
        <v>25.8</v>
      </c>
      <c r="H26" s="3">
        <v>3.86</v>
      </c>
    </row>
    <row r="27" spans="1:8" x14ac:dyDescent="0.35">
      <c r="A27" t="s">
        <v>173</v>
      </c>
      <c r="B27" t="s">
        <v>1853</v>
      </c>
      <c r="C27" s="1">
        <v>45607</v>
      </c>
      <c r="D27" s="2">
        <v>0.66111111111111109</v>
      </c>
      <c r="E27" t="s">
        <v>2</v>
      </c>
      <c r="F27" t="s">
        <v>3</v>
      </c>
      <c r="G27" s="3">
        <v>8.15</v>
      </c>
      <c r="H27" s="3">
        <v>1.22</v>
      </c>
    </row>
    <row r="28" spans="1:8" x14ac:dyDescent="0.35">
      <c r="A28" t="s">
        <v>173</v>
      </c>
      <c r="B28" t="s">
        <v>1854</v>
      </c>
      <c r="C28" s="1">
        <v>45608</v>
      </c>
      <c r="D28" s="2">
        <v>0.29236111111111113</v>
      </c>
      <c r="E28" t="s">
        <v>180</v>
      </c>
      <c r="F28" t="s">
        <v>3</v>
      </c>
      <c r="G28" s="3">
        <v>0.5</v>
      </c>
      <c r="H28" s="3">
        <v>7.0000000000000007E-2</v>
      </c>
    </row>
    <row r="29" spans="1:8" x14ac:dyDescent="0.35">
      <c r="A29" t="s">
        <v>173</v>
      </c>
      <c r="B29" t="s">
        <v>1855</v>
      </c>
      <c r="C29" s="1">
        <v>45610</v>
      </c>
      <c r="D29" s="2">
        <v>9.7222222222222224E-3</v>
      </c>
      <c r="E29" t="s">
        <v>2</v>
      </c>
      <c r="F29" t="s">
        <v>3</v>
      </c>
      <c r="G29" s="3">
        <v>27.95</v>
      </c>
      <c r="H29" s="3">
        <v>4.1900000000000004</v>
      </c>
    </row>
    <row r="30" spans="1:8" x14ac:dyDescent="0.35">
      <c r="A30" t="s">
        <v>173</v>
      </c>
      <c r="B30" t="s">
        <v>1856</v>
      </c>
      <c r="C30" s="1">
        <v>45611</v>
      </c>
      <c r="D30" s="2">
        <v>0.14166666666666666</v>
      </c>
      <c r="E30" t="s">
        <v>2</v>
      </c>
      <c r="F30" t="s">
        <v>3</v>
      </c>
      <c r="G30" s="3">
        <v>26</v>
      </c>
      <c r="H30" s="3">
        <v>3.89</v>
      </c>
    </row>
    <row r="31" spans="1:8" x14ac:dyDescent="0.35">
      <c r="A31" t="s">
        <v>173</v>
      </c>
      <c r="B31" t="s">
        <v>1857</v>
      </c>
      <c r="C31" s="1">
        <v>45613</v>
      </c>
      <c r="D31" s="2">
        <v>0.69444444444444453</v>
      </c>
      <c r="E31" t="s">
        <v>2</v>
      </c>
      <c r="F31" t="s">
        <v>3</v>
      </c>
      <c r="G31" s="3">
        <v>31.94</v>
      </c>
      <c r="H31" s="3">
        <v>4.78</v>
      </c>
    </row>
    <row r="32" spans="1:8" x14ac:dyDescent="0.35">
      <c r="A32" t="s">
        <v>173</v>
      </c>
      <c r="B32" t="s">
        <v>1858</v>
      </c>
      <c r="C32" s="1">
        <v>45614</v>
      </c>
      <c r="D32" s="2">
        <v>0.79722222222222217</v>
      </c>
      <c r="E32" t="s">
        <v>2</v>
      </c>
      <c r="F32" t="s">
        <v>3</v>
      </c>
      <c r="G32" s="3">
        <v>26.04</v>
      </c>
      <c r="H32" s="3">
        <v>3.9</v>
      </c>
    </row>
    <row r="33" spans="1:8" x14ac:dyDescent="0.35">
      <c r="A33" t="s">
        <v>173</v>
      </c>
      <c r="B33" t="s">
        <v>1859</v>
      </c>
      <c r="C33" s="1">
        <v>45615</v>
      </c>
      <c r="D33" s="2">
        <v>0.47013888888888888</v>
      </c>
      <c r="E33" t="s">
        <v>2</v>
      </c>
      <c r="F33" t="s">
        <v>3</v>
      </c>
      <c r="G33" s="3">
        <v>173.52</v>
      </c>
      <c r="H33" s="3">
        <v>25.98</v>
      </c>
    </row>
    <row r="34" spans="1:8" x14ac:dyDescent="0.35">
      <c r="A34" t="s">
        <v>173</v>
      </c>
      <c r="B34" t="s">
        <v>1860</v>
      </c>
      <c r="C34" s="1">
        <v>45616</v>
      </c>
      <c r="D34" s="2">
        <v>0.17500000000000002</v>
      </c>
      <c r="E34" t="s">
        <v>2</v>
      </c>
      <c r="F34" t="s">
        <v>3</v>
      </c>
      <c r="G34" s="3">
        <v>25.85</v>
      </c>
      <c r="H34" s="3">
        <v>3.87</v>
      </c>
    </row>
    <row r="35" spans="1:8" x14ac:dyDescent="0.35">
      <c r="A35" t="s">
        <v>173</v>
      </c>
      <c r="B35" t="s">
        <v>1861</v>
      </c>
      <c r="C35" s="1">
        <v>45619</v>
      </c>
      <c r="D35" s="2">
        <v>0.29097222222222224</v>
      </c>
      <c r="E35" t="s">
        <v>2</v>
      </c>
      <c r="F35" t="s">
        <v>3</v>
      </c>
      <c r="G35" s="3">
        <v>30.6</v>
      </c>
      <c r="H35" s="3">
        <v>4.58</v>
      </c>
    </row>
    <row r="36" spans="1:8" x14ac:dyDescent="0.35">
      <c r="A36" t="s">
        <v>173</v>
      </c>
      <c r="B36" t="s">
        <v>1862</v>
      </c>
      <c r="C36" s="1">
        <v>45621</v>
      </c>
      <c r="D36" s="2">
        <v>2.7083333333333334E-2</v>
      </c>
      <c r="E36" t="s">
        <v>180</v>
      </c>
      <c r="F36" t="s">
        <v>3</v>
      </c>
      <c r="G36" s="3">
        <v>0.5</v>
      </c>
      <c r="H36" s="3">
        <v>7.0000000000000007E-2</v>
      </c>
    </row>
    <row r="37" spans="1:8" x14ac:dyDescent="0.35">
      <c r="A37" t="s">
        <v>173</v>
      </c>
      <c r="B37" t="s">
        <v>1863</v>
      </c>
      <c r="C37" s="1">
        <v>45625</v>
      </c>
      <c r="D37" s="2">
        <v>0.16388888888888889</v>
      </c>
      <c r="E37" t="s">
        <v>2</v>
      </c>
      <c r="F37" t="s">
        <v>3</v>
      </c>
      <c r="G37" s="3">
        <v>16.100000000000001</v>
      </c>
      <c r="H37" s="3">
        <v>2.41</v>
      </c>
    </row>
    <row r="38" spans="1:8" ht="15" thickBot="1" x14ac:dyDescent="0.4">
      <c r="A38" s="4" t="s">
        <v>173</v>
      </c>
      <c r="B38" s="4" t="s">
        <v>1864</v>
      </c>
      <c r="C38" s="6">
        <v>45626</v>
      </c>
      <c r="D38" s="7">
        <v>0.26458333333333334</v>
      </c>
      <c r="E38" s="4" t="s">
        <v>2</v>
      </c>
      <c r="F38" s="4" t="s">
        <v>3</v>
      </c>
      <c r="G38" s="5">
        <v>19.57</v>
      </c>
      <c r="H38" s="5">
        <v>1.76</v>
      </c>
    </row>
    <row r="39" spans="1:8" x14ac:dyDescent="0.35">
      <c r="A39" t="s">
        <v>2232</v>
      </c>
      <c r="G39" s="9">
        <f t="shared" ref="G39:H39" si="1">SUM(G20:G38)</f>
        <v>611.82000000000016</v>
      </c>
      <c r="H39" s="9">
        <f t="shared" si="1"/>
        <v>90.429999999999993</v>
      </c>
    </row>
    <row r="41" spans="1:8" ht="15.75" thickBot="1" x14ac:dyDescent="0.3"/>
    <row r="42" spans="1:8" ht="15.75" thickBot="1" x14ac:dyDescent="0.3">
      <c r="A42" s="11" t="s">
        <v>411</v>
      </c>
      <c r="B42" s="12" t="s">
        <v>163</v>
      </c>
      <c r="C42" s="12" t="s">
        <v>165</v>
      </c>
      <c r="D42" s="12" t="s">
        <v>166</v>
      </c>
      <c r="E42" s="12" t="s">
        <v>164</v>
      </c>
      <c r="F42" s="12" t="s">
        <v>167</v>
      </c>
      <c r="G42" s="12" t="s">
        <v>412</v>
      </c>
      <c r="H42" s="13" t="s">
        <v>169</v>
      </c>
    </row>
    <row r="43" spans="1:8" x14ac:dyDescent="0.35">
      <c r="A43" t="s">
        <v>0</v>
      </c>
      <c r="B43" t="s">
        <v>1865</v>
      </c>
      <c r="C43" s="1">
        <v>45597</v>
      </c>
      <c r="D43" s="2">
        <v>1.5972222222222224E-2</v>
      </c>
      <c r="E43" t="s">
        <v>2</v>
      </c>
      <c r="F43" t="s">
        <v>3</v>
      </c>
      <c r="G43" s="3">
        <v>32.49</v>
      </c>
      <c r="H43" s="3">
        <v>4.87</v>
      </c>
    </row>
    <row r="44" spans="1:8" x14ac:dyDescent="0.35">
      <c r="A44" t="s">
        <v>0</v>
      </c>
      <c r="B44" t="s">
        <v>1866</v>
      </c>
      <c r="C44" s="1">
        <v>45597</v>
      </c>
      <c r="D44" s="2">
        <v>0.78749999999999998</v>
      </c>
      <c r="E44" t="s">
        <v>2</v>
      </c>
      <c r="F44" t="s">
        <v>3</v>
      </c>
      <c r="G44" s="3">
        <v>11.7</v>
      </c>
      <c r="H44" s="3">
        <v>1.75</v>
      </c>
    </row>
    <row r="45" spans="1:8" x14ac:dyDescent="0.35">
      <c r="A45" t="s">
        <v>0</v>
      </c>
      <c r="B45" t="s">
        <v>1867</v>
      </c>
      <c r="C45" s="1">
        <v>45598</v>
      </c>
      <c r="D45" s="2">
        <v>0.17222222222222225</v>
      </c>
      <c r="E45" t="s">
        <v>180</v>
      </c>
      <c r="F45" t="s">
        <v>3</v>
      </c>
      <c r="G45" s="3">
        <v>22.3</v>
      </c>
      <c r="H45" s="3">
        <v>3.34</v>
      </c>
    </row>
    <row r="46" spans="1:8" x14ac:dyDescent="0.35">
      <c r="A46" t="s">
        <v>0</v>
      </c>
      <c r="B46" t="s">
        <v>1868</v>
      </c>
      <c r="C46" s="1">
        <v>45598</v>
      </c>
      <c r="D46" s="2">
        <v>0.62430555555555556</v>
      </c>
      <c r="E46" t="s">
        <v>180</v>
      </c>
      <c r="F46" t="s">
        <v>3</v>
      </c>
      <c r="G46" s="3">
        <v>0.5</v>
      </c>
      <c r="H46" s="3">
        <v>7.0000000000000007E-2</v>
      </c>
    </row>
    <row r="47" spans="1:8" x14ac:dyDescent="0.35">
      <c r="A47" t="s">
        <v>0</v>
      </c>
      <c r="B47" t="s">
        <v>1869</v>
      </c>
      <c r="C47" s="1">
        <v>45599</v>
      </c>
      <c r="D47" s="2">
        <v>4.6527777777777779E-2</v>
      </c>
      <c r="E47" t="s">
        <v>2</v>
      </c>
      <c r="F47" t="s">
        <v>3</v>
      </c>
      <c r="G47" s="3">
        <v>27.68</v>
      </c>
      <c r="H47" s="3">
        <v>4.1500000000000004</v>
      </c>
    </row>
    <row r="48" spans="1:8" x14ac:dyDescent="0.35">
      <c r="A48" t="s">
        <v>0</v>
      </c>
      <c r="B48" t="s">
        <v>1870</v>
      </c>
      <c r="C48" s="1">
        <v>45599</v>
      </c>
      <c r="D48" s="2">
        <v>0.15486111111111112</v>
      </c>
      <c r="E48" t="s">
        <v>2</v>
      </c>
      <c r="F48" t="s">
        <v>3</v>
      </c>
      <c r="G48" s="3">
        <v>33.15</v>
      </c>
      <c r="H48" s="3">
        <v>4.96</v>
      </c>
    </row>
    <row r="49" spans="1:8" x14ac:dyDescent="0.35">
      <c r="A49" t="s">
        <v>0</v>
      </c>
      <c r="B49" t="s">
        <v>1871</v>
      </c>
      <c r="C49" s="1">
        <v>45599</v>
      </c>
      <c r="D49" s="2">
        <v>0.33749999999999997</v>
      </c>
      <c r="E49" t="s">
        <v>2</v>
      </c>
      <c r="F49" t="s">
        <v>3</v>
      </c>
      <c r="G49" s="3">
        <v>47.34</v>
      </c>
      <c r="H49" s="3">
        <v>7.09</v>
      </c>
    </row>
    <row r="50" spans="1:8" x14ac:dyDescent="0.35">
      <c r="A50" t="s">
        <v>0</v>
      </c>
      <c r="B50" t="s">
        <v>1872</v>
      </c>
      <c r="C50" s="1">
        <v>45599</v>
      </c>
      <c r="D50" s="2">
        <v>0.42638888888888887</v>
      </c>
      <c r="E50" t="s">
        <v>2</v>
      </c>
      <c r="F50" t="s">
        <v>3</v>
      </c>
      <c r="G50" s="3">
        <v>54.75</v>
      </c>
      <c r="H50" s="3">
        <v>8.1999999999999993</v>
      </c>
    </row>
    <row r="51" spans="1:8" x14ac:dyDescent="0.35">
      <c r="A51" t="s">
        <v>0</v>
      </c>
      <c r="B51" t="s">
        <v>1873</v>
      </c>
      <c r="C51" s="1">
        <v>45603</v>
      </c>
      <c r="D51" s="2">
        <v>8.8888888888888892E-2</v>
      </c>
      <c r="E51" t="s">
        <v>2</v>
      </c>
      <c r="F51" t="s">
        <v>3</v>
      </c>
      <c r="G51" s="3">
        <v>53.91</v>
      </c>
      <c r="H51" s="3">
        <v>8.07</v>
      </c>
    </row>
    <row r="52" spans="1:8" x14ac:dyDescent="0.35">
      <c r="A52" t="s">
        <v>0</v>
      </c>
      <c r="B52" t="s">
        <v>1874</v>
      </c>
      <c r="C52" s="1">
        <v>45606</v>
      </c>
      <c r="D52" s="2">
        <v>0.41597222222222219</v>
      </c>
      <c r="E52" t="s">
        <v>2</v>
      </c>
      <c r="F52" t="s">
        <v>3</v>
      </c>
      <c r="G52" s="3">
        <v>38.380000000000003</v>
      </c>
      <c r="H52" s="3">
        <v>5.75</v>
      </c>
    </row>
    <row r="53" spans="1:8" x14ac:dyDescent="0.35">
      <c r="A53" t="s">
        <v>0</v>
      </c>
      <c r="B53" t="s">
        <v>1875</v>
      </c>
      <c r="C53" s="1">
        <v>45607</v>
      </c>
      <c r="D53" s="2">
        <v>0.95208333333333339</v>
      </c>
      <c r="E53" t="s">
        <v>180</v>
      </c>
      <c r="F53" t="s">
        <v>3</v>
      </c>
      <c r="G53" s="3">
        <v>0.5</v>
      </c>
      <c r="H53" s="3">
        <v>7.0000000000000007E-2</v>
      </c>
    </row>
    <row r="54" spans="1:8" x14ac:dyDescent="0.35">
      <c r="A54" t="s">
        <v>0</v>
      </c>
      <c r="B54" t="s">
        <v>1876</v>
      </c>
      <c r="C54" s="1">
        <v>45608</v>
      </c>
      <c r="D54" s="2">
        <v>0.2902777777777778</v>
      </c>
      <c r="E54" t="s">
        <v>180</v>
      </c>
      <c r="F54" t="s">
        <v>3</v>
      </c>
      <c r="G54" s="3">
        <v>0.5</v>
      </c>
      <c r="H54" s="3">
        <v>7.0000000000000007E-2</v>
      </c>
    </row>
    <row r="55" spans="1:8" x14ac:dyDescent="0.35">
      <c r="A55" t="s">
        <v>0</v>
      </c>
      <c r="B55" t="s">
        <v>1877</v>
      </c>
      <c r="C55" s="1">
        <v>45609</v>
      </c>
      <c r="D55" s="2">
        <v>0.60972222222222217</v>
      </c>
      <c r="E55" t="s">
        <v>180</v>
      </c>
      <c r="F55" t="s">
        <v>3</v>
      </c>
      <c r="G55" s="3">
        <v>0.5</v>
      </c>
      <c r="H55" s="3">
        <v>7.0000000000000007E-2</v>
      </c>
    </row>
    <row r="56" spans="1:8" x14ac:dyDescent="0.35">
      <c r="A56" t="s">
        <v>0</v>
      </c>
      <c r="B56" t="s">
        <v>1878</v>
      </c>
      <c r="C56" s="1">
        <v>45610</v>
      </c>
      <c r="D56" s="2">
        <v>0.8354166666666667</v>
      </c>
      <c r="E56" t="s">
        <v>180</v>
      </c>
      <c r="F56" t="s">
        <v>3</v>
      </c>
      <c r="G56" s="3">
        <v>0.5</v>
      </c>
      <c r="H56" s="3">
        <v>7.0000000000000007E-2</v>
      </c>
    </row>
    <row r="57" spans="1:8" x14ac:dyDescent="0.35">
      <c r="A57" t="s">
        <v>0</v>
      </c>
      <c r="B57" t="s">
        <v>1879</v>
      </c>
      <c r="C57" s="1">
        <v>45619</v>
      </c>
      <c r="D57" s="2">
        <v>0.32083333333333336</v>
      </c>
      <c r="E57" t="s">
        <v>2</v>
      </c>
      <c r="F57" t="s">
        <v>3</v>
      </c>
      <c r="G57" s="3">
        <v>11.85</v>
      </c>
      <c r="H57" s="3">
        <v>1.77</v>
      </c>
    </row>
    <row r="58" spans="1:8" x14ac:dyDescent="0.35">
      <c r="A58" t="s">
        <v>0</v>
      </c>
      <c r="B58" t="s">
        <v>1880</v>
      </c>
      <c r="C58" s="1">
        <v>45619</v>
      </c>
      <c r="D58" s="2">
        <v>0.51736111111111105</v>
      </c>
      <c r="E58" t="s">
        <v>2</v>
      </c>
      <c r="F58" t="s">
        <v>3</v>
      </c>
      <c r="G58" s="3">
        <v>11.7</v>
      </c>
      <c r="H58" s="3">
        <v>1.75</v>
      </c>
    </row>
    <row r="59" spans="1:8" x14ac:dyDescent="0.35">
      <c r="A59" t="s">
        <v>0</v>
      </c>
      <c r="B59" t="s">
        <v>1881</v>
      </c>
      <c r="C59" s="1">
        <v>45621</v>
      </c>
      <c r="D59" s="2">
        <v>2.9861111111111113E-2</v>
      </c>
      <c r="E59" t="s">
        <v>180</v>
      </c>
      <c r="F59" t="s">
        <v>3</v>
      </c>
      <c r="G59" s="3">
        <v>0.5</v>
      </c>
      <c r="H59" s="3">
        <v>7.0000000000000007E-2</v>
      </c>
    </row>
    <row r="60" spans="1:8" ht="15" thickBot="1" x14ac:dyDescent="0.4">
      <c r="A60" s="4" t="s">
        <v>0</v>
      </c>
      <c r="B60" s="4" t="s">
        <v>1882</v>
      </c>
      <c r="C60" s="6">
        <v>45625</v>
      </c>
      <c r="D60" s="7">
        <v>0.27569444444444446</v>
      </c>
      <c r="E60" s="4" t="s">
        <v>2</v>
      </c>
      <c r="F60" s="4" t="s">
        <v>3</v>
      </c>
      <c r="G60" s="5">
        <v>33.79</v>
      </c>
      <c r="H60" s="5">
        <v>5.0599999999999996</v>
      </c>
    </row>
    <row r="61" spans="1:8" x14ac:dyDescent="0.35">
      <c r="A61" t="s">
        <v>2232</v>
      </c>
      <c r="G61" s="9">
        <f t="shared" ref="G61:H61" si="2">SUM(G43:G60)</f>
        <v>382.04</v>
      </c>
      <c r="H61" s="9">
        <f t="shared" si="2"/>
        <v>57.180000000000007</v>
      </c>
    </row>
    <row r="64" spans="1:8" ht="15.75" thickBot="1" x14ac:dyDescent="0.3"/>
    <row r="65" spans="1:8" ht="15" thickBot="1" x14ac:dyDescent="0.4">
      <c r="A65" s="11" t="s">
        <v>411</v>
      </c>
      <c r="B65" s="12" t="s">
        <v>163</v>
      </c>
      <c r="C65" s="12" t="s">
        <v>165</v>
      </c>
      <c r="D65" s="12" t="s">
        <v>166</v>
      </c>
      <c r="E65" s="12" t="s">
        <v>164</v>
      </c>
      <c r="F65" s="12" t="s">
        <v>167</v>
      </c>
      <c r="G65" s="12" t="s">
        <v>412</v>
      </c>
      <c r="H65" s="13" t="s">
        <v>169</v>
      </c>
    </row>
    <row r="66" spans="1:8" x14ac:dyDescent="0.35">
      <c r="A66" t="s">
        <v>496</v>
      </c>
      <c r="B66" t="s">
        <v>1883</v>
      </c>
      <c r="C66" s="1">
        <v>45598</v>
      </c>
      <c r="D66" s="2">
        <v>0.62638888888888888</v>
      </c>
      <c r="E66" t="s">
        <v>180</v>
      </c>
      <c r="F66" t="s">
        <v>3</v>
      </c>
      <c r="G66" s="3">
        <v>0.5</v>
      </c>
      <c r="H66" s="3">
        <v>7.0000000000000007E-2</v>
      </c>
    </row>
    <row r="67" spans="1:8" x14ac:dyDescent="0.35">
      <c r="A67" t="s">
        <v>496</v>
      </c>
      <c r="B67" t="s">
        <v>1884</v>
      </c>
      <c r="C67" s="1">
        <v>45616</v>
      </c>
      <c r="D67" s="2">
        <v>0.32222222222222224</v>
      </c>
      <c r="E67" t="s">
        <v>2</v>
      </c>
      <c r="F67" t="s">
        <v>3</v>
      </c>
      <c r="G67" s="3">
        <v>29.9</v>
      </c>
      <c r="H67" s="3">
        <v>4.4800000000000004</v>
      </c>
    </row>
    <row r="68" spans="1:8" x14ac:dyDescent="0.35">
      <c r="A68" t="s">
        <v>496</v>
      </c>
      <c r="B68" t="s">
        <v>1885</v>
      </c>
      <c r="C68" s="1">
        <v>45618</v>
      </c>
      <c r="D68" s="2">
        <v>0.83819444444444446</v>
      </c>
      <c r="E68" t="s">
        <v>180</v>
      </c>
      <c r="F68" t="s">
        <v>3</v>
      </c>
      <c r="G68" s="3">
        <v>0.5</v>
      </c>
      <c r="H68" s="3">
        <v>7.0000000000000007E-2</v>
      </c>
    </row>
    <row r="69" spans="1:8" ht="15" thickBot="1" x14ac:dyDescent="0.4">
      <c r="A69" s="4" t="s">
        <v>496</v>
      </c>
      <c r="B69" s="4" t="s">
        <v>1886</v>
      </c>
      <c r="C69" s="6">
        <v>45624</v>
      </c>
      <c r="D69" s="7">
        <v>0.44930555555555557</v>
      </c>
      <c r="E69" s="4" t="s">
        <v>2</v>
      </c>
      <c r="F69" s="4" t="s">
        <v>3</v>
      </c>
      <c r="G69" s="5">
        <v>153.4</v>
      </c>
      <c r="H69" s="5">
        <v>22.97</v>
      </c>
    </row>
    <row r="70" spans="1:8" x14ac:dyDescent="0.35">
      <c r="A70" t="s">
        <v>2232</v>
      </c>
      <c r="G70" s="9">
        <f t="shared" ref="G70:H70" si="3">SUM(G66:G69)</f>
        <v>184.3</v>
      </c>
      <c r="H70" s="9">
        <f t="shared" si="3"/>
        <v>27.59</v>
      </c>
    </row>
    <row r="72" spans="1:8" ht="15.75" thickBot="1" x14ac:dyDescent="0.3"/>
    <row r="73" spans="1:8" ht="15" thickBot="1" x14ac:dyDescent="0.4">
      <c r="A73" s="11" t="s">
        <v>411</v>
      </c>
      <c r="B73" s="12" t="s">
        <v>163</v>
      </c>
      <c r="C73" s="12" t="s">
        <v>165</v>
      </c>
      <c r="D73" s="12" t="s">
        <v>166</v>
      </c>
      <c r="E73" s="12" t="s">
        <v>164</v>
      </c>
      <c r="F73" s="12" t="s">
        <v>167</v>
      </c>
      <c r="G73" s="12" t="s">
        <v>412</v>
      </c>
      <c r="H73" s="13" t="s">
        <v>169</v>
      </c>
    </row>
    <row r="74" spans="1:8" x14ac:dyDescent="0.35">
      <c r="A74" t="s">
        <v>33</v>
      </c>
      <c r="B74" t="s">
        <v>1887</v>
      </c>
      <c r="C74" s="1">
        <v>45599</v>
      </c>
      <c r="D74" s="2">
        <v>2.8472222222222222E-2</v>
      </c>
      <c r="E74" t="s">
        <v>2</v>
      </c>
      <c r="F74" t="s">
        <v>3</v>
      </c>
      <c r="G74" s="3">
        <v>26</v>
      </c>
      <c r="H74" s="3">
        <v>3.89</v>
      </c>
    </row>
    <row r="75" spans="1:8" x14ac:dyDescent="0.35">
      <c r="A75" t="s">
        <v>33</v>
      </c>
      <c r="B75" t="s">
        <v>1888</v>
      </c>
      <c r="C75" s="1">
        <v>45602</v>
      </c>
      <c r="D75" s="2">
        <v>0.1875</v>
      </c>
      <c r="E75" t="s">
        <v>2</v>
      </c>
      <c r="F75" t="s">
        <v>3</v>
      </c>
      <c r="G75" s="3">
        <v>20.8</v>
      </c>
      <c r="H75" s="3">
        <v>3.11</v>
      </c>
    </row>
    <row r="76" spans="1:8" x14ac:dyDescent="0.35">
      <c r="A76" t="s">
        <v>33</v>
      </c>
      <c r="B76" t="s">
        <v>1889</v>
      </c>
      <c r="C76" s="1">
        <v>45602</v>
      </c>
      <c r="D76" s="2">
        <v>0.24374999999999999</v>
      </c>
      <c r="E76" t="s">
        <v>2</v>
      </c>
      <c r="F76" t="s">
        <v>3</v>
      </c>
      <c r="G76" s="3">
        <v>8.15</v>
      </c>
      <c r="H76" s="3">
        <v>1.22</v>
      </c>
    </row>
    <row r="77" spans="1:8" x14ac:dyDescent="0.35">
      <c r="A77" t="s">
        <v>33</v>
      </c>
      <c r="B77" t="s">
        <v>1890</v>
      </c>
      <c r="C77" s="1">
        <v>45602</v>
      </c>
      <c r="D77" s="2">
        <v>0.95000000000000007</v>
      </c>
      <c r="E77" t="s">
        <v>2</v>
      </c>
      <c r="F77" t="s">
        <v>3</v>
      </c>
      <c r="G77" s="3">
        <v>20.8</v>
      </c>
      <c r="H77" s="3">
        <v>3.11</v>
      </c>
    </row>
    <row r="78" spans="1:8" x14ac:dyDescent="0.35">
      <c r="A78" t="s">
        <v>33</v>
      </c>
      <c r="B78" t="s">
        <v>1891</v>
      </c>
      <c r="C78" s="1">
        <v>45603</v>
      </c>
      <c r="D78" s="2">
        <v>0.21736111111111112</v>
      </c>
      <c r="E78" t="s">
        <v>2</v>
      </c>
      <c r="F78" t="s">
        <v>3</v>
      </c>
      <c r="G78" s="3">
        <v>17.91</v>
      </c>
      <c r="H78" s="3">
        <v>2.68</v>
      </c>
    </row>
    <row r="79" spans="1:8" x14ac:dyDescent="0.35">
      <c r="A79" t="s">
        <v>33</v>
      </c>
      <c r="B79" t="s">
        <v>1892</v>
      </c>
      <c r="C79" s="1">
        <v>45605</v>
      </c>
      <c r="D79" s="2">
        <v>0.87222222222222223</v>
      </c>
      <c r="E79" t="s">
        <v>2</v>
      </c>
      <c r="F79" t="s">
        <v>3</v>
      </c>
      <c r="G79" s="3">
        <v>21.54</v>
      </c>
      <c r="H79" s="3">
        <v>3.23</v>
      </c>
    </row>
    <row r="80" spans="1:8" x14ac:dyDescent="0.35">
      <c r="A80" t="s">
        <v>33</v>
      </c>
      <c r="B80" t="s">
        <v>1893</v>
      </c>
      <c r="C80" s="1">
        <v>45607</v>
      </c>
      <c r="D80" s="2">
        <v>0.12708333333333333</v>
      </c>
      <c r="E80" t="s">
        <v>2</v>
      </c>
      <c r="F80" t="s">
        <v>3</v>
      </c>
      <c r="G80" s="3">
        <v>14.8</v>
      </c>
      <c r="H80" s="3">
        <v>2.2200000000000002</v>
      </c>
    </row>
    <row r="81" spans="1:8" x14ac:dyDescent="0.35">
      <c r="A81" t="s">
        <v>33</v>
      </c>
      <c r="B81" t="s">
        <v>1894</v>
      </c>
      <c r="C81" s="1">
        <v>45607</v>
      </c>
      <c r="D81" s="2">
        <v>0.23055555555555554</v>
      </c>
      <c r="E81" t="s">
        <v>2</v>
      </c>
      <c r="F81" t="s">
        <v>3</v>
      </c>
      <c r="G81" s="3">
        <v>27.64</v>
      </c>
      <c r="H81" s="3">
        <v>4.1399999999999997</v>
      </c>
    </row>
    <row r="82" spans="1:8" x14ac:dyDescent="0.35">
      <c r="A82" t="s">
        <v>33</v>
      </c>
      <c r="B82" t="s">
        <v>1895</v>
      </c>
      <c r="C82" s="1">
        <v>45608</v>
      </c>
      <c r="D82" s="2">
        <v>0.29305555555555557</v>
      </c>
      <c r="E82" t="s">
        <v>180</v>
      </c>
      <c r="F82" t="s">
        <v>3</v>
      </c>
      <c r="G82" s="3">
        <v>0.5</v>
      </c>
      <c r="H82" s="3">
        <v>7.0000000000000007E-2</v>
      </c>
    </row>
    <row r="83" spans="1:8" x14ac:dyDescent="0.35">
      <c r="A83" t="s">
        <v>33</v>
      </c>
      <c r="B83" t="s">
        <v>1896</v>
      </c>
      <c r="C83" s="1">
        <v>45609</v>
      </c>
      <c r="D83" s="2">
        <v>0.1388888888888889</v>
      </c>
      <c r="E83" t="s">
        <v>2</v>
      </c>
      <c r="F83" t="s">
        <v>3</v>
      </c>
      <c r="G83" s="3">
        <v>36.4</v>
      </c>
      <c r="H83" s="3">
        <v>5.45</v>
      </c>
    </row>
    <row r="84" spans="1:8" ht="15" thickBot="1" x14ac:dyDescent="0.4">
      <c r="A84" s="4" t="s">
        <v>33</v>
      </c>
      <c r="B84" s="4" t="s">
        <v>1897</v>
      </c>
      <c r="C84" s="6">
        <v>45625</v>
      </c>
      <c r="D84" s="7">
        <v>0.33680555555555558</v>
      </c>
      <c r="E84" s="4" t="s">
        <v>2</v>
      </c>
      <c r="F84" s="4" t="s">
        <v>3</v>
      </c>
      <c r="G84" s="5">
        <v>23.25</v>
      </c>
      <c r="H84" s="5">
        <v>3.48</v>
      </c>
    </row>
    <row r="85" spans="1:8" x14ac:dyDescent="0.35">
      <c r="A85" t="s">
        <v>2232</v>
      </c>
      <c r="G85" s="9">
        <f t="shared" ref="G85:H85" si="4">SUM(G74:G84)</f>
        <v>217.79</v>
      </c>
      <c r="H85" s="9">
        <f t="shared" si="4"/>
        <v>32.599999999999994</v>
      </c>
    </row>
    <row r="87" spans="1:8" ht="15.75" thickBot="1" x14ac:dyDescent="0.3"/>
    <row r="88" spans="1:8" ht="15" thickBot="1" x14ac:dyDescent="0.4">
      <c r="A88" s="11" t="s">
        <v>411</v>
      </c>
      <c r="B88" s="12" t="s">
        <v>163</v>
      </c>
      <c r="C88" s="12" t="s">
        <v>165</v>
      </c>
      <c r="D88" s="12" t="s">
        <v>166</v>
      </c>
      <c r="E88" s="12" t="s">
        <v>164</v>
      </c>
      <c r="F88" s="12" t="s">
        <v>167</v>
      </c>
      <c r="G88" s="12" t="s">
        <v>412</v>
      </c>
      <c r="H88" s="13" t="s">
        <v>169</v>
      </c>
    </row>
    <row r="89" spans="1:8" x14ac:dyDescent="0.35">
      <c r="A89" t="s">
        <v>246</v>
      </c>
      <c r="B89" t="s">
        <v>1898</v>
      </c>
      <c r="C89" s="1">
        <v>45598</v>
      </c>
      <c r="D89" s="2">
        <v>0.625</v>
      </c>
      <c r="E89" t="s">
        <v>180</v>
      </c>
      <c r="F89" t="s">
        <v>3</v>
      </c>
      <c r="G89" s="3">
        <v>0.5</v>
      </c>
      <c r="H89" s="3">
        <v>7.0000000000000007E-2</v>
      </c>
    </row>
    <row r="90" spans="1:8" x14ac:dyDescent="0.35">
      <c r="A90" t="s">
        <v>246</v>
      </c>
      <c r="B90" t="s">
        <v>1899</v>
      </c>
      <c r="C90" s="1">
        <v>45599</v>
      </c>
      <c r="D90" s="2">
        <v>0.64166666666666672</v>
      </c>
      <c r="E90" t="s">
        <v>2</v>
      </c>
      <c r="F90" t="s">
        <v>3</v>
      </c>
      <c r="G90" s="3">
        <v>9.99</v>
      </c>
      <c r="H90" s="3">
        <v>1.5</v>
      </c>
    </row>
    <row r="91" spans="1:8" x14ac:dyDescent="0.35">
      <c r="A91" t="s">
        <v>246</v>
      </c>
      <c r="B91" t="s">
        <v>1900</v>
      </c>
      <c r="C91" s="1">
        <v>45600</v>
      </c>
      <c r="D91" s="2">
        <v>7.6388888888888886E-3</v>
      </c>
      <c r="E91" t="s">
        <v>2</v>
      </c>
      <c r="F91" t="s">
        <v>3</v>
      </c>
      <c r="G91" s="3">
        <v>16.3</v>
      </c>
      <c r="H91" s="3">
        <v>2.44</v>
      </c>
    </row>
    <row r="92" spans="1:8" x14ac:dyDescent="0.35">
      <c r="A92" t="s">
        <v>246</v>
      </c>
      <c r="B92" t="s">
        <v>1901</v>
      </c>
      <c r="C92" s="1">
        <v>45601</v>
      </c>
      <c r="D92" s="2">
        <v>6.1805555555555558E-2</v>
      </c>
      <c r="E92" t="s">
        <v>2</v>
      </c>
      <c r="F92" t="s">
        <v>3</v>
      </c>
      <c r="G92" s="3">
        <v>16.47</v>
      </c>
      <c r="H92" s="3">
        <v>2.4700000000000002</v>
      </c>
    </row>
    <row r="93" spans="1:8" x14ac:dyDescent="0.35">
      <c r="A93" t="s">
        <v>246</v>
      </c>
      <c r="B93" t="s">
        <v>1902</v>
      </c>
      <c r="C93" s="1">
        <v>45609</v>
      </c>
      <c r="D93" s="2">
        <v>0.60902777777777783</v>
      </c>
      <c r="E93" t="s">
        <v>180</v>
      </c>
      <c r="F93" t="s">
        <v>3</v>
      </c>
      <c r="G93" s="3">
        <v>0.5</v>
      </c>
      <c r="H93" s="3">
        <v>7.0000000000000007E-2</v>
      </c>
    </row>
    <row r="94" spans="1:8" x14ac:dyDescent="0.35">
      <c r="A94" t="s">
        <v>246</v>
      </c>
      <c r="B94" t="s">
        <v>1903</v>
      </c>
      <c r="C94" s="1">
        <v>45610</v>
      </c>
      <c r="D94" s="2">
        <v>0.14583333333333334</v>
      </c>
      <c r="E94" t="s">
        <v>2</v>
      </c>
      <c r="F94" t="s">
        <v>3</v>
      </c>
      <c r="G94" s="3">
        <v>23.77</v>
      </c>
      <c r="H94" s="3">
        <v>3.56</v>
      </c>
    </row>
    <row r="95" spans="1:8" x14ac:dyDescent="0.35">
      <c r="A95" t="s">
        <v>246</v>
      </c>
      <c r="B95" t="s">
        <v>1904</v>
      </c>
      <c r="C95" s="1">
        <v>45610</v>
      </c>
      <c r="D95" s="2">
        <v>0.84166666666666667</v>
      </c>
      <c r="E95" t="s">
        <v>180</v>
      </c>
      <c r="F95" t="s">
        <v>3</v>
      </c>
      <c r="G95" s="3">
        <v>0.5</v>
      </c>
      <c r="H95" s="3">
        <v>7.0000000000000007E-2</v>
      </c>
    </row>
    <row r="96" spans="1:8" x14ac:dyDescent="0.35">
      <c r="A96" t="s">
        <v>246</v>
      </c>
      <c r="B96" t="s">
        <v>1905</v>
      </c>
      <c r="C96" s="1">
        <v>45620</v>
      </c>
      <c r="D96" s="2">
        <v>2.0833333333333332E-2</v>
      </c>
      <c r="E96" t="s">
        <v>2</v>
      </c>
      <c r="F96" t="s">
        <v>3</v>
      </c>
      <c r="G96" s="3">
        <v>20.72</v>
      </c>
      <c r="H96" s="3">
        <v>3.1</v>
      </c>
    </row>
    <row r="97" spans="1:8" x14ac:dyDescent="0.35">
      <c r="A97" t="s">
        <v>246</v>
      </c>
      <c r="B97" t="s">
        <v>1906</v>
      </c>
      <c r="C97" s="1">
        <v>45620</v>
      </c>
      <c r="D97" s="2">
        <v>0.75763888888888886</v>
      </c>
      <c r="E97" t="s">
        <v>2</v>
      </c>
      <c r="F97" t="s">
        <v>3</v>
      </c>
      <c r="G97" s="3">
        <v>20.79</v>
      </c>
      <c r="H97" s="3">
        <v>3.11</v>
      </c>
    </row>
    <row r="98" spans="1:8" x14ac:dyDescent="0.35">
      <c r="A98" t="s">
        <v>246</v>
      </c>
      <c r="B98" t="s">
        <v>1907</v>
      </c>
      <c r="C98" s="1">
        <v>45620</v>
      </c>
      <c r="D98" s="2">
        <v>0.9194444444444444</v>
      </c>
      <c r="E98" t="s">
        <v>2</v>
      </c>
      <c r="F98" t="s">
        <v>3</v>
      </c>
      <c r="G98" s="3">
        <v>35.82</v>
      </c>
      <c r="H98" s="3">
        <v>5.36</v>
      </c>
    </row>
    <row r="99" spans="1:8" ht="15" thickBot="1" x14ac:dyDescent="0.4">
      <c r="A99" s="4" t="s">
        <v>246</v>
      </c>
      <c r="B99" s="4" t="s">
        <v>1908</v>
      </c>
      <c r="C99" s="6">
        <v>45621</v>
      </c>
      <c r="D99" s="7">
        <v>0.97291666666666676</v>
      </c>
      <c r="E99" s="4" t="s">
        <v>2</v>
      </c>
      <c r="F99" s="4" t="s">
        <v>3</v>
      </c>
      <c r="G99" s="5">
        <v>9.32</v>
      </c>
      <c r="H99" s="5">
        <v>1.4</v>
      </c>
    </row>
    <row r="100" spans="1:8" x14ac:dyDescent="0.35">
      <c r="A100" t="s">
        <v>2232</v>
      </c>
      <c r="G100" s="9">
        <f t="shared" ref="G100:H100" si="5">SUM(G89:G99)</f>
        <v>154.67999999999998</v>
      </c>
      <c r="H100" s="9">
        <f t="shared" si="5"/>
        <v>23.15</v>
      </c>
    </row>
    <row r="103" spans="1:8" ht="15.75" thickBot="1" x14ac:dyDescent="0.3"/>
    <row r="104" spans="1:8" ht="15" thickBot="1" x14ac:dyDescent="0.4">
      <c r="A104" s="11" t="s">
        <v>411</v>
      </c>
      <c r="B104" s="12" t="s">
        <v>163</v>
      </c>
      <c r="C104" s="12" t="s">
        <v>165</v>
      </c>
      <c r="D104" s="12" t="s">
        <v>166</v>
      </c>
      <c r="E104" s="12" t="s">
        <v>164</v>
      </c>
      <c r="F104" s="12" t="s">
        <v>167</v>
      </c>
      <c r="G104" s="12" t="s">
        <v>412</v>
      </c>
      <c r="H104" s="13" t="s">
        <v>169</v>
      </c>
    </row>
    <row r="105" spans="1:8" x14ac:dyDescent="0.35">
      <c r="A105" t="s">
        <v>543</v>
      </c>
      <c r="B105" t="s">
        <v>1909</v>
      </c>
      <c r="C105" s="1">
        <v>45598</v>
      </c>
      <c r="D105" s="2">
        <v>0.5805555555555556</v>
      </c>
      <c r="E105" t="s">
        <v>180</v>
      </c>
      <c r="F105" t="s">
        <v>3</v>
      </c>
      <c r="G105" s="3">
        <v>0.5</v>
      </c>
      <c r="H105" s="3">
        <v>7.0000000000000007E-2</v>
      </c>
    </row>
    <row r="106" spans="1:8" x14ac:dyDescent="0.35">
      <c r="A106" t="s">
        <v>543</v>
      </c>
      <c r="B106" t="s">
        <v>1910</v>
      </c>
      <c r="C106" s="1">
        <v>45598</v>
      </c>
      <c r="D106" s="2">
        <v>0.62569444444444444</v>
      </c>
      <c r="E106" t="s">
        <v>180</v>
      </c>
      <c r="F106" t="s">
        <v>3</v>
      </c>
      <c r="G106" s="3">
        <v>0.5</v>
      </c>
      <c r="H106" s="3">
        <v>7.0000000000000007E-2</v>
      </c>
    </row>
    <row r="107" spans="1:8" x14ac:dyDescent="0.35">
      <c r="A107" t="s">
        <v>543</v>
      </c>
      <c r="B107" t="s">
        <v>1911</v>
      </c>
      <c r="C107" s="1">
        <v>45598</v>
      </c>
      <c r="D107" s="2">
        <v>0.86736111111111114</v>
      </c>
      <c r="E107" t="s">
        <v>2</v>
      </c>
      <c r="F107" t="s">
        <v>3</v>
      </c>
      <c r="G107" s="3">
        <v>21.99</v>
      </c>
      <c r="H107" s="3">
        <v>3.29</v>
      </c>
    </row>
    <row r="108" spans="1:8" x14ac:dyDescent="0.35">
      <c r="A108" t="s">
        <v>543</v>
      </c>
      <c r="B108" t="s">
        <v>1912</v>
      </c>
      <c r="C108" s="1">
        <v>45599</v>
      </c>
      <c r="D108" s="2">
        <v>0.72916666666666663</v>
      </c>
      <c r="E108" t="s">
        <v>2</v>
      </c>
      <c r="F108" t="s">
        <v>3</v>
      </c>
      <c r="G108" s="3">
        <v>16.760000000000002</v>
      </c>
      <c r="H108" s="3">
        <v>2.5099999999999998</v>
      </c>
    </row>
    <row r="109" spans="1:8" x14ac:dyDescent="0.35">
      <c r="A109" t="s">
        <v>543</v>
      </c>
      <c r="B109" t="s">
        <v>1913</v>
      </c>
      <c r="C109" s="1">
        <v>45599</v>
      </c>
      <c r="D109" s="2">
        <v>0.96527777777777779</v>
      </c>
      <c r="E109" t="s">
        <v>2</v>
      </c>
      <c r="F109" t="s">
        <v>3</v>
      </c>
      <c r="G109" s="3">
        <v>12.34</v>
      </c>
      <c r="H109" s="3">
        <v>1.85</v>
      </c>
    </row>
    <row r="110" spans="1:8" x14ac:dyDescent="0.35">
      <c r="A110" t="s">
        <v>543</v>
      </c>
      <c r="B110" t="s">
        <v>1914</v>
      </c>
      <c r="C110" s="1">
        <v>45600</v>
      </c>
      <c r="D110" s="2">
        <v>0.72291666666666676</v>
      </c>
      <c r="E110" t="s">
        <v>2</v>
      </c>
      <c r="F110" t="s">
        <v>3</v>
      </c>
      <c r="G110" s="3">
        <v>44.28</v>
      </c>
      <c r="H110" s="3">
        <v>6.63</v>
      </c>
    </row>
    <row r="111" spans="1:8" x14ac:dyDescent="0.35">
      <c r="A111" t="s">
        <v>543</v>
      </c>
      <c r="B111" t="s">
        <v>1915</v>
      </c>
      <c r="C111" s="1">
        <v>45601</v>
      </c>
      <c r="D111" s="2">
        <v>0.95763888888888893</v>
      </c>
      <c r="E111" t="s">
        <v>2</v>
      </c>
      <c r="F111" t="s">
        <v>3</v>
      </c>
      <c r="G111" s="3">
        <v>43.88</v>
      </c>
      <c r="H111" s="3">
        <v>6.57</v>
      </c>
    </row>
    <row r="112" spans="1:8" x14ac:dyDescent="0.35">
      <c r="A112" t="s">
        <v>543</v>
      </c>
      <c r="B112" t="s">
        <v>1916</v>
      </c>
      <c r="C112" s="1">
        <v>45602</v>
      </c>
      <c r="D112" s="2">
        <v>0.56874999999999998</v>
      </c>
      <c r="E112" t="s">
        <v>2</v>
      </c>
      <c r="F112" t="s">
        <v>3</v>
      </c>
      <c r="G112" s="3">
        <v>7.88</v>
      </c>
      <c r="H112" s="3">
        <v>1.18</v>
      </c>
    </row>
    <row r="113" spans="1:8" ht="15" x14ac:dyDescent="0.25">
      <c r="A113" t="s">
        <v>543</v>
      </c>
      <c r="B113" t="s">
        <v>1917</v>
      </c>
      <c r="C113" s="1">
        <v>45602</v>
      </c>
      <c r="D113" s="2">
        <v>0.8125</v>
      </c>
      <c r="E113" t="s">
        <v>2</v>
      </c>
      <c r="F113" t="s">
        <v>3</v>
      </c>
      <c r="G113" s="3">
        <v>5.4</v>
      </c>
      <c r="H113" s="3">
        <v>0.81</v>
      </c>
    </row>
    <row r="114" spans="1:8" ht="15" x14ac:dyDescent="0.25">
      <c r="A114" t="s">
        <v>543</v>
      </c>
      <c r="B114" t="s">
        <v>1918</v>
      </c>
      <c r="C114" s="1">
        <v>45602</v>
      </c>
      <c r="D114" s="2">
        <v>0.92708333333333337</v>
      </c>
      <c r="E114" t="s">
        <v>2</v>
      </c>
      <c r="F114" t="s">
        <v>3</v>
      </c>
      <c r="G114" s="3">
        <v>20.34</v>
      </c>
      <c r="H114" s="3">
        <v>3.05</v>
      </c>
    </row>
    <row r="115" spans="1:8" x14ac:dyDescent="0.35">
      <c r="A115" t="s">
        <v>543</v>
      </c>
      <c r="B115" t="s">
        <v>1919</v>
      </c>
      <c r="C115" s="1">
        <v>45604</v>
      </c>
      <c r="D115" s="2">
        <v>0.10555555555555556</v>
      </c>
      <c r="E115" t="s">
        <v>2</v>
      </c>
      <c r="F115" t="s">
        <v>3</v>
      </c>
      <c r="G115" s="3">
        <v>15.59</v>
      </c>
      <c r="H115" s="3">
        <v>2.33</v>
      </c>
    </row>
    <row r="116" spans="1:8" x14ac:dyDescent="0.35">
      <c r="A116" t="s">
        <v>543</v>
      </c>
      <c r="B116" t="s">
        <v>1920</v>
      </c>
      <c r="C116" s="1">
        <v>45605</v>
      </c>
      <c r="D116" s="2">
        <v>2.7777777777777776E-2</v>
      </c>
      <c r="E116" t="s">
        <v>2</v>
      </c>
      <c r="F116" t="s">
        <v>3</v>
      </c>
      <c r="G116" s="3">
        <v>32.83</v>
      </c>
      <c r="H116" s="3">
        <v>4.92</v>
      </c>
    </row>
    <row r="117" spans="1:8" ht="15" x14ac:dyDescent="0.25">
      <c r="A117" t="s">
        <v>543</v>
      </c>
      <c r="B117" t="s">
        <v>1921</v>
      </c>
      <c r="C117" s="1">
        <v>45605</v>
      </c>
      <c r="D117" s="2">
        <v>0.23750000000000002</v>
      </c>
      <c r="E117" t="s">
        <v>2</v>
      </c>
      <c r="F117" t="s">
        <v>3</v>
      </c>
      <c r="G117" s="3">
        <v>41.8</v>
      </c>
      <c r="H117" s="3">
        <v>6.26</v>
      </c>
    </row>
    <row r="118" spans="1:8" x14ac:dyDescent="0.35">
      <c r="A118" t="s">
        <v>543</v>
      </c>
      <c r="B118" t="s">
        <v>1922</v>
      </c>
      <c r="C118" s="1">
        <v>45606</v>
      </c>
      <c r="D118" s="2">
        <v>0.4604166666666667</v>
      </c>
      <c r="E118" t="s">
        <v>2</v>
      </c>
      <c r="F118" t="s">
        <v>3</v>
      </c>
      <c r="G118" s="3">
        <v>46.6</v>
      </c>
      <c r="H118" s="3">
        <v>6.98</v>
      </c>
    </row>
    <row r="119" spans="1:8" x14ac:dyDescent="0.35">
      <c r="A119" t="s">
        <v>543</v>
      </c>
      <c r="B119" t="s">
        <v>1923</v>
      </c>
      <c r="C119" s="1">
        <v>45609</v>
      </c>
      <c r="D119" s="2">
        <v>6.3888888888888884E-2</v>
      </c>
      <c r="E119" t="s">
        <v>180</v>
      </c>
      <c r="F119" t="s">
        <v>3</v>
      </c>
      <c r="G119" s="3">
        <v>21</v>
      </c>
      <c r="H119" s="3">
        <v>3.14</v>
      </c>
    </row>
    <row r="120" spans="1:8" ht="15" x14ac:dyDescent="0.25">
      <c r="A120" t="s">
        <v>543</v>
      </c>
      <c r="B120" t="s">
        <v>1924</v>
      </c>
      <c r="C120" s="1">
        <v>45609</v>
      </c>
      <c r="D120" s="2">
        <v>0.47013888888888888</v>
      </c>
      <c r="E120" t="s">
        <v>2</v>
      </c>
      <c r="F120" t="s">
        <v>3</v>
      </c>
      <c r="G120" s="3">
        <v>15.29</v>
      </c>
      <c r="H120" s="3">
        <v>2.29</v>
      </c>
    </row>
    <row r="121" spans="1:8" ht="15" x14ac:dyDescent="0.25">
      <c r="A121" t="s">
        <v>543</v>
      </c>
      <c r="B121" t="s">
        <v>1925</v>
      </c>
      <c r="C121" s="1">
        <v>45609</v>
      </c>
      <c r="D121" s="2">
        <v>0.60833333333333328</v>
      </c>
      <c r="E121" t="s">
        <v>180</v>
      </c>
      <c r="F121" t="s">
        <v>3</v>
      </c>
      <c r="G121" s="3">
        <v>0.5</v>
      </c>
      <c r="H121" s="3">
        <v>7.0000000000000007E-2</v>
      </c>
    </row>
    <row r="122" spans="1:8" ht="15" x14ac:dyDescent="0.25">
      <c r="A122" t="s">
        <v>543</v>
      </c>
      <c r="B122" t="s">
        <v>1926</v>
      </c>
      <c r="C122" s="1">
        <v>45610</v>
      </c>
      <c r="D122" s="2">
        <v>0.52361111111111114</v>
      </c>
      <c r="E122" t="s">
        <v>2</v>
      </c>
      <c r="F122" t="s">
        <v>3</v>
      </c>
      <c r="G122" s="3">
        <v>21.17</v>
      </c>
      <c r="H122" s="3">
        <v>3.17</v>
      </c>
    </row>
    <row r="123" spans="1:8" ht="15" x14ac:dyDescent="0.25">
      <c r="A123" t="s">
        <v>543</v>
      </c>
      <c r="B123" t="s">
        <v>1927</v>
      </c>
      <c r="C123" s="1">
        <v>45610</v>
      </c>
      <c r="D123" s="2">
        <v>0.83680555555555547</v>
      </c>
      <c r="E123" t="s">
        <v>180</v>
      </c>
      <c r="F123" t="s">
        <v>3</v>
      </c>
      <c r="G123" s="3">
        <v>0.5</v>
      </c>
      <c r="H123" s="3">
        <v>7.0000000000000007E-2</v>
      </c>
    </row>
    <row r="124" spans="1:8" ht="15" x14ac:dyDescent="0.25">
      <c r="A124" t="s">
        <v>543</v>
      </c>
      <c r="B124" t="s">
        <v>1928</v>
      </c>
      <c r="C124" s="1">
        <v>45610</v>
      </c>
      <c r="D124" s="2">
        <v>0.81111111111111101</v>
      </c>
      <c r="E124" t="s">
        <v>2</v>
      </c>
      <c r="F124" t="s">
        <v>3</v>
      </c>
      <c r="G124" s="3">
        <v>21.94</v>
      </c>
      <c r="H124" s="3">
        <v>3.29</v>
      </c>
    </row>
    <row r="125" spans="1:8" ht="15" x14ac:dyDescent="0.25">
      <c r="A125" t="s">
        <v>543</v>
      </c>
      <c r="B125" t="s">
        <v>1929</v>
      </c>
      <c r="C125" s="1">
        <v>45610</v>
      </c>
      <c r="D125" s="2">
        <v>0.93194444444444446</v>
      </c>
      <c r="E125" t="s">
        <v>2</v>
      </c>
      <c r="F125" t="s">
        <v>3</v>
      </c>
      <c r="G125" s="3">
        <v>34.17</v>
      </c>
      <c r="H125" s="3">
        <v>5.12</v>
      </c>
    </row>
    <row r="126" spans="1:8" x14ac:dyDescent="0.35">
      <c r="A126" t="s">
        <v>543</v>
      </c>
      <c r="B126" t="s">
        <v>1930</v>
      </c>
      <c r="C126" s="1">
        <v>45611</v>
      </c>
      <c r="D126" s="2">
        <v>0.15347222222222223</v>
      </c>
      <c r="E126" t="s">
        <v>2</v>
      </c>
      <c r="F126" t="s">
        <v>3</v>
      </c>
      <c r="G126" s="3">
        <v>46.66</v>
      </c>
      <c r="H126" s="3">
        <v>6.99</v>
      </c>
    </row>
    <row r="127" spans="1:8" x14ac:dyDescent="0.35">
      <c r="A127" t="s">
        <v>543</v>
      </c>
      <c r="B127" t="s">
        <v>1931</v>
      </c>
      <c r="C127" s="1">
        <v>45612</v>
      </c>
      <c r="D127" s="2">
        <v>0.78819444444444453</v>
      </c>
      <c r="E127" t="s">
        <v>2</v>
      </c>
      <c r="F127" t="s">
        <v>3</v>
      </c>
      <c r="G127" s="3">
        <v>41.27</v>
      </c>
      <c r="H127" s="3">
        <v>6.18</v>
      </c>
    </row>
    <row r="128" spans="1:8" ht="15" x14ac:dyDescent="0.25">
      <c r="A128" t="s">
        <v>543</v>
      </c>
      <c r="B128" t="s">
        <v>1932</v>
      </c>
      <c r="C128" s="1">
        <v>45613</v>
      </c>
      <c r="D128" s="2">
        <v>0.65625</v>
      </c>
      <c r="E128" t="s">
        <v>2</v>
      </c>
      <c r="F128" t="s">
        <v>3</v>
      </c>
      <c r="G128" s="3">
        <v>71.67</v>
      </c>
      <c r="H128" s="3">
        <v>10.73</v>
      </c>
    </row>
    <row r="129" spans="1:8" ht="15" x14ac:dyDescent="0.25">
      <c r="A129" t="s">
        <v>543</v>
      </c>
      <c r="B129" t="s">
        <v>1933</v>
      </c>
      <c r="C129" s="1">
        <v>45614</v>
      </c>
      <c r="D129" s="2">
        <v>0.64513888888888882</v>
      </c>
      <c r="E129" t="s">
        <v>2</v>
      </c>
      <c r="F129" t="s">
        <v>3</v>
      </c>
      <c r="G129" s="3">
        <v>36.33</v>
      </c>
      <c r="H129" s="3">
        <v>5.44</v>
      </c>
    </row>
    <row r="130" spans="1:8" ht="15" x14ac:dyDescent="0.25">
      <c r="A130" t="s">
        <v>543</v>
      </c>
      <c r="B130" t="s">
        <v>1934</v>
      </c>
      <c r="C130" s="1">
        <v>45616</v>
      </c>
      <c r="D130" s="2">
        <v>0.9277777777777777</v>
      </c>
      <c r="E130" t="s">
        <v>2</v>
      </c>
      <c r="F130" t="s">
        <v>3</v>
      </c>
      <c r="G130" s="3">
        <v>19.23</v>
      </c>
      <c r="H130" s="3">
        <v>2.88</v>
      </c>
    </row>
    <row r="131" spans="1:8" x14ac:dyDescent="0.35">
      <c r="A131" t="s">
        <v>543</v>
      </c>
      <c r="B131" t="s">
        <v>1935</v>
      </c>
      <c r="C131" s="1">
        <v>45616</v>
      </c>
      <c r="D131" s="2">
        <v>0.9868055555555556</v>
      </c>
      <c r="E131" t="s">
        <v>2</v>
      </c>
      <c r="F131" t="s">
        <v>3</v>
      </c>
      <c r="G131" s="3">
        <v>45.14</v>
      </c>
      <c r="H131" s="3">
        <v>6.76</v>
      </c>
    </row>
    <row r="132" spans="1:8" x14ac:dyDescent="0.35">
      <c r="A132" t="s">
        <v>543</v>
      </c>
      <c r="B132" t="s">
        <v>1936</v>
      </c>
      <c r="C132" s="1">
        <v>45617</v>
      </c>
      <c r="D132" s="2">
        <v>0.95486111111111116</v>
      </c>
      <c r="E132" t="s">
        <v>2</v>
      </c>
      <c r="F132" t="s">
        <v>3</v>
      </c>
      <c r="G132" s="3">
        <v>15.59</v>
      </c>
      <c r="H132" s="3">
        <v>2.33</v>
      </c>
    </row>
    <row r="133" spans="1:8" x14ac:dyDescent="0.35">
      <c r="A133" t="s">
        <v>543</v>
      </c>
      <c r="B133" t="s">
        <v>1937</v>
      </c>
      <c r="C133" s="1">
        <v>45620</v>
      </c>
      <c r="D133" s="2">
        <v>7.3611111111111113E-2</v>
      </c>
      <c r="E133" t="s">
        <v>2</v>
      </c>
      <c r="F133" t="s">
        <v>3</v>
      </c>
      <c r="G133" s="3">
        <v>81.16</v>
      </c>
      <c r="H133" s="3">
        <v>12.15</v>
      </c>
    </row>
    <row r="134" spans="1:8" x14ac:dyDescent="0.35">
      <c r="A134" t="s">
        <v>543</v>
      </c>
      <c r="B134" t="s">
        <v>1938</v>
      </c>
      <c r="C134" s="1">
        <v>45620</v>
      </c>
      <c r="D134" s="2">
        <v>0.62152777777777779</v>
      </c>
      <c r="E134" t="s">
        <v>2</v>
      </c>
      <c r="F134" t="s">
        <v>3</v>
      </c>
      <c r="G134" s="3">
        <v>37.229999999999997</v>
      </c>
      <c r="H134" s="3">
        <v>5.58</v>
      </c>
    </row>
    <row r="135" spans="1:8" x14ac:dyDescent="0.35">
      <c r="A135" t="s">
        <v>543</v>
      </c>
      <c r="B135" t="s">
        <v>1939</v>
      </c>
      <c r="C135" s="1">
        <v>45620</v>
      </c>
      <c r="D135" s="2">
        <v>0.63541666666666663</v>
      </c>
      <c r="E135" t="s">
        <v>2</v>
      </c>
      <c r="F135" t="s">
        <v>3</v>
      </c>
      <c r="G135" s="3">
        <v>20.99</v>
      </c>
      <c r="H135" s="3">
        <v>3.14</v>
      </c>
    </row>
    <row r="136" spans="1:8" x14ac:dyDescent="0.35">
      <c r="A136" t="s">
        <v>543</v>
      </c>
      <c r="B136" t="s">
        <v>1940</v>
      </c>
      <c r="C136" s="1">
        <v>45621</v>
      </c>
      <c r="D136" s="2">
        <v>0.76041666666666663</v>
      </c>
      <c r="E136" t="s">
        <v>2</v>
      </c>
      <c r="F136" t="s">
        <v>3</v>
      </c>
      <c r="G136" s="3">
        <v>70.459999999999994</v>
      </c>
      <c r="H136" s="3">
        <v>10.55</v>
      </c>
    </row>
    <row r="137" spans="1:8" ht="15" x14ac:dyDescent="0.25">
      <c r="A137" t="s">
        <v>543</v>
      </c>
      <c r="B137" t="s">
        <v>1941</v>
      </c>
      <c r="C137" s="1">
        <v>45622</v>
      </c>
      <c r="D137" s="2">
        <v>3.0555555555555555E-2</v>
      </c>
      <c r="E137" t="s">
        <v>2</v>
      </c>
      <c r="F137" t="s">
        <v>3</v>
      </c>
      <c r="G137" s="3">
        <v>26</v>
      </c>
      <c r="H137" s="3">
        <v>3.89</v>
      </c>
    </row>
    <row r="138" spans="1:8" ht="15" x14ac:dyDescent="0.25">
      <c r="A138" t="s">
        <v>543</v>
      </c>
      <c r="B138" t="s">
        <v>1942</v>
      </c>
      <c r="C138" s="1">
        <v>45622</v>
      </c>
      <c r="D138" s="2">
        <v>0.93958333333333333</v>
      </c>
      <c r="E138" t="s">
        <v>2</v>
      </c>
      <c r="F138" t="s">
        <v>3</v>
      </c>
      <c r="G138" s="3">
        <v>96.21</v>
      </c>
      <c r="H138" s="3">
        <v>14.41</v>
      </c>
    </row>
    <row r="139" spans="1:8" ht="15" x14ac:dyDescent="0.25">
      <c r="A139" t="s">
        <v>543</v>
      </c>
      <c r="B139" t="s">
        <v>1943</v>
      </c>
      <c r="C139" s="1">
        <v>45623</v>
      </c>
      <c r="D139" s="2">
        <v>2.7777777777777779E-3</v>
      </c>
      <c r="E139" t="s">
        <v>2</v>
      </c>
      <c r="F139" t="s">
        <v>3</v>
      </c>
      <c r="G139" s="3">
        <v>70.14</v>
      </c>
      <c r="H139" s="3">
        <v>10.5</v>
      </c>
    </row>
    <row r="140" spans="1:8" ht="15" x14ac:dyDescent="0.25">
      <c r="A140" t="s">
        <v>543</v>
      </c>
      <c r="B140" t="s">
        <v>1944</v>
      </c>
      <c r="C140" s="1">
        <v>45623</v>
      </c>
      <c r="D140" s="2">
        <v>0.87152777777777779</v>
      </c>
      <c r="E140" t="s">
        <v>2</v>
      </c>
      <c r="F140" t="s">
        <v>3</v>
      </c>
      <c r="G140" s="3">
        <v>22.99</v>
      </c>
      <c r="H140" s="3">
        <v>3.44</v>
      </c>
    </row>
    <row r="141" spans="1:8" ht="15" x14ac:dyDescent="0.25">
      <c r="A141" t="s">
        <v>543</v>
      </c>
      <c r="B141" t="s">
        <v>1945</v>
      </c>
      <c r="C141" s="1">
        <v>45624</v>
      </c>
      <c r="D141" s="2">
        <v>0.6</v>
      </c>
      <c r="E141" t="s">
        <v>2</v>
      </c>
      <c r="F141" t="s">
        <v>3</v>
      </c>
      <c r="G141" s="3">
        <v>33.33</v>
      </c>
      <c r="H141" s="3">
        <v>4.99</v>
      </c>
    </row>
    <row r="142" spans="1:8" ht="15" x14ac:dyDescent="0.25">
      <c r="A142" t="s">
        <v>543</v>
      </c>
      <c r="B142" t="s">
        <v>1946</v>
      </c>
      <c r="C142" s="1">
        <v>45624</v>
      </c>
      <c r="D142" s="2">
        <v>0.75277777777777777</v>
      </c>
      <c r="E142" t="s">
        <v>2</v>
      </c>
      <c r="F142" t="s">
        <v>3</v>
      </c>
      <c r="G142" s="3">
        <v>87.58</v>
      </c>
      <c r="H142" s="3">
        <v>13.12</v>
      </c>
    </row>
    <row r="143" spans="1:8" ht="15" x14ac:dyDescent="0.25">
      <c r="A143" t="s">
        <v>543</v>
      </c>
      <c r="B143" t="s">
        <v>1947</v>
      </c>
      <c r="C143" s="1">
        <v>45624</v>
      </c>
      <c r="D143" s="2">
        <v>0.97222222222222221</v>
      </c>
      <c r="E143" t="s">
        <v>2</v>
      </c>
      <c r="F143" t="s">
        <v>3</v>
      </c>
      <c r="G143" s="3">
        <v>28.74</v>
      </c>
      <c r="H143" s="3">
        <v>4.3</v>
      </c>
    </row>
    <row r="144" spans="1:8" x14ac:dyDescent="0.35">
      <c r="A144" t="s">
        <v>543</v>
      </c>
      <c r="B144" t="s">
        <v>1948</v>
      </c>
      <c r="C144" s="1">
        <v>45625</v>
      </c>
      <c r="D144" s="2">
        <v>4.3055555555555562E-2</v>
      </c>
      <c r="E144" t="s">
        <v>2</v>
      </c>
      <c r="F144" t="s">
        <v>3</v>
      </c>
      <c r="G144" s="3">
        <v>15.59</v>
      </c>
      <c r="H144" s="3">
        <v>2.33</v>
      </c>
    </row>
    <row r="145" spans="1:8" x14ac:dyDescent="0.35">
      <c r="A145" t="s">
        <v>543</v>
      </c>
      <c r="B145" t="s">
        <v>1949</v>
      </c>
      <c r="C145" s="1">
        <v>45625</v>
      </c>
      <c r="D145" s="2">
        <v>0.39444444444444443</v>
      </c>
      <c r="E145" t="s">
        <v>2</v>
      </c>
      <c r="F145" t="s">
        <v>3</v>
      </c>
      <c r="G145" s="3">
        <v>23</v>
      </c>
      <c r="H145" s="3">
        <v>3.44</v>
      </c>
    </row>
    <row r="146" spans="1:8" x14ac:dyDescent="0.35">
      <c r="A146" t="s">
        <v>543</v>
      </c>
      <c r="B146" t="s">
        <v>1950</v>
      </c>
      <c r="C146" s="1">
        <v>45625</v>
      </c>
      <c r="D146" s="2">
        <v>0.44097222222222227</v>
      </c>
      <c r="E146" t="s">
        <v>2</v>
      </c>
      <c r="F146" t="s">
        <v>3</v>
      </c>
      <c r="G146" s="3">
        <v>25.99</v>
      </c>
      <c r="H146" s="3">
        <v>3.89</v>
      </c>
    </row>
    <row r="147" spans="1:8" ht="15" thickBot="1" x14ac:dyDescent="0.4">
      <c r="A147" s="4" t="s">
        <v>543</v>
      </c>
      <c r="B147" s="4" t="s">
        <v>1951</v>
      </c>
      <c r="C147" s="6">
        <v>45625</v>
      </c>
      <c r="D147" s="7">
        <v>0.69861111111111107</v>
      </c>
      <c r="E147" s="4" t="s">
        <v>2</v>
      </c>
      <c r="F147" s="4" t="s">
        <v>3</v>
      </c>
      <c r="G147" s="5">
        <v>25.74</v>
      </c>
      <c r="H147" s="5">
        <v>2.3199999999999998</v>
      </c>
    </row>
    <row r="148" spans="1:8" x14ac:dyDescent="0.35">
      <c r="A148" t="s">
        <v>2232</v>
      </c>
      <c r="G148" s="9">
        <f t="shared" ref="G148:H148" si="6">SUM(G105:G147)</f>
        <v>1366.3</v>
      </c>
      <c r="H148" s="9">
        <f t="shared" si="6"/>
        <v>203.03</v>
      </c>
    </row>
    <row r="151" spans="1:8" ht="15.75" thickBot="1" x14ac:dyDescent="0.3"/>
    <row r="152" spans="1:8" ht="15" thickBot="1" x14ac:dyDescent="0.4">
      <c r="A152" s="11" t="s">
        <v>411</v>
      </c>
      <c r="B152" s="12" t="s">
        <v>163</v>
      </c>
      <c r="C152" s="12" t="s">
        <v>165</v>
      </c>
      <c r="D152" s="12" t="s">
        <v>166</v>
      </c>
      <c r="E152" s="12" t="s">
        <v>164</v>
      </c>
      <c r="F152" s="12" t="s">
        <v>167</v>
      </c>
      <c r="G152" s="12" t="s">
        <v>412</v>
      </c>
      <c r="H152" s="13" t="s">
        <v>169</v>
      </c>
    </row>
    <row r="153" spans="1:8" x14ac:dyDescent="0.35">
      <c r="A153" t="s">
        <v>40</v>
      </c>
      <c r="B153" t="s">
        <v>1952</v>
      </c>
      <c r="C153" s="1">
        <v>45598</v>
      </c>
      <c r="D153" s="2">
        <v>0.6118055555555556</v>
      </c>
      <c r="E153" t="s">
        <v>180</v>
      </c>
      <c r="F153" t="s">
        <v>3</v>
      </c>
      <c r="G153" s="3">
        <v>0.5</v>
      </c>
      <c r="H153" s="3">
        <v>7.0000000000000007E-2</v>
      </c>
    </row>
    <row r="154" spans="1:8" x14ac:dyDescent="0.35">
      <c r="A154" t="s">
        <v>40</v>
      </c>
      <c r="B154" t="s">
        <v>1953</v>
      </c>
      <c r="C154" s="1">
        <v>45598</v>
      </c>
      <c r="D154" s="2">
        <v>0.62361111111111112</v>
      </c>
      <c r="E154" t="s">
        <v>180</v>
      </c>
      <c r="F154" t="s">
        <v>3</v>
      </c>
      <c r="G154" s="3">
        <v>0.5</v>
      </c>
      <c r="H154" s="3">
        <v>7.0000000000000007E-2</v>
      </c>
    </row>
    <row r="155" spans="1:8" x14ac:dyDescent="0.35">
      <c r="A155" t="s">
        <v>40</v>
      </c>
      <c r="B155" t="s">
        <v>1954</v>
      </c>
      <c r="C155" s="1">
        <v>45598</v>
      </c>
      <c r="D155" s="2">
        <v>0.85763888888888884</v>
      </c>
      <c r="E155" t="s">
        <v>2</v>
      </c>
      <c r="F155" t="s">
        <v>3</v>
      </c>
      <c r="G155" s="3">
        <v>25.4</v>
      </c>
      <c r="H155" s="3">
        <v>3.8</v>
      </c>
    </row>
    <row r="156" spans="1:8" x14ac:dyDescent="0.35">
      <c r="A156" t="s">
        <v>40</v>
      </c>
      <c r="B156" t="s">
        <v>1955</v>
      </c>
      <c r="C156" s="1">
        <v>45599</v>
      </c>
      <c r="D156" s="2">
        <v>8.2638888888888887E-2</v>
      </c>
      <c r="E156" t="s">
        <v>2</v>
      </c>
      <c r="F156" t="s">
        <v>3</v>
      </c>
      <c r="G156" s="3">
        <v>5.4</v>
      </c>
      <c r="H156" s="3">
        <v>0.81</v>
      </c>
    </row>
    <row r="157" spans="1:8" x14ac:dyDescent="0.35">
      <c r="A157" t="s">
        <v>40</v>
      </c>
      <c r="B157" t="s">
        <v>1956</v>
      </c>
      <c r="C157" s="1">
        <v>45599</v>
      </c>
      <c r="D157" s="2">
        <v>0.3756944444444445</v>
      </c>
      <c r="E157" t="s">
        <v>2</v>
      </c>
      <c r="F157" t="s">
        <v>3</v>
      </c>
      <c r="G157" s="3">
        <v>9</v>
      </c>
      <c r="H157" s="3">
        <v>1.35</v>
      </c>
    </row>
    <row r="158" spans="1:8" x14ac:dyDescent="0.35">
      <c r="A158" t="s">
        <v>40</v>
      </c>
      <c r="B158" t="s">
        <v>1957</v>
      </c>
      <c r="C158" s="1">
        <v>45599</v>
      </c>
      <c r="D158" s="2">
        <v>0.60138888888888886</v>
      </c>
      <c r="E158" t="s">
        <v>2</v>
      </c>
      <c r="F158" t="s">
        <v>3</v>
      </c>
      <c r="G158" s="3">
        <v>9</v>
      </c>
      <c r="H158" s="3">
        <v>1.35</v>
      </c>
    </row>
    <row r="159" spans="1:8" x14ac:dyDescent="0.35">
      <c r="A159" t="s">
        <v>40</v>
      </c>
      <c r="B159" t="s">
        <v>1958</v>
      </c>
      <c r="C159" s="1">
        <v>45600</v>
      </c>
      <c r="D159" s="2">
        <v>0.77708333333333324</v>
      </c>
      <c r="E159" t="s">
        <v>2</v>
      </c>
      <c r="F159" t="s">
        <v>3</v>
      </c>
      <c r="G159" s="3">
        <v>32.79</v>
      </c>
      <c r="H159" s="3">
        <v>4.91</v>
      </c>
    </row>
    <row r="160" spans="1:8" x14ac:dyDescent="0.35">
      <c r="A160" t="s">
        <v>40</v>
      </c>
      <c r="B160" t="s">
        <v>1959</v>
      </c>
      <c r="C160" s="1">
        <v>45601</v>
      </c>
      <c r="D160" s="2">
        <v>0.79027777777777775</v>
      </c>
      <c r="E160" t="s">
        <v>2</v>
      </c>
      <c r="F160" t="s">
        <v>3</v>
      </c>
      <c r="G160" s="3">
        <v>11.29</v>
      </c>
      <c r="H160" s="3">
        <v>1.69</v>
      </c>
    </row>
    <row r="161" spans="1:8" x14ac:dyDescent="0.35">
      <c r="A161" t="s">
        <v>40</v>
      </c>
      <c r="B161" t="s">
        <v>1960</v>
      </c>
      <c r="C161" s="1">
        <v>45602</v>
      </c>
      <c r="D161" s="2">
        <v>0.92638888888888893</v>
      </c>
      <c r="E161" t="s">
        <v>2</v>
      </c>
      <c r="F161" t="s">
        <v>3</v>
      </c>
      <c r="G161" s="3">
        <v>7.82</v>
      </c>
      <c r="H161" s="3">
        <v>1.17</v>
      </c>
    </row>
    <row r="162" spans="1:8" x14ac:dyDescent="0.35">
      <c r="A162" t="s">
        <v>40</v>
      </c>
      <c r="B162" t="s">
        <v>1961</v>
      </c>
      <c r="C162" s="1">
        <v>45605</v>
      </c>
      <c r="D162" s="2">
        <v>0.84722222222222221</v>
      </c>
      <c r="E162" t="s">
        <v>2</v>
      </c>
      <c r="F162" t="s">
        <v>3</v>
      </c>
      <c r="G162" s="3">
        <v>35.450000000000003</v>
      </c>
      <c r="H162" s="3">
        <v>5.31</v>
      </c>
    </row>
    <row r="163" spans="1:8" x14ac:dyDescent="0.35">
      <c r="A163" t="s">
        <v>40</v>
      </c>
      <c r="B163" t="s">
        <v>1962</v>
      </c>
      <c r="C163" s="1">
        <v>45607</v>
      </c>
      <c r="D163" s="2">
        <v>0.95347222222222217</v>
      </c>
      <c r="E163" t="s">
        <v>180</v>
      </c>
      <c r="F163" t="s">
        <v>3</v>
      </c>
      <c r="G163" s="3">
        <v>0.5</v>
      </c>
      <c r="H163" s="3">
        <v>7.0000000000000007E-2</v>
      </c>
    </row>
    <row r="164" spans="1:8" x14ac:dyDescent="0.35">
      <c r="A164" t="s">
        <v>40</v>
      </c>
      <c r="B164" t="s">
        <v>1963</v>
      </c>
      <c r="C164" s="1">
        <v>45608</v>
      </c>
      <c r="D164" s="2">
        <v>0.28958333333333336</v>
      </c>
      <c r="E164" t="s">
        <v>180</v>
      </c>
      <c r="F164" t="s">
        <v>3</v>
      </c>
      <c r="G164" s="3">
        <v>0.5</v>
      </c>
      <c r="H164" s="3">
        <v>7.0000000000000007E-2</v>
      </c>
    </row>
    <row r="165" spans="1:8" x14ac:dyDescent="0.35">
      <c r="A165" t="s">
        <v>40</v>
      </c>
      <c r="B165" t="s">
        <v>1964</v>
      </c>
      <c r="C165" s="1">
        <v>45609</v>
      </c>
      <c r="D165" s="2">
        <v>1.1111111111111112E-2</v>
      </c>
      <c r="E165" t="s">
        <v>2</v>
      </c>
      <c r="F165" t="s">
        <v>3</v>
      </c>
      <c r="G165" s="3">
        <v>8.15</v>
      </c>
      <c r="H165" s="3">
        <v>1.22</v>
      </c>
    </row>
    <row r="166" spans="1:8" x14ac:dyDescent="0.35">
      <c r="A166" t="s">
        <v>40</v>
      </c>
      <c r="B166" t="s">
        <v>1965</v>
      </c>
      <c r="C166" s="1">
        <v>45609</v>
      </c>
      <c r="D166" s="2">
        <v>0.61041666666666672</v>
      </c>
      <c r="E166" t="s">
        <v>180</v>
      </c>
      <c r="F166" t="s">
        <v>3</v>
      </c>
      <c r="G166" s="3">
        <v>0.5</v>
      </c>
      <c r="H166" s="3">
        <v>7.0000000000000007E-2</v>
      </c>
    </row>
    <row r="167" spans="1:8" x14ac:dyDescent="0.35">
      <c r="A167" t="s">
        <v>40</v>
      </c>
      <c r="B167" t="s">
        <v>1966</v>
      </c>
      <c r="C167" s="1">
        <v>45609</v>
      </c>
      <c r="D167" s="2">
        <v>0.93333333333333324</v>
      </c>
      <c r="E167" t="s">
        <v>2</v>
      </c>
      <c r="F167" t="s">
        <v>3</v>
      </c>
      <c r="G167" s="3">
        <v>50.6</v>
      </c>
      <c r="H167" s="3">
        <v>7.58</v>
      </c>
    </row>
    <row r="168" spans="1:8" x14ac:dyDescent="0.35">
      <c r="A168" t="s">
        <v>40</v>
      </c>
      <c r="B168" t="s">
        <v>1967</v>
      </c>
      <c r="C168" s="1">
        <v>45610</v>
      </c>
      <c r="D168" s="2">
        <v>0.84513888888888899</v>
      </c>
      <c r="E168" t="s">
        <v>180</v>
      </c>
      <c r="F168" t="s">
        <v>3</v>
      </c>
      <c r="G168" s="3">
        <v>0.5</v>
      </c>
      <c r="H168" s="3">
        <v>7.0000000000000007E-2</v>
      </c>
    </row>
    <row r="169" spans="1:8" x14ac:dyDescent="0.35">
      <c r="A169" t="s">
        <v>40</v>
      </c>
      <c r="B169" t="s">
        <v>1968</v>
      </c>
      <c r="C169" s="1">
        <v>45612</v>
      </c>
      <c r="D169" s="2">
        <v>0.17569444444444446</v>
      </c>
      <c r="E169" t="s">
        <v>2</v>
      </c>
      <c r="F169" t="s">
        <v>3</v>
      </c>
      <c r="G169" s="3">
        <v>24.45</v>
      </c>
      <c r="H169" s="3">
        <v>3.66</v>
      </c>
    </row>
    <row r="170" spans="1:8" x14ac:dyDescent="0.35">
      <c r="A170" t="s">
        <v>40</v>
      </c>
      <c r="B170" t="s">
        <v>1969</v>
      </c>
      <c r="C170" s="1">
        <v>45613</v>
      </c>
      <c r="D170" s="2">
        <v>0</v>
      </c>
      <c r="E170" t="s">
        <v>2</v>
      </c>
      <c r="F170" t="s">
        <v>3</v>
      </c>
      <c r="G170" s="3">
        <v>9</v>
      </c>
      <c r="H170" s="3">
        <v>1.35</v>
      </c>
    </row>
    <row r="171" spans="1:8" x14ac:dyDescent="0.35">
      <c r="A171" t="s">
        <v>40</v>
      </c>
      <c r="B171" t="s">
        <v>1970</v>
      </c>
      <c r="C171" s="1">
        <v>45613</v>
      </c>
      <c r="D171" s="2">
        <v>6.3888888888888884E-2</v>
      </c>
      <c r="E171" t="s">
        <v>2</v>
      </c>
      <c r="F171" t="s">
        <v>3</v>
      </c>
      <c r="G171" s="3">
        <v>21.7</v>
      </c>
      <c r="H171" s="3">
        <v>3.25</v>
      </c>
    </row>
    <row r="172" spans="1:8" x14ac:dyDescent="0.35">
      <c r="A172" t="s">
        <v>40</v>
      </c>
      <c r="B172" t="s">
        <v>1971</v>
      </c>
      <c r="C172" s="1">
        <v>45615</v>
      </c>
      <c r="D172" s="2">
        <v>0.49444444444444446</v>
      </c>
      <c r="E172" t="s">
        <v>2</v>
      </c>
      <c r="F172" t="s">
        <v>3</v>
      </c>
      <c r="G172" s="3">
        <v>7.81</v>
      </c>
      <c r="H172" s="3">
        <v>1.17</v>
      </c>
    </row>
    <row r="173" spans="1:8" x14ac:dyDescent="0.35">
      <c r="A173" t="s">
        <v>40</v>
      </c>
      <c r="B173" t="s">
        <v>1972</v>
      </c>
      <c r="C173" s="1">
        <v>45615</v>
      </c>
      <c r="D173" s="2">
        <v>0.81944444444444453</v>
      </c>
      <c r="E173" t="s">
        <v>2</v>
      </c>
      <c r="F173" t="s">
        <v>3</v>
      </c>
      <c r="G173" s="3">
        <v>26.35</v>
      </c>
      <c r="H173" s="3">
        <v>3.95</v>
      </c>
    </row>
    <row r="174" spans="1:8" x14ac:dyDescent="0.35">
      <c r="A174" t="s">
        <v>40</v>
      </c>
      <c r="B174" t="s">
        <v>1973</v>
      </c>
      <c r="C174" s="1">
        <v>45616</v>
      </c>
      <c r="D174" s="2">
        <v>0.5625</v>
      </c>
      <c r="E174" t="s">
        <v>2</v>
      </c>
      <c r="F174" t="s">
        <v>3</v>
      </c>
      <c r="G174" s="3">
        <v>74.55</v>
      </c>
      <c r="H174" s="3">
        <v>11.16</v>
      </c>
    </row>
    <row r="175" spans="1:8" x14ac:dyDescent="0.35">
      <c r="A175" t="s">
        <v>40</v>
      </c>
      <c r="B175" t="s">
        <v>1974</v>
      </c>
      <c r="C175" s="1">
        <v>45616</v>
      </c>
      <c r="D175" s="2">
        <v>0.87152777777777779</v>
      </c>
      <c r="E175" t="s">
        <v>180</v>
      </c>
      <c r="F175" t="s">
        <v>3</v>
      </c>
      <c r="G175" s="3">
        <v>16.2</v>
      </c>
      <c r="H175" s="3">
        <v>2.4300000000000002</v>
      </c>
    </row>
    <row r="176" spans="1:8" x14ac:dyDescent="0.35">
      <c r="A176" t="s">
        <v>40</v>
      </c>
      <c r="B176" t="s">
        <v>1975</v>
      </c>
      <c r="C176" s="1">
        <v>45618</v>
      </c>
      <c r="D176" s="2">
        <v>0.9770833333333333</v>
      </c>
      <c r="E176" t="s">
        <v>2</v>
      </c>
      <c r="F176" t="s">
        <v>3</v>
      </c>
      <c r="G176" s="3">
        <v>16.3</v>
      </c>
      <c r="H176" s="3">
        <v>2.44</v>
      </c>
    </row>
    <row r="177" spans="1:8" x14ac:dyDescent="0.35">
      <c r="A177" t="s">
        <v>40</v>
      </c>
      <c r="B177" t="s">
        <v>1976</v>
      </c>
      <c r="C177" s="1">
        <v>45619</v>
      </c>
      <c r="D177" s="2">
        <v>0.98749999999999993</v>
      </c>
      <c r="E177" t="s">
        <v>2</v>
      </c>
      <c r="F177" t="s">
        <v>3</v>
      </c>
      <c r="G177" s="3">
        <v>38</v>
      </c>
      <c r="H177" s="3">
        <v>5.69</v>
      </c>
    </row>
    <row r="178" spans="1:8" x14ac:dyDescent="0.35">
      <c r="A178" t="s">
        <v>40</v>
      </c>
      <c r="B178" t="s">
        <v>1977</v>
      </c>
      <c r="C178" s="1">
        <v>45620</v>
      </c>
      <c r="D178" s="2">
        <v>0.83819444444444446</v>
      </c>
      <c r="E178" t="s">
        <v>2</v>
      </c>
      <c r="F178" t="s">
        <v>3</v>
      </c>
      <c r="G178" s="3">
        <v>8.15</v>
      </c>
      <c r="H178" s="3">
        <v>1.22</v>
      </c>
    </row>
    <row r="179" spans="1:8" x14ac:dyDescent="0.35">
      <c r="A179" t="s">
        <v>40</v>
      </c>
      <c r="B179" t="s">
        <v>1978</v>
      </c>
      <c r="C179" s="1">
        <v>45621</v>
      </c>
      <c r="D179" s="2">
        <v>0.52847222222222223</v>
      </c>
      <c r="E179" t="s">
        <v>2</v>
      </c>
      <c r="F179" t="s">
        <v>3</v>
      </c>
      <c r="G179" s="3">
        <v>8.15</v>
      </c>
      <c r="H179" s="3">
        <v>1.22</v>
      </c>
    </row>
    <row r="180" spans="1:8" x14ac:dyDescent="0.35">
      <c r="A180" t="s">
        <v>40</v>
      </c>
      <c r="B180" t="s">
        <v>1979</v>
      </c>
      <c r="C180" s="1">
        <v>45621</v>
      </c>
      <c r="D180" s="2">
        <v>0.91319444444444453</v>
      </c>
      <c r="E180" t="s">
        <v>2</v>
      </c>
      <c r="F180" t="s">
        <v>3</v>
      </c>
      <c r="G180" s="3">
        <v>13.35</v>
      </c>
      <c r="H180" s="3">
        <v>2</v>
      </c>
    </row>
    <row r="181" spans="1:8" x14ac:dyDescent="0.35">
      <c r="A181" t="s">
        <v>40</v>
      </c>
      <c r="B181" t="s">
        <v>1980</v>
      </c>
      <c r="C181" s="1">
        <v>45622</v>
      </c>
      <c r="D181" s="2">
        <v>0.83124999999999993</v>
      </c>
      <c r="E181" t="s">
        <v>2</v>
      </c>
      <c r="F181" t="s">
        <v>3</v>
      </c>
      <c r="G181" s="3">
        <v>19.559999999999999</v>
      </c>
      <c r="H181" s="3">
        <v>2.93</v>
      </c>
    </row>
    <row r="182" spans="1:8" x14ac:dyDescent="0.35">
      <c r="A182" t="s">
        <v>40</v>
      </c>
      <c r="B182" t="s">
        <v>1981</v>
      </c>
      <c r="C182" s="1">
        <v>45623</v>
      </c>
      <c r="D182" s="2">
        <v>1.2499999999999999E-2</v>
      </c>
      <c r="E182" t="s">
        <v>2</v>
      </c>
      <c r="F182" t="s">
        <v>3</v>
      </c>
      <c r="G182" s="3">
        <v>19.23</v>
      </c>
      <c r="H182" s="3">
        <v>2.88</v>
      </c>
    </row>
    <row r="183" spans="1:8" x14ac:dyDescent="0.35">
      <c r="A183" t="s">
        <v>40</v>
      </c>
      <c r="B183" t="s">
        <v>1982</v>
      </c>
      <c r="C183" s="1">
        <v>45623</v>
      </c>
      <c r="D183" s="2">
        <v>0.61458333333333337</v>
      </c>
      <c r="E183" t="s">
        <v>2</v>
      </c>
      <c r="F183" t="s">
        <v>3</v>
      </c>
      <c r="G183" s="3">
        <v>39.74</v>
      </c>
      <c r="H183" s="3">
        <v>5.95</v>
      </c>
    </row>
    <row r="184" spans="1:8" x14ac:dyDescent="0.35">
      <c r="A184" t="s">
        <v>40</v>
      </c>
      <c r="B184" t="s">
        <v>1983</v>
      </c>
      <c r="C184" s="1">
        <v>45624</v>
      </c>
      <c r="D184" s="2">
        <v>9.7222222222222224E-3</v>
      </c>
      <c r="E184" t="s">
        <v>2</v>
      </c>
      <c r="F184" t="s">
        <v>3</v>
      </c>
      <c r="G184" s="3">
        <v>39.25</v>
      </c>
      <c r="H184" s="3">
        <v>5.88</v>
      </c>
    </row>
    <row r="185" spans="1:8" ht="15" thickBot="1" x14ac:dyDescent="0.4">
      <c r="A185" s="4" t="s">
        <v>40</v>
      </c>
      <c r="B185" s="4" t="s">
        <v>1984</v>
      </c>
      <c r="C185" s="6">
        <v>45624</v>
      </c>
      <c r="D185" s="7">
        <v>0.70624999999999993</v>
      </c>
      <c r="E185" s="4" t="s">
        <v>2</v>
      </c>
      <c r="F185" s="4" t="s">
        <v>3</v>
      </c>
      <c r="G185" s="5">
        <v>74.55</v>
      </c>
      <c r="H185" s="5">
        <v>11.16</v>
      </c>
    </row>
    <row r="186" spans="1:8" x14ac:dyDescent="0.35">
      <c r="A186" t="s">
        <v>2232</v>
      </c>
      <c r="G186" s="3">
        <f t="shared" ref="G186:H186" si="7">SUM(G153:G185)</f>
        <v>654.2399999999999</v>
      </c>
      <c r="H186" s="3">
        <f t="shared" si="7"/>
        <v>97.95</v>
      </c>
    </row>
    <row r="188" spans="1:8" ht="15.75" thickBot="1" x14ac:dyDescent="0.3"/>
    <row r="189" spans="1:8" ht="15" thickBot="1" x14ac:dyDescent="0.4">
      <c r="A189" s="11" t="s">
        <v>411</v>
      </c>
      <c r="B189" s="12" t="s">
        <v>163</v>
      </c>
      <c r="C189" s="12" t="s">
        <v>165</v>
      </c>
      <c r="D189" s="12" t="s">
        <v>166</v>
      </c>
      <c r="E189" s="12" t="s">
        <v>164</v>
      </c>
      <c r="F189" s="12" t="s">
        <v>167</v>
      </c>
      <c r="G189" s="12" t="s">
        <v>412</v>
      </c>
      <c r="H189" s="13" t="s">
        <v>169</v>
      </c>
    </row>
    <row r="190" spans="1:8" x14ac:dyDescent="0.35">
      <c r="A190" t="s">
        <v>148</v>
      </c>
      <c r="B190" t="s">
        <v>1985</v>
      </c>
      <c r="C190" s="1">
        <v>45597</v>
      </c>
      <c r="D190" s="2">
        <v>0.27083333333333331</v>
      </c>
      <c r="E190" t="s">
        <v>2</v>
      </c>
      <c r="F190" t="s">
        <v>3</v>
      </c>
      <c r="G190" s="3">
        <v>62.66</v>
      </c>
      <c r="H190" s="3">
        <v>9.3800000000000008</v>
      </c>
    </row>
    <row r="191" spans="1:8" x14ac:dyDescent="0.35">
      <c r="A191" t="s">
        <v>148</v>
      </c>
      <c r="B191" t="s">
        <v>1986</v>
      </c>
      <c r="C191" s="1">
        <v>45598</v>
      </c>
      <c r="D191" s="2">
        <v>0.17361111111111113</v>
      </c>
      <c r="E191" t="s">
        <v>2</v>
      </c>
      <c r="F191" t="s">
        <v>3</v>
      </c>
      <c r="G191" s="3">
        <v>25.1</v>
      </c>
      <c r="H191" s="3">
        <v>3.76</v>
      </c>
    </row>
    <row r="192" spans="1:8" x14ac:dyDescent="0.35">
      <c r="A192" t="s">
        <v>148</v>
      </c>
      <c r="B192" t="s">
        <v>1987</v>
      </c>
      <c r="C192" s="1">
        <v>45598</v>
      </c>
      <c r="D192" s="2">
        <v>0.15486111111111112</v>
      </c>
      <c r="E192" t="s">
        <v>2</v>
      </c>
      <c r="F192" t="s">
        <v>3</v>
      </c>
      <c r="G192" s="3">
        <v>15.6</v>
      </c>
      <c r="H192" s="3">
        <v>2.34</v>
      </c>
    </row>
    <row r="193" spans="1:8" x14ac:dyDescent="0.35">
      <c r="A193" t="s">
        <v>148</v>
      </c>
      <c r="B193" t="s">
        <v>1988</v>
      </c>
      <c r="C193" s="1">
        <v>45598</v>
      </c>
      <c r="D193" s="2">
        <v>0.32222222222222224</v>
      </c>
      <c r="E193" t="s">
        <v>2</v>
      </c>
      <c r="F193" t="s">
        <v>3</v>
      </c>
      <c r="G193" s="3">
        <v>28.55</v>
      </c>
      <c r="H193" s="3">
        <v>4.28</v>
      </c>
    </row>
    <row r="194" spans="1:8" x14ac:dyDescent="0.35">
      <c r="A194" t="s">
        <v>148</v>
      </c>
      <c r="B194" t="s">
        <v>1989</v>
      </c>
      <c r="C194" s="1">
        <v>45598</v>
      </c>
      <c r="D194" s="2">
        <v>0.47500000000000003</v>
      </c>
      <c r="E194" t="s">
        <v>2</v>
      </c>
      <c r="F194" t="s">
        <v>3</v>
      </c>
      <c r="G194" s="3">
        <v>13.2</v>
      </c>
      <c r="H194" s="3">
        <v>1.98</v>
      </c>
    </row>
    <row r="195" spans="1:8" x14ac:dyDescent="0.35">
      <c r="A195" t="s">
        <v>148</v>
      </c>
      <c r="B195" t="s">
        <v>1990</v>
      </c>
      <c r="C195" s="1">
        <v>45599</v>
      </c>
      <c r="D195" s="2">
        <v>0.12916666666666668</v>
      </c>
      <c r="E195" t="s">
        <v>2</v>
      </c>
      <c r="F195" t="s">
        <v>3</v>
      </c>
      <c r="G195" s="3">
        <v>10.4</v>
      </c>
      <c r="H195" s="3">
        <v>1.56</v>
      </c>
    </row>
    <row r="196" spans="1:8" x14ac:dyDescent="0.35">
      <c r="A196" t="s">
        <v>148</v>
      </c>
      <c r="B196" t="s">
        <v>1991</v>
      </c>
      <c r="C196" s="1">
        <v>45601</v>
      </c>
      <c r="D196" s="2">
        <v>3.5416666666666666E-2</v>
      </c>
      <c r="E196" t="s">
        <v>2</v>
      </c>
      <c r="F196" t="s">
        <v>3</v>
      </c>
      <c r="G196" s="3">
        <v>12.5</v>
      </c>
      <c r="H196" s="3">
        <v>1.87</v>
      </c>
    </row>
    <row r="197" spans="1:8" x14ac:dyDescent="0.35">
      <c r="A197" t="s">
        <v>148</v>
      </c>
      <c r="B197" t="s">
        <v>1992</v>
      </c>
      <c r="C197" s="1">
        <v>45605</v>
      </c>
      <c r="D197" s="2">
        <v>0.17569444444444446</v>
      </c>
      <c r="E197" t="s">
        <v>2</v>
      </c>
      <c r="F197" t="s">
        <v>3</v>
      </c>
      <c r="G197" s="3">
        <v>21.3</v>
      </c>
      <c r="H197" s="3">
        <v>3.19</v>
      </c>
    </row>
    <row r="198" spans="1:8" x14ac:dyDescent="0.35">
      <c r="A198" t="s">
        <v>148</v>
      </c>
      <c r="B198" t="s">
        <v>1993</v>
      </c>
      <c r="C198" s="1">
        <v>45605</v>
      </c>
      <c r="D198" s="2">
        <v>0.4201388888888889</v>
      </c>
      <c r="E198" t="s">
        <v>2</v>
      </c>
      <c r="F198" t="s">
        <v>3</v>
      </c>
      <c r="G198" s="3">
        <v>26.5</v>
      </c>
      <c r="H198" s="3">
        <v>3.97</v>
      </c>
    </row>
    <row r="199" spans="1:8" x14ac:dyDescent="0.35">
      <c r="A199" t="s">
        <v>148</v>
      </c>
      <c r="B199" t="s">
        <v>1994</v>
      </c>
      <c r="C199" s="1">
        <v>45606</v>
      </c>
      <c r="D199" s="2">
        <v>0.12291666666666667</v>
      </c>
      <c r="E199" t="s">
        <v>2</v>
      </c>
      <c r="F199" t="s">
        <v>3</v>
      </c>
      <c r="G199" s="3">
        <v>3.58</v>
      </c>
      <c r="H199" s="3">
        <v>0.54</v>
      </c>
    </row>
    <row r="200" spans="1:8" x14ac:dyDescent="0.35">
      <c r="A200" t="s">
        <v>148</v>
      </c>
      <c r="B200" t="s">
        <v>1995</v>
      </c>
      <c r="C200" s="1">
        <v>45606</v>
      </c>
      <c r="D200" s="2">
        <v>0.17291666666666669</v>
      </c>
      <c r="E200" t="s">
        <v>2</v>
      </c>
      <c r="F200" t="s">
        <v>3</v>
      </c>
      <c r="G200" s="3">
        <v>23.8</v>
      </c>
      <c r="H200" s="3">
        <v>3.56</v>
      </c>
    </row>
    <row r="201" spans="1:8" x14ac:dyDescent="0.35">
      <c r="A201" t="s">
        <v>148</v>
      </c>
      <c r="B201" t="s">
        <v>1996</v>
      </c>
      <c r="C201" s="1">
        <v>45607</v>
      </c>
      <c r="D201" s="2">
        <v>0.33333333333333331</v>
      </c>
      <c r="E201" t="s">
        <v>2</v>
      </c>
      <c r="F201" t="s">
        <v>3</v>
      </c>
      <c r="G201" s="3">
        <v>24.6</v>
      </c>
      <c r="H201" s="3">
        <v>3.68</v>
      </c>
    </row>
    <row r="202" spans="1:8" x14ac:dyDescent="0.35">
      <c r="A202" t="s">
        <v>148</v>
      </c>
      <c r="B202" t="s">
        <v>1997</v>
      </c>
      <c r="C202" s="1">
        <v>45608</v>
      </c>
      <c r="D202" s="2">
        <v>0.29166666666666669</v>
      </c>
      <c r="E202" t="s">
        <v>180</v>
      </c>
      <c r="F202" t="s">
        <v>3</v>
      </c>
      <c r="G202" s="3">
        <v>0.5</v>
      </c>
      <c r="H202" s="3">
        <v>7.0000000000000007E-2</v>
      </c>
    </row>
    <row r="203" spans="1:8" x14ac:dyDescent="0.35">
      <c r="A203" t="s">
        <v>148</v>
      </c>
      <c r="B203" t="s">
        <v>1998</v>
      </c>
      <c r="C203" s="1">
        <v>45610</v>
      </c>
      <c r="D203" s="2">
        <v>0.36180555555555555</v>
      </c>
      <c r="E203" t="s">
        <v>2</v>
      </c>
      <c r="F203" t="s">
        <v>3</v>
      </c>
      <c r="G203" s="3">
        <v>36.19</v>
      </c>
      <c r="H203" s="3">
        <v>5.42</v>
      </c>
    </row>
    <row r="204" spans="1:8" x14ac:dyDescent="0.35">
      <c r="A204" t="s">
        <v>148</v>
      </c>
      <c r="B204" t="s">
        <v>1999</v>
      </c>
      <c r="C204" s="1">
        <v>45611</v>
      </c>
      <c r="D204" s="2">
        <v>0.62986111111111109</v>
      </c>
      <c r="E204" t="s">
        <v>2</v>
      </c>
      <c r="F204" t="s">
        <v>3</v>
      </c>
      <c r="G204" s="3">
        <v>26.5</v>
      </c>
      <c r="H204" s="3">
        <v>3.97</v>
      </c>
    </row>
    <row r="205" spans="1:8" x14ac:dyDescent="0.35">
      <c r="A205" t="s">
        <v>148</v>
      </c>
      <c r="B205" t="s">
        <v>2000</v>
      </c>
      <c r="C205" s="1">
        <v>45612</v>
      </c>
      <c r="D205" s="2">
        <v>0.34861111111111115</v>
      </c>
      <c r="E205" t="s">
        <v>2</v>
      </c>
      <c r="F205" t="s">
        <v>3</v>
      </c>
      <c r="G205" s="3">
        <v>11.5</v>
      </c>
      <c r="H205" s="3">
        <v>1.72</v>
      </c>
    </row>
    <row r="206" spans="1:8" x14ac:dyDescent="0.35">
      <c r="A206" t="s">
        <v>148</v>
      </c>
      <c r="B206" t="s">
        <v>2001</v>
      </c>
      <c r="C206" s="1">
        <v>45612</v>
      </c>
      <c r="D206" s="2">
        <v>0.64861111111111114</v>
      </c>
      <c r="E206" t="s">
        <v>2</v>
      </c>
      <c r="F206" t="s">
        <v>3</v>
      </c>
      <c r="G206" s="3">
        <v>30.6</v>
      </c>
      <c r="H206" s="3">
        <v>4.58</v>
      </c>
    </row>
    <row r="207" spans="1:8" x14ac:dyDescent="0.35">
      <c r="A207" t="s">
        <v>148</v>
      </c>
      <c r="B207" t="s">
        <v>2002</v>
      </c>
      <c r="C207" s="1">
        <v>45612</v>
      </c>
      <c r="D207" s="2">
        <v>0.67986111111111114</v>
      </c>
      <c r="E207" t="s">
        <v>2</v>
      </c>
      <c r="F207" t="s">
        <v>3</v>
      </c>
      <c r="G207" s="3">
        <v>15.64</v>
      </c>
      <c r="H207" s="3">
        <v>2.34</v>
      </c>
    </row>
    <row r="208" spans="1:8" x14ac:dyDescent="0.35">
      <c r="A208" t="s">
        <v>148</v>
      </c>
      <c r="B208" t="s">
        <v>2003</v>
      </c>
      <c r="C208" s="1">
        <v>45615</v>
      </c>
      <c r="D208" s="2">
        <v>7.9166666666666663E-2</v>
      </c>
      <c r="E208" t="s">
        <v>180</v>
      </c>
      <c r="F208" t="s">
        <v>3</v>
      </c>
      <c r="G208" s="3">
        <v>0.5</v>
      </c>
      <c r="H208" s="3">
        <v>7.0000000000000007E-2</v>
      </c>
    </row>
    <row r="209" spans="1:8" x14ac:dyDescent="0.35">
      <c r="A209" t="s">
        <v>148</v>
      </c>
      <c r="B209" t="s">
        <v>2004</v>
      </c>
      <c r="C209" s="1">
        <v>45615</v>
      </c>
      <c r="D209" s="2">
        <v>0.51388888888888895</v>
      </c>
      <c r="E209" t="s">
        <v>2</v>
      </c>
      <c r="F209" t="s">
        <v>3</v>
      </c>
      <c r="G209" s="3">
        <v>23.4</v>
      </c>
      <c r="H209" s="3">
        <v>3.5</v>
      </c>
    </row>
    <row r="210" spans="1:8" x14ac:dyDescent="0.35">
      <c r="A210" t="s">
        <v>148</v>
      </c>
      <c r="B210" t="s">
        <v>2005</v>
      </c>
      <c r="C210" s="1">
        <v>45621</v>
      </c>
      <c r="D210" s="2">
        <v>0.25069444444444444</v>
      </c>
      <c r="E210" t="s">
        <v>2</v>
      </c>
      <c r="F210" t="s">
        <v>3</v>
      </c>
      <c r="G210" s="3">
        <v>17.95</v>
      </c>
      <c r="H210" s="3">
        <v>2.69</v>
      </c>
    </row>
    <row r="211" spans="1:8" x14ac:dyDescent="0.35">
      <c r="A211" t="s">
        <v>148</v>
      </c>
      <c r="B211" t="s">
        <v>2006</v>
      </c>
      <c r="C211" s="1">
        <v>45623</v>
      </c>
      <c r="D211" s="2">
        <v>0.17291666666666669</v>
      </c>
      <c r="E211" t="s">
        <v>2</v>
      </c>
      <c r="F211" t="s">
        <v>3</v>
      </c>
      <c r="G211" s="3">
        <v>17.95</v>
      </c>
      <c r="H211" s="3">
        <v>2.69</v>
      </c>
    </row>
    <row r="212" spans="1:8" x14ac:dyDescent="0.35">
      <c r="A212" t="s">
        <v>148</v>
      </c>
      <c r="B212" t="s">
        <v>2007</v>
      </c>
      <c r="C212" s="1">
        <v>45623</v>
      </c>
      <c r="D212" s="2">
        <v>0.23402777777777781</v>
      </c>
      <c r="E212" t="s">
        <v>2</v>
      </c>
      <c r="F212" t="s">
        <v>3</v>
      </c>
      <c r="G212" s="3">
        <v>75.040000000000006</v>
      </c>
      <c r="H212" s="3">
        <v>11.24</v>
      </c>
    </row>
    <row r="213" spans="1:8" x14ac:dyDescent="0.35">
      <c r="A213" t="s">
        <v>148</v>
      </c>
      <c r="B213" t="s">
        <v>2008</v>
      </c>
      <c r="C213" s="1">
        <v>45625</v>
      </c>
      <c r="D213" s="2">
        <v>0.68402777777777779</v>
      </c>
      <c r="E213" t="s">
        <v>2</v>
      </c>
      <c r="F213" t="s">
        <v>3</v>
      </c>
      <c r="G213" s="3">
        <v>15.02</v>
      </c>
      <c r="H213" s="3">
        <v>1.35</v>
      </c>
    </row>
    <row r="214" spans="1:8" ht="15" thickBot="1" x14ac:dyDescent="0.4">
      <c r="A214" s="4" t="s">
        <v>148</v>
      </c>
      <c r="B214" s="4" t="s">
        <v>2009</v>
      </c>
      <c r="C214" s="6">
        <v>45626</v>
      </c>
      <c r="D214" s="7">
        <v>0.17708333333333334</v>
      </c>
      <c r="E214" s="4" t="s">
        <v>2</v>
      </c>
      <c r="F214" s="4" t="s">
        <v>3</v>
      </c>
      <c r="G214" s="5">
        <v>61.16</v>
      </c>
      <c r="H214" s="5">
        <v>5.5</v>
      </c>
    </row>
    <row r="215" spans="1:8" x14ac:dyDescent="0.35">
      <c r="A215" t="s">
        <v>2232</v>
      </c>
      <c r="G215" s="9">
        <f t="shared" ref="G215:H215" si="8">SUM(G190:G214)</f>
        <v>599.7399999999999</v>
      </c>
      <c r="H215" s="9">
        <f t="shared" si="8"/>
        <v>85.25</v>
      </c>
    </row>
    <row r="217" spans="1:8" ht="15.75" thickBot="1" x14ac:dyDescent="0.3"/>
    <row r="218" spans="1:8" ht="15" thickBot="1" x14ac:dyDescent="0.4">
      <c r="A218" s="11" t="s">
        <v>411</v>
      </c>
      <c r="B218" s="12" t="s">
        <v>163</v>
      </c>
      <c r="C218" s="12" t="s">
        <v>165</v>
      </c>
      <c r="D218" s="12" t="s">
        <v>166</v>
      </c>
      <c r="E218" s="12" t="s">
        <v>164</v>
      </c>
      <c r="F218" s="12" t="s">
        <v>167</v>
      </c>
      <c r="G218" s="12" t="s">
        <v>412</v>
      </c>
      <c r="H218" s="13" t="s">
        <v>169</v>
      </c>
    </row>
    <row r="219" spans="1:8" x14ac:dyDescent="0.35">
      <c r="A219" t="s">
        <v>743</v>
      </c>
      <c r="B219" t="s">
        <v>2010</v>
      </c>
      <c r="C219" s="1">
        <v>45598</v>
      </c>
      <c r="D219" s="2">
        <v>0.62430555555555556</v>
      </c>
      <c r="E219" t="s">
        <v>180</v>
      </c>
      <c r="F219" t="s">
        <v>3</v>
      </c>
      <c r="G219" s="3">
        <v>0.5</v>
      </c>
      <c r="H219" s="3">
        <v>7.0000000000000007E-2</v>
      </c>
    </row>
    <row r="220" spans="1:8" x14ac:dyDescent="0.35">
      <c r="A220" t="s">
        <v>743</v>
      </c>
      <c r="B220" t="s">
        <v>2011</v>
      </c>
      <c r="C220" s="1">
        <v>45598</v>
      </c>
      <c r="D220" s="2">
        <v>0.62638888888888888</v>
      </c>
      <c r="E220" t="s">
        <v>180</v>
      </c>
      <c r="F220" t="s">
        <v>3</v>
      </c>
      <c r="G220" s="3">
        <v>0.5</v>
      </c>
      <c r="H220" s="3">
        <v>7.0000000000000007E-2</v>
      </c>
    </row>
    <row r="221" spans="1:8" x14ac:dyDescent="0.35">
      <c r="A221" t="s">
        <v>743</v>
      </c>
      <c r="B221" t="s">
        <v>2012</v>
      </c>
      <c r="C221" s="1">
        <v>45599</v>
      </c>
      <c r="D221" s="2">
        <v>0.41666666666666669</v>
      </c>
      <c r="E221" t="s">
        <v>2</v>
      </c>
      <c r="F221" t="s">
        <v>3</v>
      </c>
      <c r="G221" s="3">
        <v>23.9</v>
      </c>
      <c r="H221" s="3">
        <v>3.58</v>
      </c>
    </row>
    <row r="222" spans="1:8" x14ac:dyDescent="0.35">
      <c r="A222" t="s">
        <v>743</v>
      </c>
      <c r="B222" t="s">
        <v>2013</v>
      </c>
      <c r="C222" s="1">
        <v>45600</v>
      </c>
      <c r="D222" s="2">
        <v>0.35000000000000003</v>
      </c>
      <c r="E222" t="s">
        <v>2</v>
      </c>
      <c r="F222" t="s">
        <v>3</v>
      </c>
      <c r="G222" s="3">
        <v>32.75</v>
      </c>
      <c r="H222" s="3">
        <v>4.9000000000000004</v>
      </c>
    </row>
    <row r="223" spans="1:8" x14ac:dyDescent="0.35">
      <c r="A223" t="s">
        <v>743</v>
      </c>
      <c r="B223" t="s">
        <v>2014</v>
      </c>
      <c r="C223" s="1">
        <v>45602</v>
      </c>
      <c r="D223" s="2">
        <v>0.4201388888888889</v>
      </c>
      <c r="E223" t="s">
        <v>2</v>
      </c>
      <c r="F223" t="s">
        <v>3</v>
      </c>
      <c r="G223" s="3">
        <v>22.75</v>
      </c>
      <c r="H223" s="3">
        <v>3.41</v>
      </c>
    </row>
    <row r="224" spans="1:8" x14ac:dyDescent="0.35">
      <c r="A224" t="s">
        <v>743</v>
      </c>
      <c r="B224" t="s">
        <v>2015</v>
      </c>
      <c r="C224" s="1">
        <v>45606</v>
      </c>
      <c r="D224" s="2">
        <v>0.36041666666666666</v>
      </c>
      <c r="E224" t="s">
        <v>2</v>
      </c>
      <c r="F224" t="s">
        <v>3</v>
      </c>
      <c r="G224" s="3">
        <v>12.95</v>
      </c>
      <c r="H224" s="3">
        <v>1.94</v>
      </c>
    </row>
    <row r="225" spans="1:8" x14ac:dyDescent="0.35">
      <c r="A225" t="s">
        <v>743</v>
      </c>
      <c r="B225" t="s">
        <v>2016</v>
      </c>
      <c r="C225" s="1">
        <v>45608</v>
      </c>
      <c r="D225" s="2">
        <v>0.28888888888888892</v>
      </c>
      <c r="E225" t="s">
        <v>180</v>
      </c>
      <c r="F225" t="s">
        <v>3</v>
      </c>
      <c r="G225" s="3">
        <v>0.5</v>
      </c>
      <c r="H225" s="3">
        <v>7.0000000000000007E-2</v>
      </c>
    </row>
    <row r="226" spans="1:8" x14ac:dyDescent="0.35">
      <c r="A226" t="s">
        <v>743</v>
      </c>
      <c r="B226" t="s">
        <v>2017</v>
      </c>
      <c r="C226" s="1">
        <v>45609</v>
      </c>
      <c r="D226" s="2">
        <v>0.60972222222222217</v>
      </c>
      <c r="E226" t="s">
        <v>180</v>
      </c>
      <c r="F226" t="s">
        <v>3</v>
      </c>
      <c r="G226" s="3">
        <v>0.5</v>
      </c>
      <c r="H226" s="3">
        <v>7.0000000000000007E-2</v>
      </c>
    </row>
    <row r="227" spans="1:8" x14ac:dyDescent="0.35">
      <c r="A227" t="s">
        <v>743</v>
      </c>
      <c r="B227" t="s">
        <v>2018</v>
      </c>
      <c r="C227" s="1">
        <v>45610</v>
      </c>
      <c r="D227" s="2">
        <v>0.13333333333333333</v>
      </c>
      <c r="E227" t="s">
        <v>2</v>
      </c>
      <c r="F227" t="s">
        <v>3</v>
      </c>
      <c r="G227" s="3">
        <v>29.3</v>
      </c>
      <c r="H227" s="3">
        <v>4.3899999999999997</v>
      </c>
    </row>
    <row r="228" spans="1:8" x14ac:dyDescent="0.35">
      <c r="A228" t="s">
        <v>743</v>
      </c>
      <c r="B228" t="s">
        <v>2019</v>
      </c>
      <c r="C228" s="1">
        <v>45610</v>
      </c>
      <c r="D228" s="2">
        <v>0.26666666666666666</v>
      </c>
      <c r="E228" t="s">
        <v>2</v>
      </c>
      <c r="F228" t="s">
        <v>3</v>
      </c>
      <c r="G228" s="3">
        <v>14.2</v>
      </c>
      <c r="H228" s="3">
        <v>2.13</v>
      </c>
    </row>
    <row r="229" spans="1:8" x14ac:dyDescent="0.35">
      <c r="A229" t="s">
        <v>743</v>
      </c>
      <c r="B229" t="s">
        <v>2020</v>
      </c>
      <c r="C229" s="1">
        <v>45610</v>
      </c>
      <c r="D229" s="2">
        <v>0.85416666666666663</v>
      </c>
      <c r="E229" t="s">
        <v>180</v>
      </c>
      <c r="F229" t="s">
        <v>3</v>
      </c>
      <c r="G229" s="3">
        <v>0.5</v>
      </c>
      <c r="H229" s="3">
        <v>7.0000000000000007E-2</v>
      </c>
    </row>
    <row r="230" spans="1:8" x14ac:dyDescent="0.35">
      <c r="A230" t="s">
        <v>743</v>
      </c>
      <c r="B230" t="s">
        <v>2021</v>
      </c>
      <c r="C230" s="1">
        <v>45611</v>
      </c>
      <c r="D230" s="2">
        <v>0.6875</v>
      </c>
      <c r="E230" t="s">
        <v>2</v>
      </c>
      <c r="F230" t="s">
        <v>3</v>
      </c>
      <c r="G230" s="3">
        <v>10.8</v>
      </c>
      <c r="H230" s="3">
        <v>1.62</v>
      </c>
    </row>
    <row r="231" spans="1:8" x14ac:dyDescent="0.35">
      <c r="A231" t="s">
        <v>743</v>
      </c>
      <c r="B231" t="s">
        <v>2022</v>
      </c>
      <c r="C231" s="1">
        <v>45613</v>
      </c>
      <c r="D231" s="2">
        <v>0.51944444444444449</v>
      </c>
      <c r="E231" t="s">
        <v>2</v>
      </c>
      <c r="F231" t="s">
        <v>3</v>
      </c>
      <c r="G231" s="3">
        <v>28.19</v>
      </c>
      <c r="H231" s="3">
        <v>4.22</v>
      </c>
    </row>
    <row r="232" spans="1:8" ht="15" thickBot="1" x14ac:dyDescent="0.4">
      <c r="A232" s="4" t="s">
        <v>743</v>
      </c>
      <c r="B232" s="4" t="s">
        <v>2023</v>
      </c>
      <c r="C232" s="6">
        <v>45619</v>
      </c>
      <c r="D232" s="7">
        <v>0.1875</v>
      </c>
      <c r="E232" s="4" t="s">
        <v>2</v>
      </c>
      <c r="F232" s="4" t="s">
        <v>3</v>
      </c>
      <c r="G232" s="5">
        <v>34.57</v>
      </c>
      <c r="H232" s="5">
        <v>5.18</v>
      </c>
    </row>
    <row r="233" spans="1:8" x14ac:dyDescent="0.35">
      <c r="A233" t="s">
        <v>2232</v>
      </c>
      <c r="G233" s="9">
        <f t="shared" ref="G233" si="9">SUM(G219:G232)</f>
        <v>211.91</v>
      </c>
      <c r="H233" s="9">
        <f>SUM(H219:H232)</f>
        <v>31.72</v>
      </c>
    </row>
    <row r="234" spans="1:8" x14ac:dyDescent="0.35">
      <c r="G234" s="9"/>
    </row>
    <row r="236" spans="1:8" ht="15.75" thickBot="1" x14ac:dyDescent="0.3"/>
    <row r="237" spans="1:8" ht="15" thickBot="1" x14ac:dyDescent="0.4">
      <c r="A237" s="11" t="s">
        <v>411</v>
      </c>
      <c r="B237" s="12" t="s">
        <v>163</v>
      </c>
      <c r="C237" s="12" t="s">
        <v>165</v>
      </c>
      <c r="D237" s="12" t="s">
        <v>166</v>
      </c>
      <c r="E237" s="12" t="s">
        <v>164</v>
      </c>
      <c r="F237" s="12" t="s">
        <v>167</v>
      </c>
      <c r="G237" s="12" t="s">
        <v>412</v>
      </c>
      <c r="H237" s="13" t="s">
        <v>169</v>
      </c>
    </row>
    <row r="238" spans="1:8" x14ac:dyDescent="0.35">
      <c r="A238" t="s">
        <v>403</v>
      </c>
      <c r="B238" t="s">
        <v>2024</v>
      </c>
      <c r="C238" s="1">
        <v>45604</v>
      </c>
      <c r="D238" s="2">
        <v>0.46319444444444446</v>
      </c>
      <c r="E238" t="s">
        <v>2</v>
      </c>
      <c r="F238" t="s">
        <v>3</v>
      </c>
      <c r="G238" s="3">
        <v>9.1</v>
      </c>
      <c r="H238" s="3">
        <v>1.36</v>
      </c>
    </row>
    <row r="239" spans="1:8" x14ac:dyDescent="0.35">
      <c r="A239" t="s">
        <v>403</v>
      </c>
      <c r="B239" t="s">
        <v>2025</v>
      </c>
      <c r="C239" s="1">
        <v>45604</v>
      </c>
      <c r="D239" s="2">
        <v>0.69513888888888886</v>
      </c>
      <c r="E239" t="s">
        <v>2</v>
      </c>
      <c r="F239" t="s">
        <v>3</v>
      </c>
      <c r="G239" s="3">
        <v>35.090000000000003</v>
      </c>
      <c r="H239" s="3">
        <v>5.25</v>
      </c>
    </row>
    <row r="240" spans="1:8" x14ac:dyDescent="0.35">
      <c r="A240" t="s">
        <v>403</v>
      </c>
      <c r="B240" t="s">
        <v>2026</v>
      </c>
      <c r="C240" s="1">
        <v>45610</v>
      </c>
      <c r="D240" s="2">
        <v>0.84861111111111109</v>
      </c>
      <c r="E240" t="s">
        <v>180</v>
      </c>
      <c r="F240" t="s">
        <v>3</v>
      </c>
      <c r="G240" s="3">
        <v>0.5</v>
      </c>
      <c r="H240" s="3">
        <v>7.0000000000000007E-2</v>
      </c>
    </row>
    <row r="241" spans="1:8" x14ac:dyDescent="0.35">
      <c r="A241" t="s">
        <v>403</v>
      </c>
      <c r="B241" t="s">
        <v>2027</v>
      </c>
      <c r="C241" s="1">
        <v>45612</v>
      </c>
      <c r="D241" s="2">
        <v>0.19444444444444445</v>
      </c>
      <c r="E241" t="s">
        <v>2</v>
      </c>
      <c r="F241" t="s">
        <v>3</v>
      </c>
      <c r="G241" s="3">
        <v>21</v>
      </c>
      <c r="H241" s="3">
        <v>3.14</v>
      </c>
    </row>
    <row r="242" spans="1:8" x14ac:dyDescent="0.35">
      <c r="A242" t="s">
        <v>403</v>
      </c>
      <c r="B242" t="s">
        <v>2028</v>
      </c>
      <c r="C242" s="1">
        <v>45618</v>
      </c>
      <c r="D242" s="2">
        <v>0.83611111111111114</v>
      </c>
      <c r="E242" t="s">
        <v>180</v>
      </c>
      <c r="F242" t="s">
        <v>3</v>
      </c>
      <c r="G242" s="3">
        <v>0.5</v>
      </c>
      <c r="H242" s="3">
        <v>7.0000000000000007E-2</v>
      </c>
    </row>
    <row r="243" spans="1:8" ht="15" thickBot="1" x14ac:dyDescent="0.4">
      <c r="A243" s="4" t="s">
        <v>403</v>
      </c>
      <c r="B243" s="4" t="s">
        <v>2029</v>
      </c>
      <c r="C243" s="6">
        <v>45621</v>
      </c>
      <c r="D243" s="7">
        <v>3.1944444444444449E-2</v>
      </c>
      <c r="E243" s="4" t="s">
        <v>180</v>
      </c>
      <c r="F243" s="4" t="s">
        <v>3</v>
      </c>
      <c r="G243" s="5">
        <v>0.5</v>
      </c>
      <c r="H243" s="5">
        <v>7.0000000000000007E-2</v>
      </c>
    </row>
    <row r="244" spans="1:8" x14ac:dyDescent="0.35">
      <c r="A244" t="s">
        <v>2232</v>
      </c>
      <c r="G244" s="9">
        <f t="shared" ref="G244:H244" si="10">SUM(G238:G243)</f>
        <v>66.69</v>
      </c>
      <c r="H244" s="9">
        <f t="shared" si="10"/>
        <v>9.9600000000000009</v>
      </c>
    </row>
    <row r="249" spans="1:8" x14ac:dyDescent="0.35">
      <c r="G249" s="9">
        <f>SUM(G244,G233,G215,G186,G148,G100,G85,G70,G61,G39,G16)</f>
        <v>4576.8</v>
      </c>
    </row>
    <row r="250" spans="1:8" x14ac:dyDescent="0.35">
      <c r="A250" t="s">
        <v>2233</v>
      </c>
      <c r="H250" s="9">
        <f>SUM(H244,H233,H215,H186,H148,H100,H85,H70,H61,H39,H16)</f>
        <v>677.89999999999986</v>
      </c>
    </row>
    <row r="251" spans="1:8" x14ac:dyDescent="0.35">
      <c r="A251" t="s">
        <v>2234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53"/>
  <sheetViews>
    <sheetView topLeftCell="A223" zoomScale="85" zoomScaleNormal="85" workbookViewId="0">
      <selection activeCell="G252" sqref="G252"/>
    </sheetView>
  </sheetViews>
  <sheetFormatPr defaultRowHeight="14.5" x14ac:dyDescent="0.35"/>
  <cols>
    <col min="1" max="1" width="26.54296875" customWidth="1"/>
    <col min="3" max="3" width="14.453125" customWidth="1"/>
    <col min="6" max="6" width="12.81640625" customWidth="1"/>
    <col min="7" max="7" width="12.7265625" customWidth="1"/>
    <col min="8" max="8" width="13" customWidth="1"/>
  </cols>
  <sheetData>
    <row r="5" spans="1:8" ht="15.75" thickBot="1" x14ac:dyDescent="0.3"/>
    <row r="6" spans="1:8" ht="15" thickBot="1" x14ac:dyDescent="0.4">
      <c r="A6" s="11" t="s">
        <v>411</v>
      </c>
      <c r="B6" s="12" t="s">
        <v>163</v>
      </c>
      <c r="C6" s="12" t="s">
        <v>165</v>
      </c>
      <c r="D6" s="12" t="s">
        <v>166</v>
      </c>
      <c r="E6" s="12" t="s">
        <v>164</v>
      </c>
      <c r="F6" s="12" t="s">
        <v>167</v>
      </c>
      <c r="G6" s="12" t="s">
        <v>412</v>
      </c>
      <c r="H6" s="13" t="s">
        <v>169</v>
      </c>
    </row>
    <row r="7" spans="1:8" x14ac:dyDescent="0.35">
      <c r="A7" t="s">
        <v>414</v>
      </c>
      <c r="B7" t="s">
        <v>2030</v>
      </c>
      <c r="C7" s="1">
        <v>45635</v>
      </c>
      <c r="D7" s="2">
        <v>0.78402777777777777</v>
      </c>
      <c r="E7" t="s">
        <v>180</v>
      </c>
      <c r="F7" t="s">
        <v>3</v>
      </c>
      <c r="G7" s="3">
        <v>0.39</v>
      </c>
      <c r="H7" s="3">
        <v>0.04</v>
      </c>
    </row>
    <row r="8" spans="1:8" x14ac:dyDescent="0.35">
      <c r="A8" t="s">
        <v>414</v>
      </c>
      <c r="B8" t="s">
        <v>2031</v>
      </c>
      <c r="C8" s="1">
        <v>45640</v>
      </c>
      <c r="D8" s="2">
        <v>0.69791666666666663</v>
      </c>
      <c r="E8" t="s">
        <v>180</v>
      </c>
      <c r="F8" t="s">
        <v>3</v>
      </c>
      <c r="G8" s="3">
        <v>0.39</v>
      </c>
      <c r="H8" s="3">
        <v>0.04</v>
      </c>
    </row>
    <row r="9" spans="1:8" x14ac:dyDescent="0.35">
      <c r="A9" t="s">
        <v>414</v>
      </c>
      <c r="B9" t="s">
        <v>2032</v>
      </c>
      <c r="C9" s="1">
        <v>45642</v>
      </c>
      <c r="D9" s="2">
        <v>0.70208333333333339</v>
      </c>
      <c r="E9" t="s">
        <v>180</v>
      </c>
      <c r="F9" t="s">
        <v>3</v>
      </c>
      <c r="G9" s="3">
        <v>0.39</v>
      </c>
      <c r="H9" s="3">
        <v>0.04</v>
      </c>
    </row>
    <row r="10" spans="1:8" x14ac:dyDescent="0.35">
      <c r="A10" t="s">
        <v>414</v>
      </c>
      <c r="B10" t="s">
        <v>2033</v>
      </c>
      <c r="C10" s="1">
        <v>45644</v>
      </c>
      <c r="D10" s="2">
        <v>0.6069444444444444</v>
      </c>
      <c r="E10" t="s">
        <v>180</v>
      </c>
      <c r="F10" t="s">
        <v>3</v>
      </c>
      <c r="G10" s="3">
        <v>0.39</v>
      </c>
      <c r="H10" s="3">
        <v>0.04</v>
      </c>
    </row>
    <row r="11" spans="1:8" x14ac:dyDescent="0.35">
      <c r="A11" t="s">
        <v>414</v>
      </c>
      <c r="B11" t="s">
        <v>2034</v>
      </c>
      <c r="C11" s="1">
        <v>45644</v>
      </c>
      <c r="D11" s="2">
        <v>0.79305555555555562</v>
      </c>
      <c r="E11" t="s">
        <v>180</v>
      </c>
      <c r="F11" t="s">
        <v>3</v>
      </c>
      <c r="G11" s="3">
        <v>0.39</v>
      </c>
      <c r="H11" s="3">
        <v>0.04</v>
      </c>
    </row>
    <row r="12" spans="1:8" x14ac:dyDescent="0.35">
      <c r="A12" t="s">
        <v>414</v>
      </c>
      <c r="B12" t="s">
        <v>2035</v>
      </c>
      <c r="C12" s="1">
        <v>45644</v>
      </c>
      <c r="D12" s="2">
        <v>0.79375000000000007</v>
      </c>
      <c r="E12" t="s">
        <v>180</v>
      </c>
      <c r="F12" t="s">
        <v>3</v>
      </c>
      <c r="G12" s="3">
        <v>0.39</v>
      </c>
      <c r="H12" s="3">
        <v>0.04</v>
      </c>
    </row>
    <row r="13" spans="1:8" x14ac:dyDescent="0.35">
      <c r="A13" t="s">
        <v>414</v>
      </c>
      <c r="B13" t="s">
        <v>2036</v>
      </c>
      <c r="C13" s="1">
        <v>45644</v>
      </c>
      <c r="D13" s="2">
        <v>0.79652777777777783</v>
      </c>
      <c r="E13" t="s">
        <v>180</v>
      </c>
      <c r="F13" t="s">
        <v>3</v>
      </c>
      <c r="G13" s="3">
        <v>0.39</v>
      </c>
      <c r="H13" s="3">
        <v>0.04</v>
      </c>
    </row>
    <row r="14" spans="1:8" x14ac:dyDescent="0.35">
      <c r="A14" t="s">
        <v>414</v>
      </c>
      <c r="B14" t="s">
        <v>2037</v>
      </c>
      <c r="C14" s="1">
        <v>45646</v>
      </c>
      <c r="D14" s="2">
        <v>0.78333333333333333</v>
      </c>
      <c r="E14" t="s">
        <v>180</v>
      </c>
      <c r="F14" t="s">
        <v>3</v>
      </c>
      <c r="G14" s="3">
        <v>0.39</v>
      </c>
      <c r="H14" s="3">
        <v>0.04</v>
      </c>
    </row>
    <row r="15" spans="1:8" x14ac:dyDescent="0.35">
      <c r="A15" t="s">
        <v>414</v>
      </c>
      <c r="B15" t="s">
        <v>2038</v>
      </c>
      <c r="C15" s="1">
        <v>45650</v>
      </c>
      <c r="D15" s="2">
        <v>0.15763888888888888</v>
      </c>
      <c r="E15" t="s">
        <v>2</v>
      </c>
      <c r="F15" t="s">
        <v>3</v>
      </c>
      <c r="G15" s="3">
        <v>22.5</v>
      </c>
      <c r="H15" s="3">
        <v>2.2400000000000002</v>
      </c>
    </row>
    <row r="16" spans="1:8" x14ac:dyDescent="0.35">
      <c r="A16" t="s">
        <v>414</v>
      </c>
      <c r="B16" t="s">
        <v>2039</v>
      </c>
      <c r="C16" s="1">
        <v>45650</v>
      </c>
      <c r="D16" s="2">
        <v>0.42638888888888887</v>
      </c>
      <c r="E16" t="s">
        <v>2</v>
      </c>
      <c r="F16" t="s">
        <v>3</v>
      </c>
      <c r="G16" s="3">
        <v>30.34</v>
      </c>
      <c r="H16" s="3">
        <v>3.03</v>
      </c>
    </row>
    <row r="17" spans="1:8" x14ac:dyDescent="0.35">
      <c r="A17" t="s">
        <v>414</v>
      </c>
      <c r="B17" t="s">
        <v>2040</v>
      </c>
      <c r="C17" s="1">
        <v>45655</v>
      </c>
      <c r="D17" s="2">
        <v>0.68055555555555547</v>
      </c>
      <c r="E17" t="s">
        <v>2</v>
      </c>
      <c r="F17" t="s">
        <v>3</v>
      </c>
      <c r="G17" s="3">
        <v>45.5</v>
      </c>
      <c r="H17" s="3">
        <v>4.54</v>
      </c>
    </row>
    <row r="18" spans="1:8" ht="15" thickBot="1" x14ac:dyDescent="0.4">
      <c r="A18" s="4" t="s">
        <v>414</v>
      </c>
      <c r="B18" s="4" t="s">
        <v>2041</v>
      </c>
      <c r="C18" s="6">
        <v>45656</v>
      </c>
      <c r="D18" s="7">
        <v>0.45555555555555555</v>
      </c>
      <c r="E18" s="4" t="s">
        <v>2</v>
      </c>
      <c r="F18" s="4" t="s">
        <v>3</v>
      </c>
      <c r="G18" s="5">
        <v>9.58</v>
      </c>
      <c r="H18" s="5">
        <v>0.96</v>
      </c>
    </row>
    <row r="19" spans="1:8" x14ac:dyDescent="0.35">
      <c r="A19" s="26" t="s">
        <v>2235</v>
      </c>
      <c r="G19" s="3">
        <f t="shared" ref="G19:H19" si="0">SUM(G7:G18)</f>
        <v>111.04</v>
      </c>
      <c r="H19" s="3">
        <f t="shared" si="0"/>
        <v>11.09</v>
      </c>
    </row>
    <row r="21" spans="1:8" ht="15.75" thickBot="1" x14ac:dyDescent="0.3"/>
    <row r="22" spans="1:8" ht="15" thickBot="1" x14ac:dyDescent="0.4">
      <c r="A22" s="11" t="s">
        <v>411</v>
      </c>
      <c r="B22" s="12" t="s">
        <v>163</v>
      </c>
      <c r="C22" s="12" t="s">
        <v>165</v>
      </c>
      <c r="D22" s="12" t="s">
        <v>166</v>
      </c>
      <c r="E22" s="12" t="s">
        <v>164</v>
      </c>
      <c r="F22" s="12" t="s">
        <v>167</v>
      </c>
      <c r="G22" s="12" t="s">
        <v>412</v>
      </c>
      <c r="H22" s="13" t="s">
        <v>169</v>
      </c>
    </row>
    <row r="23" spans="1:8" x14ac:dyDescent="0.35">
      <c r="A23" t="s">
        <v>173</v>
      </c>
      <c r="B23" t="s">
        <v>2042</v>
      </c>
      <c r="C23" s="1">
        <v>45635</v>
      </c>
      <c r="D23" s="2">
        <v>0.76666666666666661</v>
      </c>
      <c r="E23" t="s">
        <v>180</v>
      </c>
      <c r="F23" t="s">
        <v>3</v>
      </c>
      <c r="G23" s="3">
        <v>0.39</v>
      </c>
      <c r="H23" s="3">
        <v>0.04</v>
      </c>
    </row>
    <row r="24" spans="1:8" x14ac:dyDescent="0.35">
      <c r="A24" t="s">
        <v>173</v>
      </c>
      <c r="B24" t="s">
        <v>2043</v>
      </c>
      <c r="C24" s="1">
        <v>45635</v>
      </c>
      <c r="D24" s="2">
        <v>0.7715277777777777</v>
      </c>
      <c r="E24" t="s">
        <v>180</v>
      </c>
      <c r="F24" t="s">
        <v>3</v>
      </c>
      <c r="G24" s="3">
        <v>0.39</v>
      </c>
      <c r="H24" s="3">
        <v>0.04</v>
      </c>
    </row>
    <row r="25" spans="1:8" x14ac:dyDescent="0.35">
      <c r="A25" t="s">
        <v>173</v>
      </c>
      <c r="B25" t="s">
        <v>2044</v>
      </c>
      <c r="C25" s="1">
        <v>45637</v>
      </c>
      <c r="D25" s="2">
        <v>0.4284722222222222</v>
      </c>
      <c r="E25" t="s">
        <v>2</v>
      </c>
      <c r="F25" t="s">
        <v>3</v>
      </c>
      <c r="G25" s="3">
        <v>31.4</v>
      </c>
      <c r="H25" s="3">
        <v>2.83</v>
      </c>
    </row>
    <row r="26" spans="1:8" x14ac:dyDescent="0.35">
      <c r="A26" t="s">
        <v>173</v>
      </c>
      <c r="B26" t="s">
        <v>2045</v>
      </c>
      <c r="C26" s="1">
        <v>45637</v>
      </c>
      <c r="D26" s="2">
        <v>0.81666666666666676</v>
      </c>
      <c r="E26" t="s">
        <v>180</v>
      </c>
      <c r="F26" t="s">
        <v>3</v>
      </c>
      <c r="G26" s="3">
        <v>0.39</v>
      </c>
      <c r="H26" s="3">
        <v>0.04</v>
      </c>
    </row>
    <row r="27" spans="1:8" x14ac:dyDescent="0.35">
      <c r="A27" t="s">
        <v>173</v>
      </c>
      <c r="B27" t="s">
        <v>2046</v>
      </c>
      <c r="C27" s="1">
        <v>45638</v>
      </c>
      <c r="D27" s="2">
        <v>0.59166666666666667</v>
      </c>
      <c r="E27" t="s">
        <v>180</v>
      </c>
      <c r="F27" t="s">
        <v>3</v>
      </c>
      <c r="G27" s="3">
        <v>0.39</v>
      </c>
      <c r="H27" s="3">
        <v>0.04</v>
      </c>
    </row>
    <row r="28" spans="1:8" x14ac:dyDescent="0.35">
      <c r="A28" t="s">
        <v>173</v>
      </c>
      <c r="B28" t="s">
        <v>2047</v>
      </c>
      <c r="C28" s="1">
        <v>45642</v>
      </c>
      <c r="D28" s="2">
        <v>0.70347222222222217</v>
      </c>
      <c r="E28" t="s">
        <v>180</v>
      </c>
      <c r="F28" t="s">
        <v>3</v>
      </c>
      <c r="G28" s="3">
        <v>0.39</v>
      </c>
      <c r="H28" s="3">
        <v>0.04</v>
      </c>
    </row>
    <row r="29" spans="1:8" x14ac:dyDescent="0.35">
      <c r="A29" t="s">
        <v>173</v>
      </c>
      <c r="B29" t="s">
        <v>2048</v>
      </c>
      <c r="C29" s="1">
        <v>45644</v>
      </c>
      <c r="D29" s="2">
        <v>0.15069444444444444</v>
      </c>
      <c r="E29" t="s">
        <v>2</v>
      </c>
      <c r="F29" t="s">
        <v>3</v>
      </c>
      <c r="G29" s="3">
        <v>21.71</v>
      </c>
      <c r="H29" s="3">
        <v>2.17</v>
      </c>
    </row>
    <row r="30" spans="1:8" x14ac:dyDescent="0.35">
      <c r="A30" t="s">
        <v>173</v>
      </c>
      <c r="B30" t="s">
        <v>2049</v>
      </c>
      <c r="C30" s="1">
        <v>45644</v>
      </c>
      <c r="D30" s="2">
        <v>0.60972222222222217</v>
      </c>
      <c r="E30" t="s">
        <v>180</v>
      </c>
      <c r="F30" t="s">
        <v>3</v>
      </c>
      <c r="G30" s="3">
        <v>0.39</v>
      </c>
      <c r="H30" s="3">
        <v>0.04</v>
      </c>
    </row>
    <row r="31" spans="1:8" x14ac:dyDescent="0.35">
      <c r="A31" t="s">
        <v>173</v>
      </c>
      <c r="B31" t="s">
        <v>2050</v>
      </c>
      <c r="C31" s="1">
        <v>45644</v>
      </c>
      <c r="D31" s="2">
        <v>0.79236111111111107</v>
      </c>
      <c r="E31" t="s">
        <v>180</v>
      </c>
      <c r="F31" t="s">
        <v>3</v>
      </c>
      <c r="G31" s="3">
        <v>0.39</v>
      </c>
      <c r="H31" s="3">
        <v>0.04</v>
      </c>
    </row>
    <row r="32" spans="1:8" x14ac:dyDescent="0.35">
      <c r="A32" t="s">
        <v>173</v>
      </c>
      <c r="B32" t="s">
        <v>2051</v>
      </c>
      <c r="C32" s="1">
        <v>45645</v>
      </c>
      <c r="D32" s="2">
        <v>0.7944444444444444</v>
      </c>
      <c r="E32" t="s">
        <v>180</v>
      </c>
      <c r="F32" t="s">
        <v>3</v>
      </c>
      <c r="G32" s="3">
        <v>0.39</v>
      </c>
      <c r="H32" s="3">
        <v>0.04</v>
      </c>
    </row>
    <row r="33" spans="1:8" x14ac:dyDescent="0.35">
      <c r="A33" t="s">
        <v>173</v>
      </c>
      <c r="B33" t="s">
        <v>2052</v>
      </c>
      <c r="C33" s="1">
        <v>45646</v>
      </c>
      <c r="D33" s="2">
        <v>0.2298611111111111</v>
      </c>
      <c r="E33" t="s">
        <v>2</v>
      </c>
      <c r="F33" t="s">
        <v>58</v>
      </c>
      <c r="G33" s="3">
        <v>41.46</v>
      </c>
      <c r="H33" s="3">
        <v>4.1399999999999997</v>
      </c>
    </row>
    <row r="34" spans="1:8" x14ac:dyDescent="0.35">
      <c r="A34" t="s">
        <v>173</v>
      </c>
      <c r="B34" t="s">
        <v>2053</v>
      </c>
      <c r="C34" s="1">
        <v>45646</v>
      </c>
      <c r="D34" s="2">
        <v>0.78402777777777777</v>
      </c>
      <c r="E34" t="s">
        <v>180</v>
      </c>
      <c r="F34" t="s">
        <v>3</v>
      </c>
      <c r="G34" s="3">
        <v>0.39</v>
      </c>
      <c r="H34" s="3">
        <v>0.04</v>
      </c>
    </row>
    <row r="35" spans="1:8" x14ac:dyDescent="0.35">
      <c r="A35" t="s">
        <v>173</v>
      </c>
      <c r="B35" t="s">
        <v>2054</v>
      </c>
      <c r="C35" s="1">
        <v>45647</v>
      </c>
      <c r="D35" s="2">
        <v>0.64097222222222217</v>
      </c>
      <c r="E35" t="s">
        <v>180</v>
      </c>
      <c r="F35" t="s">
        <v>3</v>
      </c>
      <c r="G35" s="3">
        <v>0.39</v>
      </c>
      <c r="H35" s="3">
        <v>0.04</v>
      </c>
    </row>
    <row r="36" spans="1:8" x14ac:dyDescent="0.35">
      <c r="A36" t="s">
        <v>173</v>
      </c>
      <c r="B36" t="s">
        <v>2055</v>
      </c>
      <c r="C36" s="1">
        <v>45647</v>
      </c>
      <c r="D36" s="2">
        <v>0.92986111111111114</v>
      </c>
      <c r="E36" t="s">
        <v>2</v>
      </c>
      <c r="F36" t="s">
        <v>3</v>
      </c>
      <c r="G36" s="3">
        <v>37.340000000000003</v>
      </c>
      <c r="H36" s="3">
        <v>3.72</v>
      </c>
    </row>
    <row r="37" spans="1:8" x14ac:dyDescent="0.35">
      <c r="A37" t="s">
        <v>173</v>
      </c>
      <c r="B37" t="s">
        <v>2056</v>
      </c>
      <c r="C37" s="1">
        <v>45648</v>
      </c>
      <c r="D37" s="2">
        <v>0.6430555555555556</v>
      </c>
      <c r="E37" t="s">
        <v>180</v>
      </c>
      <c r="F37" t="s">
        <v>3</v>
      </c>
      <c r="G37" s="3">
        <v>0.39</v>
      </c>
      <c r="H37" s="3">
        <v>0.04</v>
      </c>
    </row>
    <row r="38" spans="1:8" x14ac:dyDescent="0.35">
      <c r="A38" t="s">
        <v>173</v>
      </c>
      <c r="B38" t="s">
        <v>2057</v>
      </c>
      <c r="C38" s="1">
        <v>45648</v>
      </c>
      <c r="D38" s="2">
        <v>0.64930555555555558</v>
      </c>
      <c r="E38" t="s">
        <v>180</v>
      </c>
      <c r="F38" t="s">
        <v>3</v>
      </c>
      <c r="G38" s="3">
        <v>0.39</v>
      </c>
      <c r="H38" s="3">
        <v>0.04</v>
      </c>
    </row>
    <row r="39" spans="1:8" x14ac:dyDescent="0.35">
      <c r="A39" t="s">
        <v>173</v>
      </c>
      <c r="B39" t="s">
        <v>2058</v>
      </c>
      <c r="C39" s="1">
        <v>45648</v>
      </c>
      <c r="D39" s="2">
        <v>0.82291666666666663</v>
      </c>
      <c r="E39" t="s">
        <v>180</v>
      </c>
      <c r="F39" t="s">
        <v>3</v>
      </c>
      <c r="G39" s="3">
        <v>0.39</v>
      </c>
      <c r="H39" s="3">
        <v>0.04</v>
      </c>
    </row>
    <row r="40" spans="1:8" x14ac:dyDescent="0.35">
      <c r="A40" t="s">
        <v>173</v>
      </c>
      <c r="B40" t="s">
        <v>2059</v>
      </c>
      <c r="C40" s="1">
        <v>45648</v>
      </c>
      <c r="D40" s="2">
        <v>0.86319444444444438</v>
      </c>
      <c r="E40" t="s">
        <v>180</v>
      </c>
      <c r="F40" t="s">
        <v>3</v>
      </c>
      <c r="G40" s="3">
        <v>0.39</v>
      </c>
      <c r="H40" s="3">
        <v>0.04</v>
      </c>
    </row>
    <row r="41" spans="1:8" ht="15" thickBot="1" x14ac:dyDescent="0.4">
      <c r="A41" s="4" t="s">
        <v>173</v>
      </c>
      <c r="B41" s="4" t="s">
        <v>2060</v>
      </c>
      <c r="C41" s="6">
        <v>45652</v>
      </c>
      <c r="D41" s="7">
        <v>0.86319444444444438</v>
      </c>
      <c r="E41" s="4" t="s">
        <v>2</v>
      </c>
      <c r="F41" s="4" t="s">
        <v>3</v>
      </c>
      <c r="G41" s="5">
        <v>22.72</v>
      </c>
      <c r="H41" s="5">
        <v>2.27</v>
      </c>
    </row>
    <row r="42" spans="1:8" x14ac:dyDescent="0.35">
      <c r="A42" t="s">
        <v>2235</v>
      </c>
      <c r="G42" s="3">
        <f t="shared" ref="G42:H42" si="1">SUM(G23:G41)</f>
        <v>160.08999999999995</v>
      </c>
      <c r="H42" s="3">
        <f t="shared" si="1"/>
        <v>15.689999999999996</v>
      </c>
    </row>
    <row r="45" spans="1:8" ht="15.75" thickBot="1" x14ac:dyDescent="0.3"/>
    <row r="46" spans="1:8" ht="15" thickBot="1" x14ac:dyDescent="0.4">
      <c r="A46" s="11" t="s">
        <v>411</v>
      </c>
      <c r="B46" s="12" t="s">
        <v>163</v>
      </c>
      <c r="C46" s="12" t="s">
        <v>165</v>
      </c>
      <c r="D46" s="12" t="s">
        <v>166</v>
      </c>
      <c r="E46" s="12" t="s">
        <v>164</v>
      </c>
      <c r="F46" s="12" t="s">
        <v>167</v>
      </c>
      <c r="G46" s="12" t="s">
        <v>412</v>
      </c>
      <c r="H46" s="13" t="s">
        <v>169</v>
      </c>
    </row>
    <row r="47" spans="1:8" x14ac:dyDescent="0.35">
      <c r="A47" t="s">
        <v>0</v>
      </c>
      <c r="B47" t="s">
        <v>1648</v>
      </c>
      <c r="C47" s="1">
        <v>45628</v>
      </c>
      <c r="D47" s="2">
        <v>0.6694444444444444</v>
      </c>
      <c r="E47" t="s">
        <v>2</v>
      </c>
      <c r="F47" t="s">
        <v>3</v>
      </c>
      <c r="G47" s="3">
        <v>29.28</v>
      </c>
      <c r="H47" s="3">
        <v>2.64</v>
      </c>
    </row>
    <row r="48" spans="1:8" x14ac:dyDescent="0.35">
      <c r="A48" t="s">
        <v>0</v>
      </c>
      <c r="B48" t="s">
        <v>2061</v>
      </c>
      <c r="C48" s="1">
        <v>45632</v>
      </c>
      <c r="D48" s="2">
        <v>0.27361111111111108</v>
      </c>
      <c r="E48" t="s">
        <v>180</v>
      </c>
      <c r="F48" t="s">
        <v>3</v>
      </c>
      <c r="G48" s="3">
        <v>18.16</v>
      </c>
      <c r="H48" s="3">
        <v>1.63</v>
      </c>
    </row>
    <row r="49" spans="1:8" x14ac:dyDescent="0.35">
      <c r="A49" t="s">
        <v>0</v>
      </c>
      <c r="B49" t="s">
        <v>2062</v>
      </c>
      <c r="C49" s="1">
        <v>45635</v>
      </c>
      <c r="D49" s="2">
        <v>0.78888888888888886</v>
      </c>
      <c r="E49" t="s">
        <v>180</v>
      </c>
      <c r="F49" t="s">
        <v>3</v>
      </c>
      <c r="G49" s="3">
        <v>0.5</v>
      </c>
      <c r="H49" s="3">
        <v>0.05</v>
      </c>
    </row>
    <row r="50" spans="1:8" x14ac:dyDescent="0.35">
      <c r="A50" t="s">
        <v>0</v>
      </c>
      <c r="B50" t="s">
        <v>2063</v>
      </c>
      <c r="C50" s="1">
        <v>45635</v>
      </c>
      <c r="D50" s="2">
        <v>0.79166666666666663</v>
      </c>
      <c r="E50" t="s">
        <v>180</v>
      </c>
      <c r="F50" t="s">
        <v>3</v>
      </c>
      <c r="G50" s="3">
        <v>0.5</v>
      </c>
      <c r="H50" s="3">
        <v>0.05</v>
      </c>
    </row>
    <row r="51" spans="1:8" x14ac:dyDescent="0.35">
      <c r="A51" t="s">
        <v>0</v>
      </c>
      <c r="B51" t="s">
        <v>2064</v>
      </c>
      <c r="C51" s="1">
        <v>45635</v>
      </c>
      <c r="D51" s="2">
        <v>0.80555555555555547</v>
      </c>
      <c r="E51" t="s">
        <v>180</v>
      </c>
      <c r="F51" t="s">
        <v>3</v>
      </c>
      <c r="G51" s="3">
        <v>0.5</v>
      </c>
      <c r="H51" s="3">
        <v>0.05</v>
      </c>
    </row>
    <row r="52" spans="1:8" x14ac:dyDescent="0.35">
      <c r="A52" t="s">
        <v>0</v>
      </c>
      <c r="B52" t="s">
        <v>2065</v>
      </c>
      <c r="C52" s="1">
        <v>45637</v>
      </c>
      <c r="D52" s="2">
        <v>0.78680555555555554</v>
      </c>
      <c r="E52" t="s">
        <v>180</v>
      </c>
      <c r="F52" t="s">
        <v>3</v>
      </c>
      <c r="G52" s="3">
        <v>0.5</v>
      </c>
      <c r="H52" s="3">
        <v>0.05</v>
      </c>
    </row>
    <row r="53" spans="1:8" x14ac:dyDescent="0.35">
      <c r="A53" t="s">
        <v>0</v>
      </c>
      <c r="B53" t="s">
        <v>2066</v>
      </c>
      <c r="C53" s="1">
        <v>45640</v>
      </c>
      <c r="D53" s="2">
        <v>0.70694444444444438</v>
      </c>
      <c r="E53" t="s">
        <v>180</v>
      </c>
      <c r="F53" t="s">
        <v>3</v>
      </c>
      <c r="G53" s="3">
        <v>0.5</v>
      </c>
      <c r="H53" s="3">
        <v>0.05</v>
      </c>
    </row>
    <row r="54" spans="1:8" x14ac:dyDescent="0.35">
      <c r="A54" t="s">
        <v>0</v>
      </c>
      <c r="B54" t="s">
        <v>2067</v>
      </c>
      <c r="C54" s="1">
        <v>45641</v>
      </c>
      <c r="D54" s="2">
        <v>0.70624999999999993</v>
      </c>
      <c r="E54" t="s">
        <v>180</v>
      </c>
      <c r="F54" t="s">
        <v>3</v>
      </c>
      <c r="G54" s="3">
        <v>0.5</v>
      </c>
      <c r="H54" s="3">
        <v>0.05</v>
      </c>
    </row>
    <row r="55" spans="1:8" x14ac:dyDescent="0.35">
      <c r="A55" t="s">
        <v>0</v>
      </c>
      <c r="B55" t="s">
        <v>2068</v>
      </c>
      <c r="C55" s="1">
        <v>45642</v>
      </c>
      <c r="D55" s="2">
        <v>0.68819444444444444</v>
      </c>
      <c r="E55" t="s">
        <v>180</v>
      </c>
      <c r="F55" t="s">
        <v>3</v>
      </c>
      <c r="G55" s="3">
        <v>0.5</v>
      </c>
      <c r="H55" s="3">
        <v>0.05</v>
      </c>
    </row>
    <row r="56" spans="1:8" x14ac:dyDescent="0.35">
      <c r="A56" t="s">
        <v>0</v>
      </c>
      <c r="B56" t="s">
        <v>2069</v>
      </c>
      <c r="C56" s="1">
        <v>45644</v>
      </c>
      <c r="D56" s="2">
        <v>0.79583333333333339</v>
      </c>
      <c r="E56" t="s">
        <v>180</v>
      </c>
      <c r="F56" t="s">
        <v>3</v>
      </c>
      <c r="G56" s="3">
        <v>0.5</v>
      </c>
      <c r="H56" s="3">
        <v>0.05</v>
      </c>
    </row>
    <row r="57" spans="1:8" x14ac:dyDescent="0.35">
      <c r="A57" t="s">
        <v>0</v>
      </c>
      <c r="B57" t="s">
        <v>2070</v>
      </c>
      <c r="C57" s="1">
        <v>45645</v>
      </c>
      <c r="D57" s="2">
        <v>0.92083333333333339</v>
      </c>
      <c r="E57" t="s">
        <v>180</v>
      </c>
      <c r="F57" t="s">
        <v>3</v>
      </c>
      <c r="G57" s="3">
        <v>0.5</v>
      </c>
      <c r="H57" s="3">
        <v>0.05</v>
      </c>
    </row>
    <row r="58" spans="1:8" x14ac:dyDescent="0.35">
      <c r="A58" t="s">
        <v>0</v>
      </c>
      <c r="B58" t="s">
        <v>2071</v>
      </c>
      <c r="C58" s="1">
        <v>45646</v>
      </c>
      <c r="D58" s="2">
        <v>0.78125</v>
      </c>
      <c r="E58" t="s">
        <v>180</v>
      </c>
      <c r="F58" t="s">
        <v>3</v>
      </c>
      <c r="G58" s="3">
        <v>0.5</v>
      </c>
      <c r="H58" s="3">
        <v>0.05</v>
      </c>
    </row>
    <row r="59" spans="1:8" x14ac:dyDescent="0.35">
      <c r="A59" t="s">
        <v>0</v>
      </c>
      <c r="B59" t="s">
        <v>2072</v>
      </c>
      <c r="C59" s="1">
        <v>45647</v>
      </c>
      <c r="D59" s="2">
        <v>9.930555555555555E-2</v>
      </c>
      <c r="E59" t="s">
        <v>180</v>
      </c>
      <c r="F59" t="s">
        <v>3</v>
      </c>
      <c r="G59" s="3">
        <v>25.88</v>
      </c>
      <c r="H59" s="3">
        <v>2.58</v>
      </c>
    </row>
    <row r="60" spans="1:8" x14ac:dyDescent="0.35">
      <c r="A60" t="s">
        <v>0</v>
      </c>
      <c r="B60" t="s">
        <v>2073</v>
      </c>
      <c r="C60" s="1">
        <v>45647</v>
      </c>
      <c r="D60" s="2">
        <v>0.63750000000000007</v>
      </c>
      <c r="E60" t="s">
        <v>180</v>
      </c>
      <c r="F60" t="s">
        <v>3</v>
      </c>
      <c r="G60" s="3">
        <v>0.5</v>
      </c>
      <c r="H60" s="3">
        <v>0.05</v>
      </c>
    </row>
    <row r="61" spans="1:8" x14ac:dyDescent="0.35">
      <c r="A61" t="s">
        <v>0</v>
      </c>
      <c r="B61" t="s">
        <v>2074</v>
      </c>
      <c r="C61" s="1">
        <v>45647</v>
      </c>
      <c r="D61" s="2">
        <v>0.82291666666666663</v>
      </c>
      <c r="E61" t="s">
        <v>180</v>
      </c>
      <c r="F61" t="s">
        <v>3</v>
      </c>
      <c r="G61" s="3">
        <v>0.5</v>
      </c>
      <c r="H61" s="3">
        <v>0.05</v>
      </c>
    </row>
    <row r="62" spans="1:8" x14ac:dyDescent="0.35">
      <c r="A62" t="s">
        <v>0</v>
      </c>
      <c r="B62" t="s">
        <v>2075</v>
      </c>
      <c r="C62" s="1">
        <v>45649</v>
      </c>
      <c r="D62" s="2">
        <v>0.70624999999999993</v>
      </c>
      <c r="E62" t="s">
        <v>2</v>
      </c>
      <c r="F62" t="s">
        <v>3</v>
      </c>
      <c r="G62" s="3">
        <v>27.3</v>
      </c>
      <c r="H62" s="3">
        <v>2.72</v>
      </c>
    </row>
    <row r="63" spans="1:8" ht="15" thickBot="1" x14ac:dyDescent="0.4">
      <c r="A63" s="4" t="s">
        <v>0</v>
      </c>
      <c r="B63" s="4" t="s">
        <v>2076</v>
      </c>
      <c r="C63" s="6">
        <v>45651</v>
      </c>
      <c r="D63" s="7">
        <v>0.13819444444444443</v>
      </c>
      <c r="E63" s="4" t="s">
        <v>2</v>
      </c>
      <c r="F63" s="4" t="s">
        <v>3</v>
      </c>
      <c r="G63" s="5">
        <v>47.66</v>
      </c>
      <c r="H63" s="5">
        <v>4.75</v>
      </c>
    </row>
    <row r="64" spans="1:8" x14ac:dyDescent="0.35">
      <c r="A64" t="s">
        <v>2235</v>
      </c>
      <c r="G64" s="3">
        <f t="shared" ref="G64:H64" si="2">SUM(G47:G63)</f>
        <v>154.27999999999997</v>
      </c>
      <c r="H64" s="3">
        <f t="shared" si="2"/>
        <v>14.919999999999998</v>
      </c>
    </row>
    <row r="67" spans="1:8" ht="15.75" thickBot="1" x14ac:dyDescent="0.3"/>
    <row r="68" spans="1:8" ht="15.75" thickBot="1" x14ac:dyDescent="0.3">
      <c r="A68" s="11" t="s">
        <v>411</v>
      </c>
      <c r="B68" s="12" t="s">
        <v>163</v>
      </c>
      <c r="C68" s="12" t="s">
        <v>165</v>
      </c>
      <c r="D68" s="12" t="s">
        <v>166</v>
      </c>
      <c r="E68" s="12" t="s">
        <v>164</v>
      </c>
      <c r="F68" s="12" t="s">
        <v>167</v>
      </c>
      <c r="G68" s="12" t="s">
        <v>412</v>
      </c>
      <c r="H68" s="13" t="s">
        <v>169</v>
      </c>
    </row>
    <row r="69" spans="1:8" ht="15" x14ac:dyDescent="0.25">
      <c r="A69" t="s">
        <v>496</v>
      </c>
      <c r="B69" t="s">
        <v>2077</v>
      </c>
      <c r="C69" s="1">
        <v>45629</v>
      </c>
      <c r="D69" s="2">
        <v>0.70694444444444438</v>
      </c>
      <c r="E69" t="s">
        <v>2</v>
      </c>
      <c r="F69" t="s">
        <v>3</v>
      </c>
      <c r="G69" s="3">
        <v>86.73</v>
      </c>
      <c r="H69" s="3">
        <v>7.81</v>
      </c>
    </row>
    <row r="70" spans="1:8" ht="15" x14ac:dyDescent="0.25">
      <c r="A70" t="s">
        <v>496</v>
      </c>
      <c r="B70" t="s">
        <v>2078</v>
      </c>
      <c r="C70" s="1">
        <v>45637</v>
      </c>
      <c r="D70" s="2">
        <v>0.7993055555555556</v>
      </c>
      <c r="E70" t="s">
        <v>180</v>
      </c>
      <c r="F70" t="s">
        <v>3</v>
      </c>
      <c r="G70" s="3">
        <v>0.5</v>
      </c>
      <c r="H70" s="3">
        <v>0.05</v>
      </c>
    </row>
    <row r="71" spans="1:8" ht="15" x14ac:dyDescent="0.25">
      <c r="A71" t="s">
        <v>496</v>
      </c>
      <c r="B71" t="s">
        <v>2079</v>
      </c>
      <c r="C71" s="1">
        <v>45637</v>
      </c>
      <c r="D71" s="2">
        <v>0.81319444444444444</v>
      </c>
      <c r="E71" t="s">
        <v>180</v>
      </c>
      <c r="F71" t="s">
        <v>3</v>
      </c>
      <c r="G71" s="3">
        <v>0.5</v>
      </c>
      <c r="H71" s="3">
        <v>0.05</v>
      </c>
    </row>
    <row r="72" spans="1:8" ht="15" x14ac:dyDescent="0.25">
      <c r="A72" t="s">
        <v>496</v>
      </c>
      <c r="B72" t="s">
        <v>2080</v>
      </c>
      <c r="C72" s="1">
        <v>45637</v>
      </c>
      <c r="D72" s="2">
        <v>0.93611111111111101</v>
      </c>
      <c r="E72" t="s">
        <v>2</v>
      </c>
      <c r="F72" t="s">
        <v>3</v>
      </c>
      <c r="G72" s="3">
        <v>58.55</v>
      </c>
      <c r="H72" s="3">
        <v>5.27</v>
      </c>
    </row>
    <row r="73" spans="1:8" ht="15" x14ac:dyDescent="0.25">
      <c r="A73" t="s">
        <v>496</v>
      </c>
      <c r="B73" t="s">
        <v>2081</v>
      </c>
      <c r="C73" s="1">
        <v>45638</v>
      </c>
      <c r="D73" s="2">
        <v>0.58124999999999993</v>
      </c>
      <c r="E73" t="s">
        <v>180</v>
      </c>
      <c r="F73" t="s">
        <v>3</v>
      </c>
      <c r="G73" s="3">
        <v>0.5</v>
      </c>
      <c r="H73" s="3">
        <v>0.05</v>
      </c>
    </row>
    <row r="74" spans="1:8" ht="15" x14ac:dyDescent="0.25">
      <c r="A74" t="s">
        <v>496</v>
      </c>
      <c r="B74" t="s">
        <v>2082</v>
      </c>
      <c r="C74" s="1">
        <v>45641</v>
      </c>
      <c r="D74" s="2">
        <v>0.70972222222222225</v>
      </c>
      <c r="E74" t="s">
        <v>180</v>
      </c>
      <c r="F74" t="s">
        <v>3</v>
      </c>
      <c r="G74" s="3">
        <v>0.5</v>
      </c>
      <c r="H74" s="3">
        <v>0.05</v>
      </c>
    </row>
    <row r="75" spans="1:8" ht="15" x14ac:dyDescent="0.25">
      <c r="A75" t="s">
        <v>496</v>
      </c>
      <c r="B75" t="s">
        <v>2083</v>
      </c>
      <c r="C75" s="1">
        <v>45644</v>
      </c>
      <c r="D75" s="2">
        <v>0.60486111111111118</v>
      </c>
      <c r="E75" t="s">
        <v>180</v>
      </c>
      <c r="F75" t="s">
        <v>3</v>
      </c>
      <c r="G75" s="3">
        <v>0.5</v>
      </c>
      <c r="H75" s="3">
        <v>0.05</v>
      </c>
    </row>
    <row r="76" spans="1:8" ht="15" x14ac:dyDescent="0.25">
      <c r="A76" t="s">
        <v>496</v>
      </c>
      <c r="B76" t="s">
        <v>2084</v>
      </c>
      <c r="C76" s="1">
        <v>45645</v>
      </c>
      <c r="D76" s="2">
        <v>0.80694444444444446</v>
      </c>
      <c r="E76" t="s">
        <v>180</v>
      </c>
      <c r="F76" t="s">
        <v>3</v>
      </c>
      <c r="G76" s="3">
        <v>0.5</v>
      </c>
      <c r="H76" s="3">
        <v>0.05</v>
      </c>
    </row>
    <row r="77" spans="1:8" ht="15" x14ac:dyDescent="0.25">
      <c r="A77" t="s">
        <v>496</v>
      </c>
      <c r="B77" t="s">
        <v>2085</v>
      </c>
      <c r="C77" s="1">
        <v>45645</v>
      </c>
      <c r="D77" s="2">
        <v>0.90555555555555556</v>
      </c>
      <c r="E77" t="s">
        <v>180</v>
      </c>
      <c r="F77" t="s">
        <v>3</v>
      </c>
      <c r="G77" s="3">
        <v>0.5</v>
      </c>
      <c r="H77" s="3">
        <v>0.05</v>
      </c>
    </row>
    <row r="78" spans="1:8" ht="15" x14ac:dyDescent="0.25">
      <c r="A78" t="s">
        <v>496</v>
      </c>
      <c r="B78" t="s">
        <v>2086</v>
      </c>
      <c r="C78" s="1">
        <v>45646</v>
      </c>
      <c r="D78" s="2">
        <v>0.78611111111111109</v>
      </c>
      <c r="E78" t="s">
        <v>180</v>
      </c>
      <c r="F78" t="s">
        <v>3</v>
      </c>
      <c r="G78" s="3">
        <v>0.5</v>
      </c>
      <c r="H78" s="3">
        <v>0.05</v>
      </c>
    </row>
    <row r="79" spans="1:8" ht="15" x14ac:dyDescent="0.25">
      <c r="A79" t="s">
        <v>496</v>
      </c>
      <c r="B79" t="s">
        <v>2087</v>
      </c>
      <c r="C79" s="1">
        <v>45647</v>
      </c>
      <c r="D79" s="2">
        <v>0.64236111111111105</v>
      </c>
      <c r="E79" t="s">
        <v>180</v>
      </c>
      <c r="F79" t="s">
        <v>3</v>
      </c>
      <c r="G79" s="3">
        <v>0.5</v>
      </c>
      <c r="H79" s="3">
        <v>0.05</v>
      </c>
    </row>
    <row r="80" spans="1:8" x14ac:dyDescent="0.35">
      <c r="A80" t="s">
        <v>496</v>
      </c>
      <c r="B80" t="s">
        <v>2088</v>
      </c>
      <c r="C80" s="1">
        <v>45647</v>
      </c>
      <c r="D80" s="2">
        <v>0.81319444444444444</v>
      </c>
      <c r="E80" t="s">
        <v>180</v>
      </c>
      <c r="F80" t="s">
        <v>3</v>
      </c>
      <c r="G80" s="3">
        <v>0.5</v>
      </c>
      <c r="H80" s="3">
        <v>0.05</v>
      </c>
    </row>
    <row r="81" spans="1:8" ht="15" thickBot="1" x14ac:dyDescent="0.4">
      <c r="A81" s="4" t="s">
        <v>496</v>
      </c>
      <c r="B81" s="4" t="s">
        <v>2089</v>
      </c>
      <c r="C81" s="6">
        <v>45648</v>
      </c>
      <c r="D81" s="7">
        <v>0.86597222222222225</v>
      </c>
      <c r="E81" s="4" t="s">
        <v>180</v>
      </c>
      <c r="F81" s="4" t="s">
        <v>3</v>
      </c>
      <c r="G81" s="5">
        <v>0.5</v>
      </c>
      <c r="H81" s="5">
        <v>0.05</v>
      </c>
    </row>
    <row r="82" spans="1:8" x14ac:dyDescent="0.35">
      <c r="A82" t="s">
        <v>2235</v>
      </c>
      <c r="G82" s="3">
        <f t="shared" ref="G82:H82" si="3">SUM(G69:G81)</f>
        <v>150.78</v>
      </c>
      <c r="H82" s="3">
        <f t="shared" si="3"/>
        <v>13.630000000000006</v>
      </c>
    </row>
    <row r="84" spans="1:8" ht="15.75" thickBot="1" x14ac:dyDescent="0.3"/>
    <row r="85" spans="1:8" ht="15.75" thickBot="1" x14ac:dyDescent="0.3">
      <c r="A85" s="11" t="s">
        <v>411</v>
      </c>
      <c r="B85" s="12" t="s">
        <v>163</v>
      </c>
      <c r="C85" s="12" t="s">
        <v>165</v>
      </c>
      <c r="D85" s="12" t="s">
        <v>166</v>
      </c>
      <c r="E85" s="12" t="s">
        <v>164</v>
      </c>
      <c r="F85" s="12" t="s">
        <v>167</v>
      </c>
      <c r="G85" s="12" t="s">
        <v>412</v>
      </c>
      <c r="H85" s="13" t="s">
        <v>169</v>
      </c>
    </row>
    <row r="86" spans="1:8" x14ac:dyDescent="0.35">
      <c r="A86" t="s">
        <v>33</v>
      </c>
      <c r="B86" t="s">
        <v>2090</v>
      </c>
      <c r="C86" s="1">
        <v>45630</v>
      </c>
      <c r="D86" s="2">
        <v>0.9145833333333333</v>
      </c>
      <c r="E86" t="s">
        <v>2</v>
      </c>
      <c r="F86" t="s">
        <v>3</v>
      </c>
      <c r="G86" s="3">
        <v>11.88</v>
      </c>
      <c r="H86" s="3">
        <v>1.07</v>
      </c>
    </row>
    <row r="87" spans="1:8" x14ac:dyDescent="0.35">
      <c r="A87" t="s">
        <v>33</v>
      </c>
      <c r="B87" t="s">
        <v>2091</v>
      </c>
      <c r="C87" s="1">
        <v>45632</v>
      </c>
      <c r="D87" s="2">
        <v>0.9784722222222223</v>
      </c>
      <c r="E87" t="s">
        <v>2</v>
      </c>
      <c r="F87" t="s">
        <v>58</v>
      </c>
      <c r="G87" s="3">
        <v>9.5</v>
      </c>
      <c r="H87" s="3">
        <v>0.86</v>
      </c>
    </row>
    <row r="88" spans="1:8" x14ac:dyDescent="0.35">
      <c r="A88" t="s">
        <v>33</v>
      </c>
      <c r="B88" t="s">
        <v>2092</v>
      </c>
      <c r="C88" s="1">
        <v>45634</v>
      </c>
      <c r="D88" s="2">
        <v>0.61319444444444449</v>
      </c>
      <c r="E88" t="s">
        <v>2</v>
      </c>
      <c r="F88" t="s">
        <v>3</v>
      </c>
      <c r="G88" s="3">
        <v>38.21</v>
      </c>
      <c r="H88" s="3">
        <v>3.44</v>
      </c>
    </row>
    <row r="89" spans="1:8" x14ac:dyDescent="0.35">
      <c r="A89" t="s">
        <v>33</v>
      </c>
      <c r="B89" t="s">
        <v>2093</v>
      </c>
      <c r="C89" s="1">
        <v>45634</v>
      </c>
      <c r="D89" s="2">
        <v>0.64027777777777783</v>
      </c>
      <c r="E89" t="s">
        <v>2</v>
      </c>
      <c r="F89" t="s">
        <v>3</v>
      </c>
      <c r="G89" s="3">
        <v>18.75</v>
      </c>
      <c r="H89" s="3">
        <v>1.69</v>
      </c>
    </row>
    <row r="90" spans="1:8" x14ac:dyDescent="0.35">
      <c r="A90" t="s">
        <v>33</v>
      </c>
      <c r="B90" t="s">
        <v>2094</v>
      </c>
      <c r="C90" s="1">
        <v>45637</v>
      </c>
      <c r="D90" s="2">
        <v>0.80138888888888893</v>
      </c>
      <c r="E90" t="s">
        <v>180</v>
      </c>
      <c r="F90" t="s">
        <v>3</v>
      </c>
      <c r="G90" s="3">
        <v>0.5</v>
      </c>
      <c r="H90" s="3">
        <v>0.05</v>
      </c>
    </row>
    <row r="91" spans="1:8" x14ac:dyDescent="0.35">
      <c r="A91" t="s">
        <v>33</v>
      </c>
      <c r="B91" t="s">
        <v>2095</v>
      </c>
      <c r="C91" s="1">
        <v>45638</v>
      </c>
      <c r="D91" s="2">
        <v>0.57291666666666663</v>
      </c>
      <c r="E91" t="s">
        <v>180</v>
      </c>
      <c r="F91" t="s">
        <v>3</v>
      </c>
      <c r="G91" s="3">
        <v>0.5</v>
      </c>
      <c r="H91" s="3">
        <v>0.05</v>
      </c>
    </row>
    <row r="92" spans="1:8" x14ac:dyDescent="0.35">
      <c r="A92" t="s">
        <v>33</v>
      </c>
      <c r="B92" t="s">
        <v>2096</v>
      </c>
      <c r="C92" s="1">
        <v>45639</v>
      </c>
      <c r="D92" s="2">
        <v>0.18680555555555556</v>
      </c>
      <c r="E92" t="s">
        <v>2</v>
      </c>
      <c r="F92" t="s">
        <v>3</v>
      </c>
      <c r="G92" s="3">
        <v>19.63</v>
      </c>
      <c r="H92" s="3">
        <v>1.77</v>
      </c>
    </row>
    <row r="93" spans="1:8" x14ac:dyDescent="0.35">
      <c r="A93" t="s">
        <v>33</v>
      </c>
      <c r="B93" t="s">
        <v>2097</v>
      </c>
      <c r="C93" s="1">
        <v>45640</v>
      </c>
      <c r="D93" s="2">
        <v>0.69444444444444453</v>
      </c>
      <c r="E93" t="s">
        <v>180</v>
      </c>
      <c r="F93" t="s">
        <v>3</v>
      </c>
      <c r="G93" s="3">
        <v>0.5</v>
      </c>
      <c r="H93" s="3">
        <v>0.05</v>
      </c>
    </row>
    <row r="94" spans="1:8" x14ac:dyDescent="0.35">
      <c r="A94" t="s">
        <v>33</v>
      </c>
      <c r="B94" t="s">
        <v>2098</v>
      </c>
      <c r="C94" s="1">
        <v>45641</v>
      </c>
      <c r="D94" s="2">
        <v>0.78749999999999998</v>
      </c>
      <c r="E94" t="s">
        <v>2</v>
      </c>
      <c r="F94" t="s">
        <v>3</v>
      </c>
      <c r="G94" s="3">
        <v>11</v>
      </c>
      <c r="H94" s="3">
        <v>1.1000000000000001</v>
      </c>
    </row>
    <row r="95" spans="1:8" x14ac:dyDescent="0.35">
      <c r="A95" t="s">
        <v>33</v>
      </c>
      <c r="B95" t="s">
        <v>2099</v>
      </c>
      <c r="C95" s="1">
        <v>45642</v>
      </c>
      <c r="D95" s="2">
        <v>0.6972222222222223</v>
      </c>
      <c r="E95" t="s">
        <v>180</v>
      </c>
      <c r="F95" t="s">
        <v>3</v>
      </c>
      <c r="G95" s="3">
        <v>0.5</v>
      </c>
      <c r="H95" s="3">
        <v>0.05</v>
      </c>
    </row>
    <row r="96" spans="1:8" x14ac:dyDescent="0.35">
      <c r="A96" t="s">
        <v>33</v>
      </c>
      <c r="B96" t="s">
        <v>2100</v>
      </c>
      <c r="C96" s="1">
        <v>45642</v>
      </c>
      <c r="D96" s="2">
        <v>0.98125000000000007</v>
      </c>
      <c r="E96" t="s">
        <v>2</v>
      </c>
      <c r="F96" t="s">
        <v>3</v>
      </c>
      <c r="G96" s="3">
        <v>22.88</v>
      </c>
      <c r="H96" s="3">
        <v>2.2799999999999998</v>
      </c>
    </row>
    <row r="97" spans="1:8" x14ac:dyDescent="0.35">
      <c r="A97" t="s">
        <v>33</v>
      </c>
      <c r="B97" t="s">
        <v>2101</v>
      </c>
      <c r="C97" s="1">
        <v>45644</v>
      </c>
      <c r="D97" s="2">
        <v>0.60625000000000007</v>
      </c>
      <c r="E97" t="s">
        <v>180</v>
      </c>
      <c r="F97" t="s">
        <v>3</v>
      </c>
      <c r="G97" s="3">
        <v>0.5</v>
      </c>
      <c r="H97" s="3">
        <v>0.05</v>
      </c>
    </row>
    <row r="98" spans="1:8" x14ac:dyDescent="0.35">
      <c r="A98" t="s">
        <v>33</v>
      </c>
      <c r="B98" t="s">
        <v>2102</v>
      </c>
      <c r="C98" s="1">
        <v>45645</v>
      </c>
      <c r="D98" s="2">
        <v>0.80486111111111114</v>
      </c>
      <c r="E98" t="s">
        <v>180</v>
      </c>
      <c r="F98" t="s">
        <v>3</v>
      </c>
      <c r="G98" s="3">
        <v>0.5</v>
      </c>
      <c r="H98" s="3">
        <v>0.05</v>
      </c>
    </row>
    <row r="99" spans="1:8" x14ac:dyDescent="0.35">
      <c r="A99" t="s">
        <v>33</v>
      </c>
      <c r="B99" t="s">
        <v>2103</v>
      </c>
      <c r="C99" s="1">
        <v>45646</v>
      </c>
      <c r="D99" s="2">
        <v>0.78680555555555554</v>
      </c>
      <c r="E99" t="s">
        <v>180</v>
      </c>
      <c r="F99" t="s">
        <v>3</v>
      </c>
      <c r="G99" s="3">
        <v>0.5</v>
      </c>
      <c r="H99" s="3">
        <v>0.05</v>
      </c>
    </row>
    <row r="100" spans="1:8" x14ac:dyDescent="0.35">
      <c r="A100" t="s">
        <v>33</v>
      </c>
      <c r="B100" t="s">
        <v>2104</v>
      </c>
      <c r="C100" s="1">
        <v>45647</v>
      </c>
      <c r="D100" s="2">
        <v>0.6430555555555556</v>
      </c>
      <c r="E100" t="s">
        <v>180</v>
      </c>
      <c r="F100" t="s">
        <v>3</v>
      </c>
      <c r="G100" s="3">
        <v>0.5</v>
      </c>
      <c r="H100" s="3">
        <v>0.05</v>
      </c>
    </row>
    <row r="101" spans="1:8" x14ac:dyDescent="0.35">
      <c r="A101" t="s">
        <v>33</v>
      </c>
      <c r="B101" t="s">
        <v>2105</v>
      </c>
      <c r="C101" s="1">
        <v>45647</v>
      </c>
      <c r="D101" s="2">
        <v>0.81388888888888899</v>
      </c>
      <c r="E101" t="s">
        <v>180</v>
      </c>
      <c r="F101" t="s">
        <v>3</v>
      </c>
      <c r="G101" s="3">
        <v>0.5</v>
      </c>
      <c r="H101" s="3">
        <v>0.05</v>
      </c>
    </row>
    <row r="102" spans="1:8" x14ac:dyDescent="0.35">
      <c r="A102" t="s">
        <v>33</v>
      </c>
      <c r="B102" t="s">
        <v>2106</v>
      </c>
      <c r="C102" s="1">
        <v>45648</v>
      </c>
      <c r="D102" s="2">
        <v>0.64374999999999993</v>
      </c>
      <c r="E102" t="s">
        <v>180</v>
      </c>
      <c r="F102" t="s">
        <v>3</v>
      </c>
      <c r="G102" s="3">
        <v>0.5</v>
      </c>
      <c r="H102" s="3">
        <v>0.05</v>
      </c>
    </row>
    <row r="103" spans="1:8" x14ac:dyDescent="0.35">
      <c r="A103" t="s">
        <v>33</v>
      </c>
      <c r="B103" t="s">
        <v>2107</v>
      </c>
      <c r="C103" s="1">
        <v>45648</v>
      </c>
      <c r="D103" s="2">
        <v>0.6479166666666667</v>
      </c>
      <c r="E103" t="s">
        <v>180</v>
      </c>
      <c r="F103" t="s">
        <v>3</v>
      </c>
      <c r="G103" s="3">
        <v>0.5</v>
      </c>
      <c r="H103" s="3">
        <v>0.05</v>
      </c>
    </row>
    <row r="104" spans="1:8" x14ac:dyDescent="0.35">
      <c r="A104" t="s">
        <v>33</v>
      </c>
      <c r="B104" t="s">
        <v>2108</v>
      </c>
      <c r="C104" s="1">
        <v>45648</v>
      </c>
      <c r="D104" s="2">
        <v>0.82291666666666663</v>
      </c>
      <c r="E104" t="s">
        <v>180</v>
      </c>
      <c r="F104" t="s">
        <v>3</v>
      </c>
      <c r="G104" s="3">
        <v>0.5</v>
      </c>
      <c r="H104" s="3">
        <v>0.05</v>
      </c>
    </row>
    <row r="105" spans="1:8" x14ac:dyDescent="0.35">
      <c r="A105" t="s">
        <v>33</v>
      </c>
      <c r="B105" t="s">
        <v>2109</v>
      </c>
      <c r="C105" s="1">
        <v>45648</v>
      </c>
      <c r="D105" s="2">
        <v>0.86249999999999993</v>
      </c>
      <c r="E105" t="s">
        <v>180</v>
      </c>
      <c r="F105" t="s">
        <v>3</v>
      </c>
      <c r="G105" s="3">
        <v>0.5</v>
      </c>
      <c r="H105" s="3">
        <v>0.05</v>
      </c>
    </row>
    <row r="106" spans="1:8" x14ac:dyDescent="0.35">
      <c r="A106" t="s">
        <v>33</v>
      </c>
      <c r="B106" t="s">
        <v>2110</v>
      </c>
      <c r="C106" s="1">
        <v>45648</v>
      </c>
      <c r="D106" s="2">
        <v>0.95694444444444438</v>
      </c>
      <c r="E106" t="s">
        <v>2</v>
      </c>
      <c r="F106" t="s">
        <v>3</v>
      </c>
      <c r="G106" s="3">
        <v>16.350000000000001</v>
      </c>
      <c r="H106" s="3">
        <v>1.63</v>
      </c>
    </row>
    <row r="107" spans="1:8" x14ac:dyDescent="0.35">
      <c r="A107" t="s">
        <v>33</v>
      </c>
      <c r="B107" t="s">
        <v>2111</v>
      </c>
      <c r="C107" s="1">
        <v>45651</v>
      </c>
      <c r="D107" s="2">
        <v>2.9861111111111113E-2</v>
      </c>
      <c r="E107" t="s">
        <v>2</v>
      </c>
      <c r="F107" t="s">
        <v>3</v>
      </c>
      <c r="G107" s="3">
        <v>27.5</v>
      </c>
      <c r="H107" s="3">
        <v>2.74</v>
      </c>
    </row>
    <row r="108" spans="1:8" x14ac:dyDescent="0.35">
      <c r="A108" t="s">
        <v>33</v>
      </c>
      <c r="B108" t="s">
        <v>2112</v>
      </c>
      <c r="C108" s="1">
        <v>45656</v>
      </c>
      <c r="D108" s="2">
        <v>0.82361111111111107</v>
      </c>
      <c r="E108" t="s">
        <v>2</v>
      </c>
      <c r="F108" t="s">
        <v>3</v>
      </c>
      <c r="G108" s="3">
        <v>49.79</v>
      </c>
      <c r="H108" s="3">
        <v>4.97</v>
      </c>
    </row>
    <row r="109" spans="1:8" ht="15" thickBot="1" x14ac:dyDescent="0.4">
      <c r="A109" s="4" t="s">
        <v>33</v>
      </c>
      <c r="B109" s="4" t="s">
        <v>2113</v>
      </c>
      <c r="C109" s="6">
        <v>45657</v>
      </c>
      <c r="D109" s="7">
        <v>0.88958333333333339</v>
      </c>
      <c r="E109" s="4" t="s">
        <v>2</v>
      </c>
      <c r="F109" s="4" t="s">
        <v>3</v>
      </c>
      <c r="G109" s="5">
        <v>11.77</v>
      </c>
      <c r="H109" s="5">
        <v>1.17</v>
      </c>
    </row>
    <row r="110" spans="1:8" x14ac:dyDescent="0.35">
      <c r="A110" t="s">
        <v>2235</v>
      </c>
      <c r="G110" s="3">
        <f t="shared" ref="G110:H110" si="4">SUM(G86:G109)</f>
        <v>243.76</v>
      </c>
      <c r="H110" s="3">
        <f t="shared" si="4"/>
        <v>23.370000000000005</v>
      </c>
    </row>
    <row r="112" spans="1:8" ht="15.75" thickBot="1" x14ac:dyDescent="0.3"/>
    <row r="113" spans="1:8" ht="15" thickBot="1" x14ac:dyDescent="0.4">
      <c r="A113" s="11" t="s">
        <v>411</v>
      </c>
      <c r="B113" s="12" t="s">
        <v>163</v>
      </c>
      <c r="C113" s="12" t="s">
        <v>165</v>
      </c>
      <c r="D113" s="12" t="s">
        <v>166</v>
      </c>
      <c r="E113" s="12" t="s">
        <v>164</v>
      </c>
      <c r="F113" s="12" t="s">
        <v>167</v>
      </c>
      <c r="G113" s="12" t="s">
        <v>412</v>
      </c>
      <c r="H113" s="13" t="s">
        <v>169</v>
      </c>
    </row>
    <row r="114" spans="1:8" x14ac:dyDescent="0.35">
      <c r="A114" t="s">
        <v>246</v>
      </c>
      <c r="B114" t="s">
        <v>2114</v>
      </c>
      <c r="C114" s="1">
        <v>45636</v>
      </c>
      <c r="D114" s="2">
        <v>3.5416666666666666E-2</v>
      </c>
      <c r="E114" t="s">
        <v>2</v>
      </c>
      <c r="F114" t="s">
        <v>3</v>
      </c>
      <c r="G114" s="3">
        <v>16.2</v>
      </c>
      <c r="H114" s="3">
        <v>2.4300000000000002</v>
      </c>
    </row>
    <row r="115" spans="1:8" x14ac:dyDescent="0.35">
      <c r="A115" t="s">
        <v>246</v>
      </c>
      <c r="B115" t="s">
        <v>2115</v>
      </c>
      <c r="C115" s="1">
        <v>45637</v>
      </c>
      <c r="D115" s="2">
        <v>0.87013888888888891</v>
      </c>
      <c r="E115" t="s">
        <v>2</v>
      </c>
      <c r="F115" t="s">
        <v>3</v>
      </c>
      <c r="G115" s="3">
        <v>8.4600000000000009</v>
      </c>
      <c r="H115" s="3">
        <v>1.27</v>
      </c>
    </row>
    <row r="116" spans="1:8" x14ac:dyDescent="0.35">
      <c r="A116" t="s">
        <v>246</v>
      </c>
      <c r="B116" t="s">
        <v>2116</v>
      </c>
      <c r="C116" s="1">
        <v>45638</v>
      </c>
      <c r="D116" s="2">
        <v>0.57986111111111105</v>
      </c>
      <c r="E116" t="s">
        <v>180</v>
      </c>
      <c r="F116" t="s">
        <v>3</v>
      </c>
      <c r="G116" s="3">
        <v>0.5</v>
      </c>
      <c r="H116" s="3">
        <v>7.0000000000000007E-2</v>
      </c>
    </row>
    <row r="117" spans="1:8" x14ac:dyDescent="0.35">
      <c r="A117" t="s">
        <v>246</v>
      </c>
      <c r="B117" t="s">
        <v>2117</v>
      </c>
      <c r="C117" s="1">
        <v>45640</v>
      </c>
      <c r="D117" s="2">
        <v>0.10486111111111111</v>
      </c>
      <c r="E117" t="s">
        <v>2</v>
      </c>
      <c r="F117" t="s">
        <v>3</v>
      </c>
      <c r="G117" s="3">
        <v>6.52</v>
      </c>
      <c r="H117" s="3">
        <v>0.65</v>
      </c>
    </row>
    <row r="118" spans="1:8" x14ac:dyDescent="0.35">
      <c r="A118" t="s">
        <v>246</v>
      </c>
      <c r="B118" t="s">
        <v>2118</v>
      </c>
      <c r="C118" s="1">
        <v>45640</v>
      </c>
      <c r="D118" s="2">
        <v>0.20208333333333331</v>
      </c>
      <c r="E118" t="s">
        <v>2</v>
      </c>
      <c r="F118" t="s">
        <v>3</v>
      </c>
      <c r="G118" s="3">
        <v>44.87</v>
      </c>
      <c r="H118" s="3">
        <v>4.4800000000000004</v>
      </c>
    </row>
    <row r="119" spans="1:8" x14ac:dyDescent="0.35">
      <c r="A119" t="s">
        <v>246</v>
      </c>
      <c r="B119" t="s">
        <v>2119</v>
      </c>
      <c r="C119" s="1">
        <v>45640</v>
      </c>
      <c r="D119" s="2">
        <v>0.70138888888888884</v>
      </c>
      <c r="E119" t="s">
        <v>180</v>
      </c>
      <c r="F119" t="s">
        <v>3</v>
      </c>
      <c r="G119" s="3">
        <v>0.5</v>
      </c>
      <c r="H119" s="3">
        <v>0.05</v>
      </c>
    </row>
    <row r="120" spans="1:8" x14ac:dyDescent="0.35">
      <c r="A120" t="s">
        <v>246</v>
      </c>
      <c r="B120" t="s">
        <v>2120</v>
      </c>
      <c r="C120" s="1">
        <v>45641</v>
      </c>
      <c r="D120" s="2">
        <v>0.71458333333333324</v>
      </c>
      <c r="E120" t="s">
        <v>180</v>
      </c>
      <c r="F120" t="s">
        <v>3</v>
      </c>
      <c r="G120" s="3">
        <v>0.5</v>
      </c>
      <c r="H120" s="3">
        <v>0.05</v>
      </c>
    </row>
    <row r="121" spans="1:8" x14ac:dyDescent="0.35">
      <c r="A121" t="s">
        <v>246</v>
      </c>
      <c r="B121" t="s">
        <v>2121</v>
      </c>
      <c r="C121" s="1">
        <v>45644</v>
      </c>
      <c r="D121" s="2">
        <v>0.60763888888888895</v>
      </c>
      <c r="E121" t="s">
        <v>180</v>
      </c>
      <c r="F121" t="s">
        <v>3</v>
      </c>
      <c r="G121" s="3">
        <v>0.5</v>
      </c>
      <c r="H121" s="3">
        <v>0.05</v>
      </c>
    </row>
    <row r="122" spans="1:8" x14ac:dyDescent="0.35">
      <c r="A122" t="s">
        <v>246</v>
      </c>
      <c r="B122" t="s">
        <v>2122</v>
      </c>
      <c r="C122" s="1">
        <v>45645</v>
      </c>
      <c r="D122" s="2">
        <v>0.13541666666666666</v>
      </c>
      <c r="E122" t="s">
        <v>2</v>
      </c>
      <c r="F122" t="s">
        <v>3</v>
      </c>
      <c r="G122" s="3">
        <v>18.850000000000001</v>
      </c>
      <c r="H122" s="3">
        <v>1.88</v>
      </c>
    </row>
    <row r="123" spans="1:8" x14ac:dyDescent="0.35">
      <c r="A123" t="s">
        <v>246</v>
      </c>
      <c r="B123" t="s">
        <v>2123</v>
      </c>
      <c r="C123" s="1">
        <v>45645</v>
      </c>
      <c r="D123" s="2">
        <v>0.7270833333333333</v>
      </c>
      <c r="E123" t="s">
        <v>180</v>
      </c>
      <c r="F123" t="s">
        <v>3</v>
      </c>
      <c r="G123" s="3">
        <v>0.5</v>
      </c>
      <c r="H123" s="3">
        <v>0.05</v>
      </c>
    </row>
    <row r="124" spans="1:8" x14ac:dyDescent="0.35">
      <c r="A124" t="s">
        <v>246</v>
      </c>
      <c r="B124" t="s">
        <v>2124</v>
      </c>
      <c r="C124" s="1">
        <v>45645</v>
      </c>
      <c r="D124" s="2">
        <v>0.80138888888888893</v>
      </c>
      <c r="E124" t="s">
        <v>180</v>
      </c>
      <c r="F124" t="s">
        <v>3</v>
      </c>
      <c r="G124" s="3">
        <v>0.5</v>
      </c>
      <c r="H124" s="3">
        <v>0.05</v>
      </c>
    </row>
    <row r="125" spans="1:8" x14ac:dyDescent="0.35">
      <c r="A125" t="s">
        <v>246</v>
      </c>
      <c r="B125" t="s">
        <v>2125</v>
      </c>
      <c r="C125" s="1">
        <v>45645</v>
      </c>
      <c r="D125" s="2">
        <v>0.8027777777777777</v>
      </c>
      <c r="E125" t="s">
        <v>180</v>
      </c>
      <c r="F125" t="s">
        <v>3</v>
      </c>
      <c r="G125" s="3">
        <v>0.5</v>
      </c>
      <c r="H125" s="3">
        <v>0.05</v>
      </c>
    </row>
    <row r="126" spans="1:8" x14ac:dyDescent="0.35">
      <c r="A126" t="s">
        <v>246</v>
      </c>
      <c r="B126" t="s">
        <v>2126</v>
      </c>
      <c r="C126" s="1">
        <v>45646</v>
      </c>
      <c r="D126" s="2">
        <v>0.78263888888888899</v>
      </c>
      <c r="E126" t="s">
        <v>180</v>
      </c>
      <c r="F126" t="s">
        <v>3</v>
      </c>
      <c r="G126" s="3">
        <v>0.5</v>
      </c>
      <c r="H126" s="3">
        <v>0.05</v>
      </c>
    </row>
    <row r="127" spans="1:8" x14ac:dyDescent="0.35">
      <c r="A127" t="s">
        <v>246</v>
      </c>
      <c r="B127" t="s">
        <v>2127</v>
      </c>
      <c r="C127" s="1">
        <v>45647</v>
      </c>
      <c r="D127" s="2">
        <v>5.5555555555555558E-3</v>
      </c>
      <c r="E127" t="s">
        <v>2</v>
      </c>
      <c r="F127" t="s">
        <v>3</v>
      </c>
      <c r="G127" s="3">
        <v>34.479999999999997</v>
      </c>
      <c r="H127" s="3">
        <v>3.44</v>
      </c>
    </row>
    <row r="128" spans="1:8" x14ac:dyDescent="0.35">
      <c r="A128" t="s">
        <v>246</v>
      </c>
      <c r="B128" t="s">
        <v>2128</v>
      </c>
      <c r="C128" s="1">
        <v>45647</v>
      </c>
      <c r="D128" s="2">
        <v>0.64027777777777783</v>
      </c>
      <c r="E128" t="s">
        <v>180</v>
      </c>
      <c r="F128" t="s">
        <v>3</v>
      </c>
      <c r="G128" s="3">
        <v>0.5</v>
      </c>
      <c r="H128" s="3">
        <v>0.05</v>
      </c>
    </row>
    <row r="129" spans="1:8" x14ac:dyDescent="0.35">
      <c r="A129" t="s">
        <v>246</v>
      </c>
      <c r="B129" t="s">
        <v>2129</v>
      </c>
      <c r="C129" s="1">
        <v>45648</v>
      </c>
      <c r="D129" s="2">
        <v>0.86388888888888893</v>
      </c>
      <c r="E129" t="s">
        <v>180</v>
      </c>
      <c r="F129" t="s">
        <v>3</v>
      </c>
      <c r="G129" s="3">
        <v>0.5</v>
      </c>
      <c r="H129" s="3">
        <v>0.05</v>
      </c>
    </row>
    <row r="130" spans="1:8" x14ac:dyDescent="0.35">
      <c r="A130" t="s">
        <v>246</v>
      </c>
      <c r="B130" t="s">
        <v>2130</v>
      </c>
      <c r="C130" s="1">
        <v>45650</v>
      </c>
      <c r="D130" s="2">
        <v>0.88124999999999998</v>
      </c>
      <c r="E130" t="s">
        <v>2</v>
      </c>
      <c r="F130" t="s">
        <v>3</v>
      </c>
      <c r="G130" s="3">
        <v>27</v>
      </c>
      <c r="H130" s="3">
        <v>2.69</v>
      </c>
    </row>
    <row r="131" spans="1:8" x14ac:dyDescent="0.35">
      <c r="A131" t="s">
        <v>246</v>
      </c>
      <c r="B131" t="s">
        <v>2131</v>
      </c>
      <c r="C131" s="1">
        <v>45655</v>
      </c>
      <c r="D131" s="2">
        <v>0.84236111111111101</v>
      </c>
      <c r="E131" t="s">
        <v>2</v>
      </c>
      <c r="F131" t="s">
        <v>3</v>
      </c>
      <c r="G131" s="3">
        <v>15.13</v>
      </c>
      <c r="H131" s="3">
        <v>1.51</v>
      </c>
    </row>
    <row r="132" spans="1:8" x14ac:dyDescent="0.35">
      <c r="A132" t="s">
        <v>246</v>
      </c>
      <c r="B132" t="s">
        <v>2132</v>
      </c>
      <c r="C132" s="1">
        <v>45656</v>
      </c>
      <c r="D132" s="2">
        <v>0.86111111111111116</v>
      </c>
      <c r="E132" t="s">
        <v>2</v>
      </c>
      <c r="F132" t="s">
        <v>3</v>
      </c>
      <c r="G132" s="3">
        <v>18</v>
      </c>
      <c r="H132" s="3">
        <v>1.8</v>
      </c>
    </row>
    <row r="133" spans="1:8" ht="15" thickBot="1" x14ac:dyDescent="0.4">
      <c r="A133" s="4" t="s">
        <v>246</v>
      </c>
      <c r="B133" s="4" t="s">
        <v>2133</v>
      </c>
      <c r="C133" s="6">
        <v>45656</v>
      </c>
      <c r="D133" s="7">
        <v>0.96597222222222223</v>
      </c>
      <c r="E133" s="4" t="s">
        <v>2</v>
      </c>
      <c r="F133" s="4" t="s">
        <v>3</v>
      </c>
      <c r="G133" s="5">
        <v>8.52</v>
      </c>
      <c r="H133" s="5">
        <v>0.85</v>
      </c>
    </row>
    <row r="134" spans="1:8" x14ac:dyDescent="0.35">
      <c r="A134" t="s">
        <v>2235</v>
      </c>
      <c r="G134" s="3">
        <f t="shared" ref="G134:H134" si="5">SUM(G114:G133)</f>
        <v>203.03</v>
      </c>
      <c r="H134" s="3">
        <f t="shared" si="5"/>
        <v>21.52000000000001</v>
      </c>
    </row>
    <row r="136" spans="1:8" ht="15.75" thickBot="1" x14ac:dyDescent="0.3"/>
    <row r="137" spans="1:8" ht="15.75" thickBot="1" x14ac:dyDescent="0.3">
      <c r="A137" s="11" t="s">
        <v>411</v>
      </c>
      <c r="B137" s="12" t="s">
        <v>163</v>
      </c>
      <c r="C137" s="12" t="s">
        <v>165</v>
      </c>
      <c r="D137" s="12" t="s">
        <v>166</v>
      </c>
      <c r="E137" s="12" t="s">
        <v>164</v>
      </c>
      <c r="F137" s="12" t="s">
        <v>167</v>
      </c>
      <c r="G137" s="12" t="s">
        <v>412</v>
      </c>
      <c r="H137" s="13" t="s">
        <v>169</v>
      </c>
    </row>
    <row r="138" spans="1:8" x14ac:dyDescent="0.35">
      <c r="A138" t="s">
        <v>543</v>
      </c>
      <c r="B138" t="s">
        <v>2134</v>
      </c>
      <c r="C138" s="1">
        <v>45628</v>
      </c>
      <c r="D138" s="2">
        <v>0.10902777777777778</v>
      </c>
      <c r="E138" t="s">
        <v>2</v>
      </c>
      <c r="F138" t="s">
        <v>3</v>
      </c>
      <c r="G138" s="3">
        <v>30.39</v>
      </c>
      <c r="H138" s="3">
        <v>2.74</v>
      </c>
    </row>
    <row r="139" spans="1:8" x14ac:dyDescent="0.35">
      <c r="A139" t="s">
        <v>543</v>
      </c>
      <c r="B139" t="s">
        <v>2135</v>
      </c>
      <c r="C139" s="1">
        <v>45632</v>
      </c>
      <c r="D139" s="2">
        <v>0.28125</v>
      </c>
      <c r="E139" t="s">
        <v>2</v>
      </c>
      <c r="F139" t="s">
        <v>3</v>
      </c>
      <c r="G139" s="3">
        <v>23.47</v>
      </c>
      <c r="H139" s="3">
        <v>2.11</v>
      </c>
    </row>
    <row r="140" spans="1:8" x14ac:dyDescent="0.35">
      <c r="A140" t="s">
        <v>543</v>
      </c>
      <c r="B140" t="s">
        <v>2136</v>
      </c>
      <c r="C140" s="1">
        <v>45633</v>
      </c>
      <c r="D140" s="2">
        <v>0.1076388888888889</v>
      </c>
      <c r="E140" t="s">
        <v>2</v>
      </c>
      <c r="F140" t="s">
        <v>58</v>
      </c>
      <c r="G140" s="3">
        <v>21.95</v>
      </c>
      <c r="H140" s="3">
        <v>1.98</v>
      </c>
    </row>
    <row r="141" spans="1:8" x14ac:dyDescent="0.35">
      <c r="A141" t="s">
        <v>543</v>
      </c>
      <c r="B141" t="s">
        <v>2137</v>
      </c>
      <c r="C141" s="1">
        <v>45636</v>
      </c>
      <c r="D141" s="2">
        <v>0.21249999999999999</v>
      </c>
      <c r="E141" t="s">
        <v>2</v>
      </c>
      <c r="F141" t="s">
        <v>3</v>
      </c>
      <c r="G141" s="3">
        <v>30.94</v>
      </c>
      <c r="H141" s="3">
        <v>2.78</v>
      </c>
    </row>
    <row r="142" spans="1:8" x14ac:dyDescent="0.35">
      <c r="A142" t="s">
        <v>543</v>
      </c>
      <c r="B142" t="s">
        <v>2138</v>
      </c>
      <c r="C142" s="1">
        <v>45638</v>
      </c>
      <c r="D142" s="2">
        <v>0.56944444444444442</v>
      </c>
      <c r="E142" t="s">
        <v>180</v>
      </c>
      <c r="F142" t="s">
        <v>3</v>
      </c>
      <c r="G142" s="3">
        <v>0.51</v>
      </c>
      <c r="H142" s="3">
        <v>0.05</v>
      </c>
    </row>
    <row r="143" spans="1:8" x14ac:dyDescent="0.35">
      <c r="A143" t="s">
        <v>543</v>
      </c>
      <c r="B143" t="s">
        <v>2139</v>
      </c>
      <c r="C143" s="1">
        <v>45639</v>
      </c>
      <c r="D143" s="2">
        <v>2.8472222222222222E-2</v>
      </c>
      <c r="E143" t="s">
        <v>2</v>
      </c>
      <c r="F143" t="s">
        <v>3</v>
      </c>
      <c r="G143" s="3">
        <v>46.05</v>
      </c>
      <c r="H143" s="3">
        <v>4.1399999999999997</v>
      </c>
    </row>
    <row r="144" spans="1:8" x14ac:dyDescent="0.35">
      <c r="A144" t="s">
        <v>543</v>
      </c>
      <c r="B144" t="s">
        <v>2140</v>
      </c>
      <c r="C144" s="1">
        <v>45639</v>
      </c>
      <c r="D144" s="2">
        <v>0.34027777777777773</v>
      </c>
      <c r="E144" t="s">
        <v>2</v>
      </c>
      <c r="F144" t="s">
        <v>3</v>
      </c>
      <c r="G144" s="3">
        <v>20.12</v>
      </c>
      <c r="H144" s="3">
        <v>1.81</v>
      </c>
    </row>
    <row r="145" spans="1:8" ht="15" x14ac:dyDescent="0.25">
      <c r="A145" t="s">
        <v>543</v>
      </c>
      <c r="B145" t="s">
        <v>2141</v>
      </c>
      <c r="C145" s="1">
        <v>45640</v>
      </c>
      <c r="D145" s="2">
        <v>0.14444444444444446</v>
      </c>
      <c r="E145" t="s">
        <v>2</v>
      </c>
      <c r="F145" t="s">
        <v>3</v>
      </c>
      <c r="G145" s="3">
        <v>48.63</v>
      </c>
      <c r="H145" s="3">
        <v>4.8499999999999996</v>
      </c>
    </row>
    <row r="146" spans="1:8" ht="15" x14ac:dyDescent="0.25">
      <c r="A146" t="s">
        <v>543</v>
      </c>
      <c r="B146" t="s">
        <v>2142</v>
      </c>
      <c r="C146" s="1">
        <v>45640</v>
      </c>
      <c r="D146" s="2">
        <v>0.65347222222222223</v>
      </c>
      <c r="E146" t="s">
        <v>180</v>
      </c>
      <c r="F146" t="s">
        <v>3</v>
      </c>
      <c r="G146" s="3">
        <v>0.51</v>
      </c>
      <c r="H146" s="3">
        <v>0.05</v>
      </c>
    </row>
    <row r="147" spans="1:8" ht="15" x14ac:dyDescent="0.25">
      <c r="A147" t="s">
        <v>543</v>
      </c>
      <c r="B147" t="s">
        <v>2143</v>
      </c>
      <c r="C147" s="1">
        <v>45641</v>
      </c>
      <c r="D147" s="2">
        <v>6.0416666666666667E-2</v>
      </c>
      <c r="E147" t="s">
        <v>2</v>
      </c>
      <c r="F147" t="s">
        <v>3</v>
      </c>
      <c r="G147" s="3">
        <v>33.840000000000003</v>
      </c>
      <c r="H147" s="3">
        <v>3.38</v>
      </c>
    </row>
    <row r="148" spans="1:8" ht="15" x14ac:dyDescent="0.25">
      <c r="A148" t="s">
        <v>543</v>
      </c>
      <c r="B148" t="s">
        <v>2144</v>
      </c>
      <c r="C148" s="1">
        <v>45641</v>
      </c>
      <c r="D148" s="2">
        <v>0.7090277777777777</v>
      </c>
      <c r="E148" t="s">
        <v>180</v>
      </c>
      <c r="F148" t="s">
        <v>3</v>
      </c>
      <c r="G148" s="3">
        <v>0.51</v>
      </c>
      <c r="H148" s="3">
        <v>0.05</v>
      </c>
    </row>
    <row r="149" spans="1:8" ht="15" x14ac:dyDescent="0.25">
      <c r="A149" t="s">
        <v>543</v>
      </c>
      <c r="B149" t="s">
        <v>2145</v>
      </c>
      <c r="C149" s="1">
        <v>45642</v>
      </c>
      <c r="D149" s="2">
        <v>2.9861111111111113E-2</v>
      </c>
      <c r="E149" t="s">
        <v>2</v>
      </c>
      <c r="F149" t="s">
        <v>3</v>
      </c>
      <c r="G149" s="3">
        <v>15.92</v>
      </c>
      <c r="H149" s="3">
        <v>1.59</v>
      </c>
    </row>
    <row r="150" spans="1:8" ht="15" x14ac:dyDescent="0.25">
      <c r="A150" t="s">
        <v>543</v>
      </c>
      <c r="B150" t="s">
        <v>2146</v>
      </c>
      <c r="C150" s="1">
        <v>45642</v>
      </c>
      <c r="D150" s="2">
        <v>0.70277777777777783</v>
      </c>
      <c r="E150" t="s">
        <v>180</v>
      </c>
      <c r="F150" t="s">
        <v>3</v>
      </c>
      <c r="G150" s="3">
        <v>0.51</v>
      </c>
      <c r="H150" s="3">
        <v>0.05</v>
      </c>
    </row>
    <row r="151" spans="1:8" ht="15" x14ac:dyDescent="0.25">
      <c r="A151" t="s">
        <v>543</v>
      </c>
      <c r="B151" t="s">
        <v>2147</v>
      </c>
      <c r="C151" s="1">
        <v>45643</v>
      </c>
      <c r="D151" s="2">
        <v>0.28611111111111115</v>
      </c>
      <c r="E151" t="s">
        <v>2</v>
      </c>
      <c r="F151" t="s">
        <v>3</v>
      </c>
      <c r="G151" s="3">
        <v>16.579999999999998</v>
      </c>
      <c r="H151" s="3">
        <v>1.65</v>
      </c>
    </row>
    <row r="152" spans="1:8" ht="15" x14ac:dyDescent="0.25">
      <c r="A152" t="s">
        <v>543</v>
      </c>
      <c r="B152" t="s">
        <v>2148</v>
      </c>
      <c r="C152" s="1">
        <v>45644</v>
      </c>
      <c r="D152" s="2">
        <v>0.60902777777777783</v>
      </c>
      <c r="E152" t="s">
        <v>180</v>
      </c>
      <c r="F152" t="s">
        <v>3</v>
      </c>
      <c r="G152" s="3">
        <v>0.51</v>
      </c>
      <c r="H152" s="3">
        <v>0.05</v>
      </c>
    </row>
    <row r="153" spans="1:8" ht="15" x14ac:dyDescent="0.25">
      <c r="A153" t="s">
        <v>543</v>
      </c>
      <c r="B153" t="s">
        <v>2149</v>
      </c>
      <c r="C153" s="1">
        <v>45644</v>
      </c>
      <c r="D153" s="2">
        <v>0.7055555555555556</v>
      </c>
      <c r="E153" t="s">
        <v>2</v>
      </c>
      <c r="F153" t="s">
        <v>3</v>
      </c>
      <c r="G153" s="3">
        <v>17.78</v>
      </c>
      <c r="H153" s="3">
        <v>1.77</v>
      </c>
    </row>
    <row r="154" spans="1:8" ht="15" x14ac:dyDescent="0.25">
      <c r="A154" t="s">
        <v>543</v>
      </c>
      <c r="B154" t="s">
        <v>2150</v>
      </c>
      <c r="C154" s="1">
        <v>45645</v>
      </c>
      <c r="D154" s="2">
        <v>0.38611111111111113</v>
      </c>
      <c r="E154" t="s">
        <v>2</v>
      </c>
      <c r="F154" t="s">
        <v>3</v>
      </c>
      <c r="G154" s="3">
        <v>23.74</v>
      </c>
      <c r="H154" s="3">
        <v>2.37</v>
      </c>
    </row>
    <row r="155" spans="1:8" x14ac:dyDescent="0.35">
      <c r="A155" t="s">
        <v>543</v>
      </c>
      <c r="B155" t="s">
        <v>2151</v>
      </c>
      <c r="C155" s="1">
        <v>45645</v>
      </c>
      <c r="D155" s="2">
        <v>0.72430555555555554</v>
      </c>
      <c r="E155" t="s">
        <v>180</v>
      </c>
      <c r="F155" t="s">
        <v>3</v>
      </c>
      <c r="G155" s="3">
        <v>0.51</v>
      </c>
      <c r="H155" s="3">
        <v>0.05</v>
      </c>
    </row>
    <row r="156" spans="1:8" x14ac:dyDescent="0.35">
      <c r="A156" t="s">
        <v>543</v>
      </c>
      <c r="B156" t="s">
        <v>2152</v>
      </c>
      <c r="C156" s="1">
        <v>45646</v>
      </c>
      <c r="D156" s="2">
        <v>0.78680555555555554</v>
      </c>
      <c r="E156" t="s">
        <v>180</v>
      </c>
      <c r="F156" t="s">
        <v>3</v>
      </c>
      <c r="G156" s="3">
        <v>0.51</v>
      </c>
      <c r="H156" s="3">
        <v>0.05</v>
      </c>
    </row>
    <row r="157" spans="1:8" ht="15" x14ac:dyDescent="0.25">
      <c r="A157" t="s">
        <v>543</v>
      </c>
      <c r="B157" t="s">
        <v>2153</v>
      </c>
      <c r="C157" s="1">
        <v>45647</v>
      </c>
      <c r="D157" s="2">
        <v>0.64027777777777783</v>
      </c>
      <c r="E157" t="s">
        <v>180</v>
      </c>
      <c r="F157" t="s">
        <v>3</v>
      </c>
      <c r="G157" s="3">
        <v>0.51</v>
      </c>
      <c r="H157" s="3">
        <v>0.05</v>
      </c>
    </row>
    <row r="158" spans="1:8" ht="15" x14ac:dyDescent="0.25">
      <c r="A158" t="s">
        <v>543</v>
      </c>
      <c r="B158" t="s">
        <v>2154</v>
      </c>
      <c r="C158" s="1">
        <v>45648</v>
      </c>
      <c r="D158" s="2">
        <v>0.64444444444444449</v>
      </c>
      <c r="E158" t="s">
        <v>180</v>
      </c>
      <c r="F158" t="s">
        <v>3</v>
      </c>
      <c r="G158" s="3">
        <v>0.51</v>
      </c>
      <c r="H158" s="3">
        <v>0.05</v>
      </c>
    </row>
    <row r="159" spans="1:8" ht="15" x14ac:dyDescent="0.25">
      <c r="A159" t="s">
        <v>543</v>
      </c>
      <c r="B159" t="s">
        <v>2155</v>
      </c>
      <c r="C159" s="1">
        <v>45648</v>
      </c>
      <c r="D159" s="2">
        <v>0.64930555555555558</v>
      </c>
      <c r="E159" t="s">
        <v>180</v>
      </c>
      <c r="F159" t="s">
        <v>3</v>
      </c>
      <c r="G159" s="3">
        <v>0.51</v>
      </c>
      <c r="H159" s="3">
        <v>0.05</v>
      </c>
    </row>
    <row r="160" spans="1:8" ht="15" x14ac:dyDescent="0.25">
      <c r="A160" t="s">
        <v>543</v>
      </c>
      <c r="B160" t="s">
        <v>2156</v>
      </c>
      <c r="C160" s="1">
        <v>45648</v>
      </c>
      <c r="D160" s="2">
        <v>0.82430555555555562</v>
      </c>
      <c r="E160" t="s">
        <v>180</v>
      </c>
      <c r="F160" t="s">
        <v>3</v>
      </c>
      <c r="G160" s="3">
        <v>1.02</v>
      </c>
      <c r="H160" s="3">
        <v>0.1</v>
      </c>
    </row>
    <row r="161" spans="1:8" ht="15" x14ac:dyDescent="0.25">
      <c r="A161" t="s">
        <v>543</v>
      </c>
      <c r="B161" t="s">
        <v>2157</v>
      </c>
      <c r="C161" s="1">
        <v>45648</v>
      </c>
      <c r="D161" s="2">
        <v>0.8618055555555556</v>
      </c>
      <c r="E161" t="s">
        <v>180</v>
      </c>
      <c r="F161" t="s">
        <v>3</v>
      </c>
      <c r="G161" s="3">
        <v>1.02</v>
      </c>
      <c r="H161" s="3">
        <v>0.1</v>
      </c>
    </row>
    <row r="162" spans="1:8" ht="15" x14ac:dyDescent="0.25">
      <c r="A162" t="s">
        <v>543</v>
      </c>
      <c r="B162" t="s">
        <v>2158</v>
      </c>
      <c r="C162" s="1">
        <v>45651</v>
      </c>
      <c r="D162" s="2">
        <v>0.28680555555555554</v>
      </c>
      <c r="E162" t="s">
        <v>2</v>
      </c>
      <c r="F162" t="s">
        <v>3</v>
      </c>
      <c r="G162" s="3">
        <v>65.16</v>
      </c>
      <c r="H162" s="3">
        <v>6.5</v>
      </c>
    </row>
    <row r="163" spans="1:8" x14ac:dyDescent="0.35">
      <c r="A163" t="s">
        <v>543</v>
      </c>
      <c r="B163" t="s">
        <v>2159</v>
      </c>
      <c r="C163" s="1">
        <v>45651</v>
      </c>
      <c r="D163" s="2">
        <v>0.75763888888888886</v>
      </c>
      <c r="E163" t="s">
        <v>2</v>
      </c>
      <c r="F163" t="s">
        <v>3</v>
      </c>
      <c r="G163" s="3">
        <v>23.41</v>
      </c>
      <c r="H163" s="3">
        <v>2.34</v>
      </c>
    </row>
    <row r="164" spans="1:8" ht="15" thickBot="1" x14ac:dyDescent="0.4">
      <c r="A164" s="4" t="s">
        <v>543</v>
      </c>
      <c r="B164" s="4" t="s">
        <v>2160</v>
      </c>
      <c r="C164" s="6">
        <v>45655</v>
      </c>
      <c r="D164" s="7">
        <v>0.85555555555555562</v>
      </c>
      <c r="E164" s="4" t="s">
        <v>2</v>
      </c>
      <c r="F164" s="4" t="s">
        <v>3</v>
      </c>
      <c r="G164" s="5">
        <v>10.96</v>
      </c>
      <c r="H164" s="5">
        <v>1.0900000000000001</v>
      </c>
    </row>
    <row r="165" spans="1:8" x14ac:dyDescent="0.35">
      <c r="A165" t="s">
        <v>2235</v>
      </c>
      <c r="G165" s="3">
        <f t="shared" ref="G165:H165" si="6">SUM(G138:G164)</f>
        <v>436.07999999999981</v>
      </c>
      <c r="H165" s="3">
        <f t="shared" si="6"/>
        <v>41.800000000000011</v>
      </c>
    </row>
    <row r="167" spans="1:8" ht="15.75" thickBot="1" x14ac:dyDescent="0.3"/>
    <row r="168" spans="1:8" ht="15.75" thickBot="1" x14ac:dyDescent="0.3">
      <c r="A168" s="11" t="s">
        <v>411</v>
      </c>
      <c r="B168" s="12" t="s">
        <v>163</v>
      </c>
      <c r="C168" s="12" t="s">
        <v>165</v>
      </c>
      <c r="D168" s="12" t="s">
        <v>166</v>
      </c>
      <c r="E168" s="12" t="s">
        <v>164</v>
      </c>
      <c r="F168" s="12" t="s">
        <v>167</v>
      </c>
      <c r="G168" s="12" t="s">
        <v>412</v>
      </c>
      <c r="H168" s="13" t="s">
        <v>169</v>
      </c>
    </row>
    <row r="169" spans="1:8" x14ac:dyDescent="0.35">
      <c r="A169" t="s">
        <v>40</v>
      </c>
      <c r="B169" t="s">
        <v>2161</v>
      </c>
      <c r="C169" s="1">
        <v>45627</v>
      </c>
      <c r="D169" s="2">
        <v>0.71597222222222223</v>
      </c>
      <c r="E169" t="s">
        <v>2</v>
      </c>
      <c r="F169" t="s">
        <v>3</v>
      </c>
      <c r="G169" s="3">
        <v>29.82</v>
      </c>
      <c r="H169" s="3">
        <v>2.68</v>
      </c>
    </row>
    <row r="170" spans="1:8" x14ac:dyDescent="0.35">
      <c r="A170" t="s">
        <v>40</v>
      </c>
      <c r="B170" t="s">
        <v>2162</v>
      </c>
      <c r="C170" s="1">
        <v>45628</v>
      </c>
      <c r="D170" s="2">
        <v>0.9145833333333333</v>
      </c>
      <c r="E170" t="s">
        <v>2</v>
      </c>
      <c r="F170" t="s">
        <v>3</v>
      </c>
      <c r="G170" s="3">
        <v>18.260000000000002</v>
      </c>
      <c r="H170" s="3">
        <v>1.64</v>
      </c>
    </row>
    <row r="171" spans="1:8" x14ac:dyDescent="0.35">
      <c r="A171" t="s">
        <v>40</v>
      </c>
      <c r="B171" t="s">
        <v>2163</v>
      </c>
      <c r="C171" s="1">
        <v>45632</v>
      </c>
      <c r="D171" s="2">
        <v>9.7222222222222224E-3</v>
      </c>
      <c r="E171" t="s">
        <v>2</v>
      </c>
      <c r="F171" t="s">
        <v>3</v>
      </c>
      <c r="G171" s="3">
        <v>20.32</v>
      </c>
      <c r="H171" s="3">
        <v>1.83</v>
      </c>
    </row>
    <row r="172" spans="1:8" x14ac:dyDescent="0.35">
      <c r="A172" t="s">
        <v>40</v>
      </c>
      <c r="B172" t="s">
        <v>2164</v>
      </c>
      <c r="C172" s="1">
        <v>45633</v>
      </c>
      <c r="D172" s="2">
        <v>6.2499999999999995E-3</v>
      </c>
      <c r="E172" t="s">
        <v>2</v>
      </c>
      <c r="F172" t="s">
        <v>58</v>
      </c>
      <c r="G172" s="3">
        <v>38.5</v>
      </c>
      <c r="H172" s="3">
        <v>3.47</v>
      </c>
    </row>
    <row r="173" spans="1:8" x14ac:dyDescent="0.35">
      <c r="A173" t="s">
        <v>40</v>
      </c>
      <c r="B173" t="s">
        <v>2165</v>
      </c>
      <c r="C173" s="1">
        <v>45633</v>
      </c>
      <c r="D173" s="2">
        <v>0.5756944444444444</v>
      </c>
      <c r="E173" t="s">
        <v>2</v>
      </c>
      <c r="F173" t="s">
        <v>3</v>
      </c>
      <c r="G173" s="3">
        <v>19.25</v>
      </c>
      <c r="H173" s="3">
        <v>1.73</v>
      </c>
    </row>
    <row r="174" spans="1:8" x14ac:dyDescent="0.35">
      <c r="A174" t="s">
        <v>40</v>
      </c>
      <c r="B174" t="s">
        <v>2166</v>
      </c>
      <c r="C174" s="1">
        <v>45637</v>
      </c>
      <c r="D174" s="2">
        <v>0.12916666666666668</v>
      </c>
      <c r="E174" t="s">
        <v>2</v>
      </c>
      <c r="F174" t="s">
        <v>3</v>
      </c>
      <c r="G174" s="3">
        <v>23.1</v>
      </c>
      <c r="H174" s="3">
        <v>2.08</v>
      </c>
    </row>
    <row r="175" spans="1:8" x14ac:dyDescent="0.35">
      <c r="A175" t="s">
        <v>40</v>
      </c>
      <c r="B175" t="s">
        <v>2167</v>
      </c>
      <c r="C175" s="1">
        <v>45638</v>
      </c>
      <c r="D175" s="2">
        <v>0.57638888888888895</v>
      </c>
      <c r="E175" t="s">
        <v>180</v>
      </c>
      <c r="F175" t="s">
        <v>3</v>
      </c>
      <c r="G175" s="3">
        <v>0.5</v>
      </c>
      <c r="H175" s="3">
        <v>0.05</v>
      </c>
    </row>
    <row r="176" spans="1:8" x14ac:dyDescent="0.35">
      <c r="A176" t="s">
        <v>40</v>
      </c>
      <c r="B176" t="s">
        <v>2168</v>
      </c>
      <c r="C176" s="1">
        <v>45640</v>
      </c>
      <c r="D176" s="2">
        <v>0.11527777777777777</v>
      </c>
      <c r="E176" t="s">
        <v>2</v>
      </c>
      <c r="F176" t="s">
        <v>3</v>
      </c>
      <c r="G176" s="3">
        <v>20.420000000000002</v>
      </c>
      <c r="H176" s="3">
        <v>2.04</v>
      </c>
    </row>
    <row r="177" spans="1:8" x14ac:dyDescent="0.35">
      <c r="A177" t="s">
        <v>40</v>
      </c>
      <c r="B177" t="s">
        <v>2169</v>
      </c>
      <c r="C177" s="1">
        <v>45640</v>
      </c>
      <c r="D177" s="2">
        <v>0.69652777777777775</v>
      </c>
      <c r="E177" t="s">
        <v>180</v>
      </c>
      <c r="F177" t="s">
        <v>3</v>
      </c>
      <c r="G177" s="3">
        <v>0.5</v>
      </c>
      <c r="H177" s="3">
        <v>0.05</v>
      </c>
    </row>
    <row r="178" spans="1:8" x14ac:dyDescent="0.35">
      <c r="A178" t="s">
        <v>40</v>
      </c>
      <c r="B178" t="s">
        <v>2170</v>
      </c>
      <c r="C178" s="1">
        <v>45642</v>
      </c>
      <c r="D178" s="2">
        <v>0.70000000000000007</v>
      </c>
      <c r="E178" t="s">
        <v>180</v>
      </c>
      <c r="F178" t="s">
        <v>3</v>
      </c>
      <c r="G178" s="3">
        <v>0.5</v>
      </c>
      <c r="H178" s="3">
        <v>0.05</v>
      </c>
    </row>
    <row r="179" spans="1:8" x14ac:dyDescent="0.35">
      <c r="A179" t="s">
        <v>40</v>
      </c>
      <c r="B179" t="s">
        <v>2171</v>
      </c>
      <c r="C179" s="1">
        <v>45643</v>
      </c>
      <c r="D179" s="2">
        <v>0.1125</v>
      </c>
      <c r="E179" t="s">
        <v>2</v>
      </c>
      <c r="F179" t="s">
        <v>3</v>
      </c>
      <c r="G179" s="3">
        <v>18.100000000000001</v>
      </c>
      <c r="H179" s="3">
        <v>1.81</v>
      </c>
    </row>
    <row r="180" spans="1:8" x14ac:dyDescent="0.35">
      <c r="A180" t="s">
        <v>40</v>
      </c>
      <c r="B180" t="s">
        <v>2172</v>
      </c>
      <c r="C180" s="1">
        <v>45644</v>
      </c>
      <c r="D180" s="2">
        <v>4.5138888888888888E-2</v>
      </c>
      <c r="E180" t="s">
        <v>2</v>
      </c>
      <c r="F180" t="s">
        <v>3</v>
      </c>
      <c r="G180" s="3">
        <v>33</v>
      </c>
      <c r="H180" s="3">
        <v>3.29</v>
      </c>
    </row>
    <row r="181" spans="1:8" x14ac:dyDescent="0.35">
      <c r="A181" t="s">
        <v>40</v>
      </c>
      <c r="B181" t="s">
        <v>2173</v>
      </c>
      <c r="C181" s="1">
        <v>45647</v>
      </c>
      <c r="D181" s="2">
        <v>0.7055555555555556</v>
      </c>
      <c r="E181" t="s">
        <v>180</v>
      </c>
      <c r="F181" t="s">
        <v>3</v>
      </c>
      <c r="G181" s="3">
        <v>0.5</v>
      </c>
      <c r="H181" s="3">
        <v>0.05</v>
      </c>
    </row>
    <row r="182" spans="1:8" x14ac:dyDescent="0.35">
      <c r="A182" t="s">
        <v>40</v>
      </c>
      <c r="B182" t="s">
        <v>2174</v>
      </c>
      <c r="C182" s="1">
        <v>45647</v>
      </c>
      <c r="D182" s="2">
        <v>0.81180555555555556</v>
      </c>
      <c r="E182" t="s">
        <v>180</v>
      </c>
      <c r="F182" t="s">
        <v>3</v>
      </c>
      <c r="G182" s="3">
        <v>0.5</v>
      </c>
      <c r="H182" s="3">
        <v>0.05</v>
      </c>
    </row>
    <row r="183" spans="1:8" x14ac:dyDescent="0.35">
      <c r="A183" t="s">
        <v>40</v>
      </c>
      <c r="B183" t="s">
        <v>2175</v>
      </c>
      <c r="C183" s="1">
        <v>45648</v>
      </c>
      <c r="D183" s="2">
        <v>0.64513888888888882</v>
      </c>
      <c r="E183" t="s">
        <v>180</v>
      </c>
      <c r="F183" t="s">
        <v>3</v>
      </c>
      <c r="G183" s="3">
        <v>0.5</v>
      </c>
      <c r="H183" s="3">
        <v>0.05</v>
      </c>
    </row>
    <row r="184" spans="1:8" x14ac:dyDescent="0.35">
      <c r="A184" t="s">
        <v>40</v>
      </c>
      <c r="B184" t="s">
        <v>2176</v>
      </c>
      <c r="C184" s="1">
        <v>45648</v>
      </c>
      <c r="D184" s="2">
        <v>0.64722222222222225</v>
      </c>
      <c r="E184" t="s">
        <v>180</v>
      </c>
      <c r="F184" t="s">
        <v>3</v>
      </c>
      <c r="G184" s="3">
        <v>0.5</v>
      </c>
      <c r="H184" s="3">
        <v>0.05</v>
      </c>
    </row>
    <row r="185" spans="1:8" x14ac:dyDescent="0.35">
      <c r="A185" t="s">
        <v>40</v>
      </c>
      <c r="B185" t="s">
        <v>2177</v>
      </c>
      <c r="C185" s="1">
        <v>45648</v>
      </c>
      <c r="D185" s="2">
        <v>0.82361111111111107</v>
      </c>
      <c r="E185" t="s">
        <v>180</v>
      </c>
      <c r="F185" t="s">
        <v>3</v>
      </c>
      <c r="G185" s="3">
        <v>2</v>
      </c>
      <c r="H185" s="3">
        <v>0.2</v>
      </c>
    </row>
    <row r="186" spans="1:8" x14ac:dyDescent="0.35">
      <c r="A186" t="s">
        <v>40</v>
      </c>
      <c r="B186" t="s">
        <v>2178</v>
      </c>
      <c r="C186" s="1">
        <v>45648</v>
      </c>
      <c r="D186" s="2">
        <v>0.86458333333333337</v>
      </c>
      <c r="E186" t="s">
        <v>180</v>
      </c>
      <c r="F186" t="s">
        <v>3</v>
      </c>
      <c r="G186" s="3">
        <v>0.5</v>
      </c>
      <c r="H186" s="3">
        <v>0.05</v>
      </c>
    </row>
    <row r="187" spans="1:8" x14ac:dyDescent="0.35">
      <c r="A187" t="s">
        <v>40</v>
      </c>
      <c r="B187" t="s">
        <v>2179</v>
      </c>
      <c r="C187" s="1">
        <v>45650</v>
      </c>
      <c r="D187" s="2">
        <v>0.57361111111111118</v>
      </c>
      <c r="E187" t="s">
        <v>2</v>
      </c>
      <c r="F187" t="s">
        <v>3</v>
      </c>
      <c r="G187" s="3">
        <v>18.260000000000002</v>
      </c>
      <c r="H187" s="3">
        <v>1.82</v>
      </c>
    </row>
    <row r="188" spans="1:8" x14ac:dyDescent="0.35">
      <c r="A188" t="s">
        <v>40</v>
      </c>
      <c r="B188" t="s">
        <v>2180</v>
      </c>
      <c r="C188" s="1">
        <v>45651</v>
      </c>
      <c r="D188" s="2">
        <v>0.11875000000000001</v>
      </c>
      <c r="E188" t="s">
        <v>2</v>
      </c>
      <c r="F188" t="s">
        <v>3</v>
      </c>
      <c r="G188" s="3">
        <v>20.76</v>
      </c>
      <c r="H188" s="3">
        <v>2.0699999999999998</v>
      </c>
    </row>
    <row r="189" spans="1:8" x14ac:dyDescent="0.35">
      <c r="A189" t="s">
        <v>40</v>
      </c>
      <c r="B189" t="s">
        <v>2181</v>
      </c>
      <c r="C189" s="1">
        <v>45652</v>
      </c>
      <c r="D189" s="2">
        <v>0.68888888888888899</v>
      </c>
      <c r="E189" t="s">
        <v>2</v>
      </c>
      <c r="F189" t="s">
        <v>3</v>
      </c>
      <c r="G189" s="3">
        <v>57.67</v>
      </c>
      <c r="H189" s="3">
        <v>5.75</v>
      </c>
    </row>
    <row r="190" spans="1:8" ht="15" thickBot="1" x14ac:dyDescent="0.4">
      <c r="A190" s="4" t="s">
        <v>40</v>
      </c>
      <c r="B190" s="4" t="s">
        <v>2182</v>
      </c>
      <c r="C190" s="6">
        <v>45652</v>
      </c>
      <c r="D190" s="7">
        <v>0.70138888888888884</v>
      </c>
      <c r="E190" s="4" t="s">
        <v>2</v>
      </c>
      <c r="F190" s="4" t="s">
        <v>3</v>
      </c>
      <c r="G190" s="5">
        <v>21.09</v>
      </c>
      <c r="H190" s="5">
        <v>2.1</v>
      </c>
    </row>
    <row r="191" spans="1:8" x14ac:dyDescent="0.35">
      <c r="A191" t="s">
        <v>2235</v>
      </c>
      <c r="G191" s="3">
        <f t="shared" ref="G191:H191" si="7">SUM(G169:G190)</f>
        <v>344.55</v>
      </c>
      <c r="H191" s="3">
        <f t="shared" si="7"/>
        <v>32.910000000000004</v>
      </c>
    </row>
    <row r="193" spans="1:8" ht="15.75" thickBot="1" x14ac:dyDescent="0.3"/>
    <row r="194" spans="1:8" ht="15.75" thickBot="1" x14ac:dyDescent="0.3">
      <c r="A194" s="11" t="s">
        <v>411</v>
      </c>
      <c r="B194" s="12" t="s">
        <v>163</v>
      </c>
      <c r="C194" s="12" t="s">
        <v>165</v>
      </c>
      <c r="D194" s="12" t="s">
        <v>166</v>
      </c>
      <c r="E194" s="12" t="s">
        <v>164</v>
      </c>
      <c r="F194" s="12" t="s">
        <v>167</v>
      </c>
      <c r="G194" s="12" t="s">
        <v>412</v>
      </c>
      <c r="H194" s="13" t="s">
        <v>169</v>
      </c>
    </row>
    <row r="195" spans="1:8" x14ac:dyDescent="0.35">
      <c r="A195" t="s">
        <v>148</v>
      </c>
      <c r="B195" t="s">
        <v>2183</v>
      </c>
      <c r="C195" s="1">
        <v>45628</v>
      </c>
      <c r="D195" s="2">
        <v>0.24930555555555556</v>
      </c>
      <c r="E195" t="s">
        <v>2</v>
      </c>
      <c r="F195" t="s">
        <v>3</v>
      </c>
      <c r="G195" s="3">
        <v>7</v>
      </c>
      <c r="H195" s="3">
        <v>0.63</v>
      </c>
    </row>
    <row r="196" spans="1:8" x14ac:dyDescent="0.35">
      <c r="A196" t="s">
        <v>148</v>
      </c>
      <c r="B196" t="s">
        <v>2184</v>
      </c>
      <c r="C196" s="1">
        <v>45630</v>
      </c>
      <c r="D196" s="2">
        <v>0.29652777777777778</v>
      </c>
      <c r="E196" t="s">
        <v>2</v>
      </c>
      <c r="F196" t="s">
        <v>3</v>
      </c>
      <c r="G196" s="3">
        <v>37.83</v>
      </c>
      <c r="H196" s="3">
        <v>3.4</v>
      </c>
    </row>
    <row r="197" spans="1:8" x14ac:dyDescent="0.35">
      <c r="A197" t="s">
        <v>148</v>
      </c>
      <c r="B197" t="s">
        <v>2185</v>
      </c>
      <c r="C197" s="1">
        <v>45633</v>
      </c>
      <c r="D197" s="2">
        <v>0.9</v>
      </c>
      <c r="E197" t="s">
        <v>2</v>
      </c>
      <c r="F197" t="s">
        <v>3</v>
      </c>
      <c r="G197" s="3">
        <v>37.57</v>
      </c>
      <c r="H197" s="3">
        <v>3.38</v>
      </c>
    </row>
    <row r="198" spans="1:8" x14ac:dyDescent="0.35">
      <c r="A198" t="s">
        <v>148</v>
      </c>
      <c r="B198" t="s">
        <v>2186</v>
      </c>
      <c r="C198" s="1">
        <v>45636</v>
      </c>
      <c r="D198" s="2">
        <v>0.36180555555555555</v>
      </c>
      <c r="E198" t="s">
        <v>2</v>
      </c>
      <c r="F198" t="s">
        <v>3</v>
      </c>
      <c r="G198" s="3">
        <v>29.09</v>
      </c>
      <c r="H198" s="3">
        <v>2.62</v>
      </c>
    </row>
    <row r="199" spans="1:8" x14ac:dyDescent="0.35">
      <c r="A199" t="s">
        <v>148</v>
      </c>
      <c r="B199" t="s">
        <v>2187</v>
      </c>
      <c r="C199" s="1">
        <v>45637</v>
      </c>
      <c r="D199" s="2">
        <v>2.2222222222222223E-2</v>
      </c>
      <c r="E199" t="s">
        <v>2</v>
      </c>
      <c r="F199" t="s">
        <v>3</v>
      </c>
      <c r="G199" s="3">
        <v>15.1</v>
      </c>
      <c r="H199" s="3">
        <v>1.36</v>
      </c>
    </row>
    <row r="200" spans="1:8" x14ac:dyDescent="0.35">
      <c r="A200" t="s">
        <v>148</v>
      </c>
      <c r="B200" t="s">
        <v>2188</v>
      </c>
      <c r="C200" s="1">
        <v>45637</v>
      </c>
      <c r="D200" s="2">
        <v>0.17777777777777778</v>
      </c>
      <c r="E200" t="s">
        <v>2</v>
      </c>
      <c r="F200" t="s">
        <v>3</v>
      </c>
      <c r="G200" s="3">
        <v>9.1999999999999993</v>
      </c>
      <c r="H200" s="3">
        <v>0.83</v>
      </c>
    </row>
    <row r="201" spans="1:8" x14ac:dyDescent="0.35">
      <c r="A201" t="s">
        <v>148</v>
      </c>
      <c r="B201" t="s">
        <v>2189</v>
      </c>
      <c r="C201" s="1">
        <v>45638</v>
      </c>
      <c r="D201" s="2">
        <v>3.1944444444444449E-2</v>
      </c>
      <c r="E201" t="s">
        <v>2</v>
      </c>
      <c r="F201" t="s">
        <v>3</v>
      </c>
      <c r="G201" s="3">
        <v>10</v>
      </c>
      <c r="H201" s="3">
        <v>0.9</v>
      </c>
    </row>
    <row r="202" spans="1:8" x14ac:dyDescent="0.35">
      <c r="A202" t="s">
        <v>148</v>
      </c>
      <c r="B202" t="s">
        <v>2190</v>
      </c>
      <c r="C202" s="1">
        <v>45639</v>
      </c>
      <c r="D202" s="2">
        <v>0.45555555555555555</v>
      </c>
      <c r="E202" t="s">
        <v>2</v>
      </c>
      <c r="F202" t="s">
        <v>3</v>
      </c>
      <c r="G202" s="3">
        <v>31.89</v>
      </c>
      <c r="H202" s="3">
        <v>2.87</v>
      </c>
    </row>
    <row r="203" spans="1:8" x14ac:dyDescent="0.35">
      <c r="A203" t="s">
        <v>148</v>
      </c>
      <c r="B203" t="s">
        <v>2191</v>
      </c>
      <c r="C203" s="1">
        <v>45640</v>
      </c>
      <c r="D203" s="2">
        <v>0.13333333333333333</v>
      </c>
      <c r="E203" t="s">
        <v>2</v>
      </c>
      <c r="F203" t="s">
        <v>3</v>
      </c>
      <c r="G203" s="3">
        <v>10.9</v>
      </c>
      <c r="H203" s="3">
        <v>1.0900000000000001</v>
      </c>
    </row>
    <row r="204" spans="1:8" ht="15" thickBot="1" x14ac:dyDescent="0.4">
      <c r="A204" s="4" t="s">
        <v>148</v>
      </c>
      <c r="B204" s="4" t="s">
        <v>2192</v>
      </c>
      <c r="C204" s="6">
        <v>45645</v>
      </c>
      <c r="D204" s="7">
        <v>0.36319444444444443</v>
      </c>
      <c r="E204" s="4" t="s">
        <v>2</v>
      </c>
      <c r="F204" s="4" t="s">
        <v>3</v>
      </c>
      <c r="G204" s="5">
        <v>9.8699999999999992</v>
      </c>
      <c r="H204" s="5">
        <v>0.98</v>
      </c>
    </row>
    <row r="205" spans="1:8" x14ac:dyDescent="0.35">
      <c r="A205" t="s">
        <v>2235</v>
      </c>
      <c r="G205" s="3">
        <f t="shared" ref="G205:H205" si="8">SUM(G195:G204)</f>
        <v>198.45000000000002</v>
      </c>
      <c r="H205" s="3">
        <f t="shared" si="8"/>
        <v>18.060000000000002</v>
      </c>
    </row>
    <row r="207" spans="1:8" ht="15.75" thickBot="1" x14ac:dyDescent="0.3"/>
    <row r="208" spans="1:8" ht="15.75" thickBot="1" x14ac:dyDescent="0.3">
      <c r="A208" s="11" t="s">
        <v>411</v>
      </c>
      <c r="B208" s="12" t="s">
        <v>163</v>
      </c>
      <c r="C208" s="12" t="s">
        <v>165</v>
      </c>
      <c r="D208" s="12" t="s">
        <v>166</v>
      </c>
      <c r="E208" s="12" t="s">
        <v>164</v>
      </c>
      <c r="F208" s="12" t="s">
        <v>167</v>
      </c>
      <c r="G208" s="12" t="s">
        <v>412</v>
      </c>
      <c r="H208" s="13" t="s">
        <v>169</v>
      </c>
    </row>
    <row r="209" spans="1:8" x14ac:dyDescent="0.35">
      <c r="A209" t="s">
        <v>743</v>
      </c>
      <c r="B209" t="s">
        <v>2193</v>
      </c>
      <c r="C209" s="1">
        <v>45634</v>
      </c>
      <c r="D209" s="2">
        <v>0.1875</v>
      </c>
      <c r="E209" t="s">
        <v>2</v>
      </c>
      <c r="F209" t="s">
        <v>3</v>
      </c>
      <c r="G209" s="3">
        <v>21.4</v>
      </c>
      <c r="H209" s="3">
        <v>3.2</v>
      </c>
    </row>
    <row r="210" spans="1:8" x14ac:dyDescent="0.35">
      <c r="A210" t="s">
        <v>743</v>
      </c>
      <c r="B210" t="s">
        <v>2194</v>
      </c>
      <c r="C210" s="1">
        <v>45635</v>
      </c>
      <c r="D210" s="2">
        <v>0.17847222222222223</v>
      </c>
      <c r="E210" t="s">
        <v>2</v>
      </c>
      <c r="F210" t="s">
        <v>3</v>
      </c>
      <c r="G210" s="3">
        <v>11.95</v>
      </c>
      <c r="H210" s="3">
        <v>1.79</v>
      </c>
    </row>
    <row r="211" spans="1:8" x14ac:dyDescent="0.35">
      <c r="A211" t="s">
        <v>743</v>
      </c>
      <c r="B211" t="s">
        <v>2195</v>
      </c>
      <c r="C211" s="1">
        <v>45635</v>
      </c>
      <c r="D211" s="2">
        <v>0.92708333333333337</v>
      </c>
      <c r="E211" t="s">
        <v>2</v>
      </c>
      <c r="F211" t="s">
        <v>3</v>
      </c>
      <c r="G211" s="3">
        <v>11.95</v>
      </c>
      <c r="H211" s="3">
        <v>1.79</v>
      </c>
    </row>
    <row r="212" spans="1:8" x14ac:dyDescent="0.35">
      <c r="A212" t="s">
        <v>743</v>
      </c>
      <c r="B212" t="s">
        <v>2196</v>
      </c>
      <c r="C212" s="1">
        <v>45637</v>
      </c>
      <c r="D212" s="2">
        <v>0.79513888888888884</v>
      </c>
      <c r="E212" t="s">
        <v>180</v>
      </c>
      <c r="F212" t="s">
        <v>3</v>
      </c>
      <c r="G212" s="3">
        <v>0.5</v>
      </c>
      <c r="H212" s="3">
        <v>7.0000000000000007E-2</v>
      </c>
    </row>
    <row r="213" spans="1:8" x14ac:dyDescent="0.35">
      <c r="A213" t="s">
        <v>743</v>
      </c>
      <c r="B213" t="s">
        <v>2197</v>
      </c>
      <c r="C213" s="1">
        <v>45638</v>
      </c>
      <c r="D213" s="2">
        <v>0.58263888888888882</v>
      </c>
      <c r="E213" t="s">
        <v>180</v>
      </c>
      <c r="F213" t="s">
        <v>3</v>
      </c>
      <c r="G213" s="3">
        <v>0.5</v>
      </c>
      <c r="H213" s="3">
        <v>7.0000000000000007E-2</v>
      </c>
    </row>
    <row r="214" spans="1:8" x14ac:dyDescent="0.35">
      <c r="A214" t="s">
        <v>743</v>
      </c>
      <c r="B214" t="s">
        <v>2198</v>
      </c>
      <c r="C214" s="1">
        <v>45641</v>
      </c>
      <c r="D214" s="2">
        <v>0.71180555555555547</v>
      </c>
      <c r="E214" t="s">
        <v>180</v>
      </c>
      <c r="F214" t="s">
        <v>3</v>
      </c>
      <c r="G214" s="3">
        <v>0.5</v>
      </c>
      <c r="H214" s="3">
        <v>0.05</v>
      </c>
    </row>
    <row r="215" spans="1:8" x14ac:dyDescent="0.35">
      <c r="A215" t="s">
        <v>743</v>
      </c>
      <c r="B215" t="s">
        <v>2199</v>
      </c>
      <c r="C215" s="1">
        <v>45643</v>
      </c>
      <c r="D215" s="2">
        <v>0.19444444444444445</v>
      </c>
      <c r="E215" t="s">
        <v>2</v>
      </c>
      <c r="F215" t="s">
        <v>3</v>
      </c>
      <c r="G215" s="3">
        <v>23.95</v>
      </c>
      <c r="H215" s="3">
        <v>2.39</v>
      </c>
    </row>
    <row r="216" spans="1:8" x14ac:dyDescent="0.35">
      <c r="A216" t="s">
        <v>743</v>
      </c>
      <c r="B216" t="s">
        <v>2200</v>
      </c>
      <c r="C216" s="1">
        <v>45644</v>
      </c>
      <c r="D216" s="2">
        <v>0.72638888888888886</v>
      </c>
      <c r="E216" t="s">
        <v>180</v>
      </c>
      <c r="F216" t="s">
        <v>3</v>
      </c>
      <c r="G216" s="3">
        <v>0.5</v>
      </c>
      <c r="H216" s="3">
        <v>0.05</v>
      </c>
    </row>
    <row r="217" spans="1:8" x14ac:dyDescent="0.35">
      <c r="A217" t="s">
        <v>743</v>
      </c>
      <c r="B217" t="s">
        <v>2201</v>
      </c>
      <c r="C217" s="1">
        <v>45644</v>
      </c>
      <c r="D217" s="2">
        <v>0.79027777777777775</v>
      </c>
      <c r="E217" t="s">
        <v>180</v>
      </c>
      <c r="F217" t="s">
        <v>3</v>
      </c>
      <c r="G217" s="3">
        <v>1</v>
      </c>
      <c r="H217" s="3">
        <v>0.1</v>
      </c>
    </row>
    <row r="218" spans="1:8" x14ac:dyDescent="0.35">
      <c r="A218" t="s">
        <v>743</v>
      </c>
      <c r="B218" t="s">
        <v>2202</v>
      </c>
      <c r="C218" s="1">
        <v>45646</v>
      </c>
      <c r="D218" s="2">
        <v>5.2777777777777778E-2</v>
      </c>
      <c r="E218" t="s">
        <v>2</v>
      </c>
      <c r="F218" t="s">
        <v>3</v>
      </c>
      <c r="G218" s="3">
        <v>15.2</v>
      </c>
      <c r="H218" s="3">
        <v>1.52</v>
      </c>
    </row>
    <row r="219" spans="1:8" x14ac:dyDescent="0.35">
      <c r="A219" t="s">
        <v>743</v>
      </c>
      <c r="B219" t="s">
        <v>2203</v>
      </c>
      <c r="C219" s="1">
        <v>45646</v>
      </c>
      <c r="D219" s="2">
        <v>0.11597222222222221</v>
      </c>
      <c r="E219" t="s">
        <v>2</v>
      </c>
      <c r="F219" t="s">
        <v>3</v>
      </c>
      <c r="G219" s="3">
        <v>68.92</v>
      </c>
      <c r="H219" s="3">
        <v>6.87</v>
      </c>
    </row>
    <row r="220" spans="1:8" x14ac:dyDescent="0.35">
      <c r="A220" t="s">
        <v>743</v>
      </c>
      <c r="B220" t="s">
        <v>2204</v>
      </c>
      <c r="C220" s="1">
        <v>45646</v>
      </c>
      <c r="D220" s="2">
        <v>0.9555555555555556</v>
      </c>
      <c r="E220" t="s">
        <v>2</v>
      </c>
      <c r="F220" t="s">
        <v>3</v>
      </c>
      <c r="G220" s="3">
        <v>22.32</v>
      </c>
      <c r="H220" s="3">
        <v>2.23</v>
      </c>
    </row>
    <row r="221" spans="1:8" x14ac:dyDescent="0.35">
      <c r="A221" t="s">
        <v>743</v>
      </c>
      <c r="B221" t="s">
        <v>2205</v>
      </c>
      <c r="C221" s="1">
        <v>45648</v>
      </c>
      <c r="D221" s="2">
        <v>0.64583333333333337</v>
      </c>
      <c r="E221" t="s">
        <v>180</v>
      </c>
      <c r="F221" t="s">
        <v>3</v>
      </c>
      <c r="G221" s="3">
        <v>0.5</v>
      </c>
      <c r="H221" s="3">
        <v>0.05</v>
      </c>
    </row>
    <row r="222" spans="1:8" x14ac:dyDescent="0.35">
      <c r="A222" t="s">
        <v>743</v>
      </c>
      <c r="B222" t="s">
        <v>2206</v>
      </c>
      <c r="C222" s="1">
        <v>45648</v>
      </c>
      <c r="D222" s="2">
        <v>0.65</v>
      </c>
      <c r="E222" t="s">
        <v>180</v>
      </c>
      <c r="F222" t="s">
        <v>3</v>
      </c>
      <c r="G222" s="3">
        <v>0.5</v>
      </c>
      <c r="H222" s="3">
        <v>0.05</v>
      </c>
    </row>
    <row r="223" spans="1:8" x14ac:dyDescent="0.35">
      <c r="A223" t="s">
        <v>743</v>
      </c>
      <c r="B223" t="s">
        <v>2207</v>
      </c>
      <c r="C223" s="1">
        <v>45648</v>
      </c>
      <c r="D223" s="2">
        <v>0.82500000000000007</v>
      </c>
      <c r="E223" t="s">
        <v>180</v>
      </c>
      <c r="F223" t="s">
        <v>3</v>
      </c>
      <c r="G223" s="3">
        <v>0.5</v>
      </c>
      <c r="H223" s="3">
        <v>0.05</v>
      </c>
    </row>
    <row r="224" spans="1:8" x14ac:dyDescent="0.35">
      <c r="A224" t="s">
        <v>743</v>
      </c>
      <c r="B224" t="s">
        <v>2208</v>
      </c>
      <c r="C224" s="1">
        <v>45648</v>
      </c>
      <c r="D224" s="2">
        <v>0.8652777777777777</v>
      </c>
      <c r="E224" t="s">
        <v>180</v>
      </c>
      <c r="F224" t="s">
        <v>3</v>
      </c>
      <c r="G224" s="3">
        <v>0.5</v>
      </c>
      <c r="H224" s="3">
        <v>0.05</v>
      </c>
    </row>
    <row r="225" spans="1:8" x14ac:dyDescent="0.35">
      <c r="A225" t="s">
        <v>743</v>
      </c>
      <c r="B225" t="s">
        <v>2209</v>
      </c>
      <c r="C225" s="1">
        <v>45650</v>
      </c>
      <c r="D225" s="2">
        <v>0.17708333333333334</v>
      </c>
      <c r="E225" t="s">
        <v>2</v>
      </c>
      <c r="F225" t="s">
        <v>3</v>
      </c>
      <c r="G225" s="3">
        <v>29.1</v>
      </c>
      <c r="H225" s="3">
        <v>2.9</v>
      </c>
    </row>
    <row r="226" spans="1:8" ht="15" thickBot="1" x14ac:dyDescent="0.4">
      <c r="A226" s="4" t="s">
        <v>743</v>
      </c>
      <c r="B226" s="4" t="s">
        <v>2210</v>
      </c>
      <c r="C226" s="6">
        <v>45651</v>
      </c>
      <c r="D226" s="7">
        <v>0.35972222222222222</v>
      </c>
      <c r="E226" s="4" t="s">
        <v>2</v>
      </c>
      <c r="F226" s="4" t="s">
        <v>3</v>
      </c>
      <c r="G226" s="5">
        <v>52.95</v>
      </c>
      <c r="H226" s="5">
        <v>5.28</v>
      </c>
    </row>
    <row r="227" spans="1:8" x14ac:dyDescent="0.35">
      <c r="A227" t="s">
        <v>2235</v>
      </c>
      <c r="G227" s="3">
        <f t="shared" ref="G227:H227" si="9">SUM(G209:G226)</f>
        <v>262.74</v>
      </c>
      <c r="H227" s="3">
        <f t="shared" si="9"/>
        <v>28.510000000000005</v>
      </c>
    </row>
    <row r="229" spans="1:8" ht="15.75" thickBot="1" x14ac:dyDescent="0.3"/>
    <row r="230" spans="1:8" ht="15.75" thickBot="1" x14ac:dyDescent="0.3">
      <c r="A230" s="11" t="s">
        <v>411</v>
      </c>
      <c r="B230" s="12" t="s">
        <v>163</v>
      </c>
      <c r="C230" s="12" t="s">
        <v>165</v>
      </c>
      <c r="D230" s="12" t="s">
        <v>166</v>
      </c>
      <c r="E230" s="12" t="s">
        <v>164</v>
      </c>
      <c r="F230" s="12" t="s">
        <v>167</v>
      </c>
      <c r="G230" s="12" t="s">
        <v>412</v>
      </c>
      <c r="H230" s="13" t="s">
        <v>169</v>
      </c>
    </row>
    <row r="231" spans="1:8" x14ac:dyDescent="0.35">
      <c r="A231" t="s">
        <v>403</v>
      </c>
      <c r="B231" t="s">
        <v>2211</v>
      </c>
      <c r="C231" s="1">
        <v>45628</v>
      </c>
      <c r="D231" s="2">
        <v>0.2076388888888889</v>
      </c>
      <c r="E231" t="s">
        <v>2</v>
      </c>
      <c r="F231" t="s">
        <v>3</v>
      </c>
      <c r="G231" s="3">
        <v>12.75</v>
      </c>
      <c r="H231" s="3">
        <v>1.1499999999999999</v>
      </c>
    </row>
    <row r="232" spans="1:8" x14ac:dyDescent="0.35">
      <c r="A232" t="s">
        <v>403</v>
      </c>
      <c r="B232" t="s">
        <v>2212</v>
      </c>
      <c r="C232" s="1">
        <v>45628</v>
      </c>
      <c r="D232" s="2">
        <v>0.61111111111111105</v>
      </c>
      <c r="E232" t="s">
        <v>2</v>
      </c>
      <c r="F232" t="s">
        <v>3</v>
      </c>
      <c r="G232" s="3">
        <v>12.75</v>
      </c>
      <c r="H232" s="3">
        <v>1.1499999999999999</v>
      </c>
    </row>
    <row r="233" spans="1:8" x14ac:dyDescent="0.35">
      <c r="A233" t="s">
        <v>403</v>
      </c>
      <c r="B233" t="s">
        <v>2213</v>
      </c>
      <c r="C233" s="1">
        <v>45635</v>
      </c>
      <c r="D233" s="2">
        <v>0.7993055555555556</v>
      </c>
      <c r="E233" t="s">
        <v>180</v>
      </c>
      <c r="F233" t="s">
        <v>3</v>
      </c>
      <c r="G233" s="3">
        <v>0.39</v>
      </c>
      <c r="H233" s="3">
        <v>0.04</v>
      </c>
    </row>
    <row r="234" spans="1:8" x14ac:dyDescent="0.35">
      <c r="A234" t="s">
        <v>403</v>
      </c>
      <c r="B234" t="s">
        <v>2214</v>
      </c>
      <c r="C234" s="1">
        <v>45637</v>
      </c>
      <c r="D234" s="2">
        <v>0.7909722222222223</v>
      </c>
      <c r="E234" t="s">
        <v>180</v>
      </c>
      <c r="F234" t="s">
        <v>3</v>
      </c>
      <c r="G234" s="3">
        <v>0.39</v>
      </c>
      <c r="H234" s="3">
        <v>0.04</v>
      </c>
    </row>
    <row r="235" spans="1:8" x14ac:dyDescent="0.35">
      <c r="A235" t="s">
        <v>403</v>
      </c>
      <c r="B235" t="s">
        <v>2215</v>
      </c>
      <c r="C235" s="1">
        <v>45638</v>
      </c>
      <c r="D235" s="2">
        <v>0.3</v>
      </c>
      <c r="E235" t="s">
        <v>2</v>
      </c>
      <c r="F235" t="s">
        <v>3</v>
      </c>
      <c r="G235" s="3">
        <v>15.36</v>
      </c>
      <c r="H235" s="3">
        <v>1.38</v>
      </c>
    </row>
    <row r="236" spans="1:8" x14ac:dyDescent="0.35">
      <c r="A236" t="s">
        <v>403</v>
      </c>
      <c r="B236" t="s">
        <v>2216</v>
      </c>
      <c r="C236" s="1">
        <v>45640</v>
      </c>
      <c r="D236" s="2">
        <v>0.70416666666666661</v>
      </c>
      <c r="E236" t="s">
        <v>180</v>
      </c>
      <c r="F236" t="s">
        <v>3</v>
      </c>
      <c r="G236" s="3">
        <v>0.39</v>
      </c>
      <c r="H236" s="3">
        <v>0.04</v>
      </c>
    </row>
    <row r="237" spans="1:8" x14ac:dyDescent="0.35">
      <c r="A237" t="s">
        <v>403</v>
      </c>
      <c r="B237" t="s">
        <v>2217</v>
      </c>
      <c r="C237" s="1">
        <v>45641</v>
      </c>
      <c r="D237" s="2">
        <v>0.71319444444444446</v>
      </c>
      <c r="E237" t="s">
        <v>180</v>
      </c>
      <c r="F237" t="s">
        <v>3</v>
      </c>
      <c r="G237" s="3">
        <v>0.39</v>
      </c>
      <c r="H237" s="3">
        <v>0.04</v>
      </c>
    </row>
    <row r="238" spans="1:8" x14ac:dyDescent="0.35">
      <c r="A238" t="s">
        <v>403</v>
      </c>
      <c r="B238" t="s">
        <v>2218</v>
      </c>
      <c r="C238" s="1">
        <v>45647</v>
      </c>
      <c r="D238" s="2">
        <v>0.70486111111111116</v>
      </c>
      <c r="E238" t="s">
        <v>180</v>
      </c>
      <c r="F238" t="s">
        <v>3</v>
      </c>
      <c r="G238" s="3">
        <v>0.39</v>
      </c>
      <c r="H238" s="3">
        <v>0.04</v>
      </c>
    </row>
    <row r="239" spans="1:8" x14ac:dyDescent="0.35">
      <c r="A239" t="s">
        <v>403</v>
      </c>
      <c r="B239" t="s">
        <v>2219</v>
      </c>
      <c r="C239" s="1">
        <v>45647</v>
      </c>
      <c r="D239" s="2">
        <v>0.81180555555555556</v>
      </c>
      <c r="E239" t="s">
        <v>180</v>
      </c>
      <c r="F239" t="s">
        <v>3</v>
      </c>
      <c r="G239" s="3">
        <v>0.39</v>
      </c>
      <c r="H239" s="3">
        <v>0.04</v>
      </c>
    </row>
    <row r="240" spans="1:8" x14ac:dyDescent="0.35">
      <c r="A240" t="s">
        <v>403</v>
      </c>
      <c r="B240" t="s">
        <v>2220</v>
      </c>
      <c r="C240" s="1">
        <v>45648</v>
      </c>
      <c r="D240" s="2">
        <v>0.86597222222222225</v>
      </c>
      <c r="E240" t="s">
        <v>180</v>
      </c>
      <c r="F240" t="s">
        <v>3</v>
      </c>
      <c r="G240" s="3">
        <v>0.39</v>
      </c>
      <c r="H240" s="3">
        <v>0.04</v>
      </c>
    </row>
    <row r="241" spans="1:8" x14ac:dyDescent="0.35">
      <c r="A241" t="s">
        <v>403</v>
      </c>
      <c r="B241" t="s">
        <v>2221</v>
      </c>
      <c r="C241" s="1">
        <v>45651</v>
      </c>
      <c r="D241" s="2">
        <v>0.11944444444444445</v>
      </c>
      <c r="E241" t="s">
        <v>2</v>
      </c>
      <c r="F241" t="s">
        <v>3</v>
      </c>
      <c r="G241" s="3">
        <v>12.75</v>
      </c>
      <c r="H241" s="3">
        <v>1.27</v>
      </c>
    </row>
    <row r="242" spans="1:8" x14ac:dyDescent="0.35">
      <c r="A242" t="s">
        <v>403</v>
      </c>
      <c r="B242" t="s">
        <v>2222</v>
      </c>
      <c r="C242" s="1">
        <v>45651</v>
      </c>
      <c r="D242" s="2">
        <v>0.20208333333333331</v>
      </c>
      <c r="E242" t="s">
        <v>2</v>
      </c>
      <c r="F242" t="s">
        <v>3</v>
      </c>
      <c r="G242" s="3">
        <v>12.75</v>
      </c>
      <c r="H242" s="3">
        <v>1.27</v>
      </c>
    </row>
    <row r="243" spans="1:8" x14ac:dyDescent="0.35">
      <c r="A243" t="s">
        <v>403</v>
      </c>
      <c r="B243" t="s">
        <v>2223</v>
      </c>
      <c r="C243" s="1">
        <v>45652</v>
      </c>
      <c r="D243" s="2">
        <v>8.3333333333333329E-2</v>
      </c>
      <c r="E243" t="s">
        <v>2</v>
      </c>
      <c r="F243" t="s">
        <v>3</v>
      </c>
      <c r="G243" s="3">
        <v>12.75</v>
      </c>
      <c r="H243" s="3">
        <v>1.27</v>
      </c>
    </row>
    <row r="244" spans="1:8" x14ac:dyDescent="0.35">
      <c r="A244" t="s">
        <v>403</v>
      </c>
      <c r="B244" t="s">
        <v>2224</v>
      </c>
      <c r="C244" s="1">
        <v>45653</v>
      </c>
      <c r="D244" s="2">
        <v>0.93888888888888899</v>
      </c>
      <c r="E244" t="s">
        <v>2</v>
      </c>
      <c r="F244" t="s">
        <v>3</v>
      </c>
      <c r="G244" s="3">
        <v>32</v>
      </c>
      <c r="H244" s="3">
        <v>3.19</v>
      </c>
    </row>
    <row r="245" spans="1:8" x14ac:dyDescent="0.35">
      <c r="A245" t="s">
        <v>403</v>
      </c>
      <c r="B245" t="s">
        <v>2225</v>
      </c>
      <c r="C245" s="1">
        <v>45655</v>
      </c>
      <c r="D245" s="2">
        <v>0.30972222222222223</v>
      </c>
      <c r="E245" t="s">
        <v>2</v>
      </c>
      <c r="F245" t="s">
        <v>3</v>
      </c>
      <c r="G245" s="3">
        <v>12.75</v>
      </c>
      <c r="H245" s="3">
        <v>1.27</v>
      </c>
    </row>
    <row r="246" spans="1:8" ht="15" thickBot="1" x14ac:dyDescent="0.4">
      <c r="A246" s="4" t="s">
        <v>403</v>
      </c>
      <c r="B246" s="4" t="s">
        <v>2226</v>
      </c>
      <c r="C246" s="6">
        <v>45656</v>
      </c>
      <c r="D246" s="7">
        <v>0.98958333333333337</v>
      </c>
      <c r="E246" s="4" t="s">
        <v>2</v>
      </c>
      <c r="F246" s="4" t="s">
        <v>3</v>
      </c>
      <c r="G246" s="5">
        <v>12.75</v>
      </c>
      <c r="H246" s="5">
        <v>1.27</v>
      </c>
    </row>
    <row r="247" spans="1:8" x14ac:dyDescent="0.35">
      <c r="A247" t="s">
        <v>2235</v>
      </c>
      <c r="G247" s="3">
        <f t="shared" ref="G247:H247" si="10">SUM(G231:G246)</f>
        <v>139.34</v>
      </c>
      <c r="H247" s="3">
        <f t="shared" si="10"/>
        <v>13.499999999999998</v>
      </c>
    </row>
    <row r="252" spans="1:8" x14ac:dyDescent="0.35">
      <c r="A252" t="s">
        <v>2238</v>
      </c>
      <c r="G252" s="9">
        <f>SUM(G247,G227,G205,G191,G165,G134,G110,G82,G64,G42,G19)</f>
        <v>2404.14</v>
      </c>
    </row>
    <row r="253" spans="1:8" x14ac:dyDescent="0.35">
      <c r="A253" t="s">
        <v>2239</v>
      </c>
      <c r="H253" s="9">
        <f>SUM(H247,H227,H205,H191,H165,H134,H110,H82,H64,H42,H19)</f>
        <v>235.00000000000003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Ventes total 2024</vt:lpstr>
      <vt:lpstr>Mars 24</vt:lpstr>
      <vt:lpstr>Avril 24</vt:lpstr>
      <vt:lpstr>Mai 24</vt:lpstr>
      <vt:lpstr>Juin 24</vt:lpstr>
      <vt:lpstr>Juillet 24</vt:lpstr>
      <vt:lpstr>Aout 24</vt:lpstr>
      <vt:lpstr>septembre 24</vt:lpstr>
      <vt:lpstr>Octobre 24</vt:lpstr>
      <vt:lpstr>novembre 24</vt:lpstr>
      <vt:lpstr>December 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aba.mv@outlook.com</dc:creator>
  <cp:lastModifiedBy>aba.mv@outlook.com</cp:lastModifiedBy>
  <dcterms:created xsi:type="dcterms:W3CDTF">2025-08-25T13:25:36Z</dcterms:created>
  <dcterms:modified xsi:type="dcterms:W3CDTF">2025-09-16T11:23:20Z</dcterms:modified>
</cp:coreProperties>
</file>