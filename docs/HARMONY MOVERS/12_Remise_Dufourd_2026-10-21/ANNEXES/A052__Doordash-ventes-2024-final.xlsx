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 tabRatio="733"/>
  </bookViews>
  <sheets>
    <sheet name="Ventes total 2024" sheetId="10" r:id="rId1"/>
    <sheet name="April 2024" sheetId="1" r:id="rId2"/>
    <sheet name="Mai 2024" sheetId="2" r:id="rId3"/>
    <sheet name="juin 2024" sheetId="3" r:id="rId4"/>
    <sheet name="Juillet 2024" sheetId="4" r:id="rId5"/>
    <sheet name="Aout 2024" sheetId="5" r:id="rId6"/>
    <sheet name="Sept 2024" sheetId="6" r:id="rId7"/>
    <sheet name="octobre 2024" sheetId="7" r:id="rId8"/>
    <sheet name="Novembre 2024" sheetId="8" r:id="rId9"/>
    <sheet name="Decembre 2024" sheetId="9" r:id="rId10"/>
  </sheets>
  <calcPr calcId="144525"/>
</workbook>
</file>

<file path=xl/calcChain.xml><?xml version="1.0" encoding="utf-8"?>
<calcChain xmlns="http://schemas.openxmlformats.org/spreadsheetml/2006/main">
  <c r="C15" i="10" l="1"/>
  <c r="G53" i="1"/>
  <c r="G58" i="1"/>
  <c r="E175" i="9"/>
  <c r="E171" i="9"/>
  <c r="E164" i="9"/>
  <c r="E134" i="9"/>
  <c r="E126" i="9"/>
  <c r="E119" i="9"/>
  <c r="E105" i="9"/>
  <c r="E89" i="9"/>
  <c r="E70" i="9"/>
  <c r="E54" i="9"/>
  <c r="E37" i="9"/>
  <c r="E28" i="9"/>
  <c r="E20" i="9"/>
  <c r="E16" i="9"/>
  <c r="E170" i="8"/>
  <c r="E166" i="8"/>
  <c r="E159" i="8"/>
  <c r="E124" i="8"/>
  <c r="E115" i="8"/>
  <c r="E110" i="8"/>
  <c r="E103" i="8"/>
  <c r="E91" i="8"/>
  <c r="E67" i="8"/>
  <c r="E53" i="8"/>
  <c r="E30" i="8"/>
  <c r="E23" i="8"/>
  <c r="E20" i="8"/>
  <c r="E17" i="8"/>
  <c r="E12" i="8"/>
  <c r="E186" i="7"/>
  <c r="E183" i="7"/>
  <c r="E180" i="7"/>
  <c r="E141" i="7"/>
  <c r="E137" i="7"/>
  <c r="E128" i="7"/>
  <c r="E124" i="7"/>
  <c r="E107" i="7"/>
  <c r="E47" i="7"/>
  <c r="E36" i="7"/>
  <c r="E29" i="7"/>
  <c r="E24" i="7"/>
  <c r="E19" i="7"/>
  <c r="E15" i="7"/>
  <c r="E173" i="6"/>
  <c r="E170" i="6"/>
  <c r="E165" i="6"/>
  <c r="E137" i="6"/>
  <c r="E130" i="6"/>
  <c r="E126" i="6"/>
  <c r="E118" i="6"/>
  <c r="E48" i="6"/>
  <c r="E41" i="6"/>
  <c r="E31" i="6"/>
  <c r="E28" i="6"/>
  <c r="E22" i="6"/>
  <c r="E11" i="6"/>
  <c r="E193" i="5"/>
  <c r="E189" i="5"/>
  <c r="E184" i="5"/>
  <c r="E176" i="5"/>
  <c r="E163" i="5"/>
  <c r="E76" i="5"/>
  <c r="E47" i="5"/>
  <c r="E39" i="5"/>
  <c r="E35" i="5"/>
  <c r="E28" i="5"/>
  <c r="E14" i="5"/>
  <c r="E115" i="4"/>
  <c r="E112" i="4"/>
  <c r="E108" i="4"/>
  <c r="E105" i="4"/>
  <c r="E90" i="4"/>
  <c r="E59" i="4"/>
  <c r="E42" i="4"/>
  <c r="E28" i="4"/>
  <c r="E25" i="4"/>
  <c r="E22" i="4"/>
  <c r="E10" i="4"/>
  <c r="E68" i="3"/>
  <c r="E64" i="3"/>
  <c r="E61" i="3"/>
  <c r="E58" i="3"/>
  <c r="E49" i="3"/>
  <c r="E31" i="3"/>
  <c r="E24" i="3"/>
  <c r="E17" i="3"/>
  <c r="E12" i="3"/>
  <c r="E9" i="3"/>
  <c r="E88" i="2"/>
  <c r="E83" i="2"/>
  <c r="E80" i="2"/>
  <c r="E73" i="2"/>
  <c r="E51" i="2"/>
  <c r="E38" i="2"/>
  <c r="E22" i="2"/>
  <c r="E18" i="2"/>
  <c r="E15" i="2"/>
  <c r="E10" i="2"/>
  <c r="G50" i="1"/>
  <c r="G38" i="1"/>
  <c r="G34" i="1"/>
  <c r="G25" i="1"/>
  <c r="G20" i="1"/>
  <c r="G14" i="1"/>
  <c r="G11" i="1"/>
</calcChain>
</file>

<file path=xl/sharedStrings.xml><?xml version="1.0" encoding="utf-8"?>
<sst xmlns="http://schemas.openxmlformats.org/spreadsheetml/2006/main" count="2043" uniqueCount="985">
  <si>
    <t>Order ID</t>
  </si>
  <si>
    <t>Store Name</t>
  </si>
  <si>
    <t>Order Placed Date</t>
  </si>
  <si>
    <t>Delivery Date</t>
  </si>
  <si>
    <t>Delivery Time</t>
  </si>
  <si>
    <t>Was Cancelled</t>
  </si>
  <si>
    <t>Subtotal</t>
  </si>
  <si>
    <t>01bc5c42-4de5-3001-8923-139d47cff85d</t>
  </si>
  <si>
    <t>Nutrition Shake 24/7 MontrÃ©al Nord (Bd LÃ©ger)</t>
  </si>
  <si>
    <t>033d778b-8024-3001-9bfb-c3b16e0b481b</t>
  </si>
  <si>
    <t>O'Oeuf DÃ©jeuner 24/7 MontrÃ©al-Nord (Bd LÃ©ger)</t>
  </si>
  <si>
    <t>8f159fd8-3451-3001-9dfb-0285d29a0eed</t>
  </si>
  <si>
    <t>Po-Poulet 24/7 (MontrÃ©al-Nord)</t>
  </si>
  <si>
    <t>ce47a8a0-7016-3001-acd6-208e987128c3</t>
  </si>
  <si>
    <t>505cb81c-65e5-3001-8744-95f72bd7d6cd</t>
  </si>
  <si>
    <t>d7670753-72ed-3001-8e38-886a65df6aa7</t>
  </si>
  <si>
    <t>eba9eb5d-2600-3001-8b7d-6fa8a66d5c7d</t>
  </si>
  <si>
    <t>Pi Pita 24/7 MontrÃ©al Nord (Bd LÃ©ger)</t>
  </si>
  <si>
    <t>53c2d252-215b-3001-9e59-06b8684872f7</t>
  </si>
  <si>
    <t>1e16737b-0e7b-3001-b073-144bfd6b176a</t>
  </si>
  <si>
    <t>822af5ae-f26b-3001-a2fa-05afc8f15eea</t>
  </si>
  <si>
    <t>PPP Pizzeria 24/7 MontrÃ©al-Nord (Bd LÃ©ger)</t>
  </si>
  <si>
    <t>8733ae72-c92c-3001-a799-da72f1804c37</t>
  </si>
  <si>
    <t>9e8d36d6-7717-3001-9fb2-02db556e7f18</t>
  </si>
  <si>
    <t>d7eb4cf4-4758-3001-8076-56ce7dd1fe5e</t>
  </si>
  <si>
    <t>ec5e27f4-8c29-3001-93c3-535070649cfe</t>
  </si>
  <si>
    <t>3b095c6f-9f7c-3001-a9ca-ef5ec327679f</t>
  </si>
  <si>
    <t>de656954-f20b-3001-941c-228f4d9694bd</t>
  </si>
  <si>
    <t>CrÃ©merie Bin molle &amp; Bin Dure (MontrÃ©al-Nord)</t>
  </si>
  <si>
    <t>223e94ac-6e5e-3001-bcc4-7a958e91e1a3</t>
  </si>
  <si>
    <t>97223463-215b-3001-ab8f-5d20796ab58a</t>
  </si>
  <si>
    <t>8f7e38ff-04a9-3001-a529-ad904b71c242</t>
  </si>
  <si>
    <t>Gateau La Viennoise (Bd LÃ©ger)</t>
  </si>
  <si>
    <t>e6eedcb3-e660-3001-be6a-0880017ca887</t>
  </si>
  <si>
    <t>2f046f51-df54-3001-907e-a1d064896102</t>
  </si>
  <si>
    <t>ba6a6cc9-eaa6-3001-9c16-63ce03a8c57d</t>
  </si>
  <si>
    <t>8a6ae9b1-0ee3-3001-b9bd-b875a3ff5e7f</t>
  </si>
  <si>
    <t>39fdf091-b1ce-3001-b6f5-7eb20065921b</t>
  </si>
  <si>
    <t>af2273bd-9900-3001-8a12-7253a2df25e8</t>
  </si>
  <si>
    <t>a37f14f1-9c6a-3001-88fe-f71e5284bebd</t>
  </si>
  <si>
    <t>a93968c2-b3d5-3001-9153-fd87328dbdea</t>
  </si>
  <si>
    <t>1e70f060-2d04-3001-a970-10a712464050</t>
  </si>
  <si>
    <t>1037f36a-74de-3001-9b80-32eb12220742</t>
  </si>
  <si>
    <t>Pizza Intime 24/7 (MontrÃ©al nord)</t>
  </si>
  <si>
    <t>6d8b5f2c-4dd9-3001-999b-beca862c0956</t>
  </si>
  <si>
    <t>154e0652-48fb-3001-afb6-1b6da6262c9b</t>
  </si>
  <si>
    <t>1ed2739d-d133-3001-9f9e-6841cb396ca6</t>
  </si>
  <si>
    <t>4b05d735-431e-3001-8841-6e51eeaf1174</t>
  </si>
  <si>
    <t>ba41574e-57d8-3001-ad8e-6fb99bff1fde</t>
  </si>
  <si>
    <t>eb7f8ba4-3da9-3001-bc1d-77d0e88d545a</t>
  </si>
  <si>
    <t>9135b44e-68ff-3001-9fa7-876d6f9292fc</t>
  </si>
  <si>
    <t xml:space="preserve"> O'CrÃªpe 24/7 MontrÃ©al-Nord (Bd LÃ©ger)</t>
  </si>
  <si>
    <t>ca1ff882-e533-3001-84f1-73814bd29e5a</t>
  </si>
  <si>
    <t>07d9339a-22b2-3001-9b2b-b7b7c5139493</t>
  </si>
  <si>
    <t>9cf2e240-7ae8-3001-b1e0-783c0136b5f8</t>
  </si>
  <si>
    <t>d6672690-882b-3001-9efe-d086311eb0f7</t>
  </si>
  <si>
    <t>504a32bb-659a-3001-b299-18d3924e6aa5</t>
  </si>
  <si>
    <t>27c008e7-63c3-3001-9c22-060a8005b1b7</t>
  </si>
  <si>
    <t>52bc6111-73f0-3001-9da1-eb0f961e4ec5</t>
  </si>
  <si>
    <t>c1fdab62-d144-3001-91e4-41ee674bdbc8</t>
  </si>
  <si>
    <t>ddf8c06d-3215-3001-b3ce-ae7b109e0b22</t>
  </si>
  <si>
    <t>21d8f018-dd9b-3001-8f8b-a0df40bff289</t>
  </si>
  <si>
    <t>7ac50c3f-6b2c-3001-8497-61f945809cd3</t>
  </si>
  <si>
    <t>7744d266-e852-3001-b49c-71f967cd3402</t>
  </si>
  <si>
    <t>e3e9c3a7-161e-3001-8d21-4ca76c33a362</t>
  </si>
  <si>
    <t>5029a2de-95b8-3001-992b-a23ce0f94186</t>
  </si>
  <si>
    <t>377cab40-f5e6-3001-bf45-a4c6c22ca1c6</t>
  </si>
  <si>
    <t>fa0be5b1-6204-3001-8ee8-4522f51b8a96</t>
  </si>
  <si>
    <t>77bbd3cc-05e1-3001-aef7-c122ad28331b</t>
  </si>
  <si>
    <t>b8b970ad-e9fd-3001-9e7e-9a444a86f256</t>
  </si>
  <si>
    <t>9726558b-a5a8-3001-9750-56a8d17bce37</t>
  </si>
  <si>
    <t>1184fcba-c4dc-3001-b524-d67e766e4b78</t>
  </si>
  <si>
    <t>b7f3b6ba-23c9-3001-87b2-d9143b28738b</t>
  </si>
  <si>
    <t>430c4edc-ec82-3001-ae70-bc710ed8d353</t>
  </si>
  <si>
    <t>e1467a49-7158-3001-8f08-e0392067356a</t>
  </si>
  <si>
    <t>757ce6b0-36f4-3001-bae9-509378bdd70e</t>
  </si>
  <si>
    <t>c8678bd3-a8e0-3001-9f9a-229cf9e78bd1</t>
  </si>
  <si>
    <t>c2216875-3111-3001-9146-d90550d66590</t>
  </si>
  <si>
    <t>9a0d5ac4-be67-3001-94b1-c53f14b0c529</t>
  </si>
  <si>
    <t>9d766094-f997-3001-a4b9-cef49882d548</t>
  </si>
  <si>
    <t>467bfc37-6264-3001-ba73-2834eb7554a0</t>
  </si>
  <si>
    <t>0d5129c5-650b-3001-91bd-1967e424b2c8</t>
  </si>
  <si>
    <t>866d958e-2131-3001-a50a-118d0f7a03e5</t>
  </si>
  <si>
    <t>3e73dec6-5b43-3001-bad6-f268d9bbdc6d</t>
  </si>
  <si>
    <t>9dd0208c-ae73-3001-95bc-121d5d80493a</t>
  </si>
  <si>
    <t>8e5569b4-1b60-3001-8c24-7df1906ed1bf</t>
  </si>
  <si>
    <t>4f0f3898-55ef-3001-9bf8-2fae8fe54e10</t>
  </si>
  <si>
    <t>3a8558ab-1965-3001-9b76-8b8ade5c2c3b</t>
  </si>
  <si>
    <t>6fd49593-d5b9-3001-9aec-241df3a68a8c</t>
  </si>
  <si>
    <t>d169086d-fac4-3001-805a-34db05ba23c3</t>
  </si>
  <si>
    <t>8ff9f020-0a66-3001-833b-bc929e0b24d6</t>
  </si>
  <si>
    <t>005cedd8-a953-3001-be4b-43150b590dbb</t>
  </si>
  <si>
    <t>fb6be9ba-a50e-3001-894d-a2ddb81c63c5</t>
  </si>
  <si>
    <t>9711c200-147a-3001-935e-fb91c06ea89f</t>
  </si>
  <si>
    <t>c4ddfd11-e695-3001-bfe8-dbd517ebbc3c</t>
  </si>
  <si>
    <t>936af439-cf1a-3001-8497-5cc6f55d8345</t>
  </si>
  <si>
    <t>f573d427-883c-3001-9529-78d560230483</t>
  </si>
  <si>
    <t>fa1e177f-dcf6-3001-98a4-b0b21bf10792</t>
  </si>
  <si>
    <t>bf8cae3b-bd04-3001-a054-6e8803cacfbd</t>
  </si>
  <si>
    <t>d2836ba6-8c5f-3001-b5c0-2706b1709aa3</t>
  </si>
  <si>
    <t>ab0149cc-9327-3001-995d-47386f96f792</t>
  </si>
  <si>
    <t>a3570081-6d20-3001-9fb7-db55419ff934</t>
  </si>
  <si>
    <t>98b6cd33-6bd3-3001-a3dd-1978e8faa664</t>
  </si>
  <si>
    <t>b5b0ef8d-ef77-3001-a294-aee9fcc792e3</t>
  </si>
  <si>
    <t>Pita Labanais 24/7 (Bd LÃ©ger)</t>
  </si>
  <si>
    <t>eef90a0d-4019-3001-8642-34adc0c14e54</t>
  </si>
  <si>
    <t>a8bb4a47-0284-3001-a63a-7ae65443477d</t>
  </si>
  <si>
    <t>c83655a5-b737-3001-b7ed-ee8138b80e66</t>
  </si>
  <si>
    <t>9cb1dc1f-6ca6-3001-a707-09d813fc743c</t>
  </si>
  <si>
    <t>e06da2a5-2644-3001-a971-c85785935816</t>
  </si>
  <si>
    <t>ac74012a-dbd7-3001-8a30-791cb345d73c</t>
  </si>
  <si>
    <t>60cc3c0f-ea35-3001-87ac-7e3bb9583656</t>
  </si>
  <si>
    <t>1f32fd55-9da8-3001-860e-d8f8c25b2489</t>
  </si>
  <si>
    <t>3b2f3c68-3935-3001-82e5-50b23acbdd9c</t>
  </si>
  <si>
    <t>8e53b30b-1f4a-3001-85fa-7ab9350d74bc</t>
  </si>
  <si>
    <t>60945d7c-6254-3001-9c16-668516595500</t>
  </si>
  <si>
    <t>3ff4f6c2-5dc4-3001-91a3-156556e15009</t>
  </si>
  <si>
    <t>9090d7e8-6c91-3001-8544-fd3bf69f5d29</t>
  </si>
  <si>
    <t>550722b3-4b40-3001-b99b-04614ce380bc</t>
  </si>
  <si>
    <t>55a80534-b5b0-3001-84e5-fd5bffb1a1f3</t>
  </si>
  <si>
    <t>7d16790b-c3e2-3001-827f-efe973a821e0</t>
  </si>
  <si>
    <t>a897f4d8-027b-3001-8657-1d65f230d67c</t>
  </si>
  <si>
    <t>6e0fbe61-a7e6-3001-b3c3-40e1974400f4</t>
  </si>
  <si>
    <t>af22cc34-20e9-3001-a534-52a947a5324d</t>
  </si>
  <si>
    <t>4d9f5546-a03a-3001-bb3d-679fc342e8eb</t>
  </si>
  <si>
    <t>3baea72d-eaf2-3001-bcf6-887cbdc5708c</t>
  </si>
  <si>
    <t>692e2a1e-b5a0-3001-94f7-cba8106436bb</t>
  </si>
  <si>
    <t>83d1d5bc-6a44-3001-8bdc-bbd042b5f924</t>
  </si>
  <si>
    <t>419f7947-ce7d-3001-aaa8-8f8d8e7ac8a2</t>
  </si>
  <si>
    <t>13a31f27-7950-3001-ba1c-566668e5b535</t>
  </si>
  <si>
    <t>a47db31c-7577-3001-bb88-8889d1e2a63e</t>
  </si>
  <si>
    <t>039b52ba-48ec-3001-bf69-a6e0b7c06f67</t>
  </si>
  <si>
    <t>77acf0f7-9e20-3001-b67e-eb0e3ccd0ed6</t>
  </si>
  <si>
    <t>5c3d26f6-bb70-3001-b6e9-30d258a5842d</t>
  </si>
  <si>
    <t>93e73e21-b6c3-3001-998b-026c7b392a41</t>
  </si>
  <si>
    <t>241b4c01-6428-3001-ba1f-9b7f64c0fe7e</t>
  </si>
  <si>
    <t>9e667b92-9d61-3001-9b2f-5eeca0882701</t>
  </si>
  <si>
    <t>63e6a403-ef93-3001-9da8-48052c3011e3</t>
  </si>
  <si>
    <t>64d5c64e-2712-3001-bf84-c33a16f5c26f</t>
  </si>
  <si>
    <t>6f05f8ca-dce3-3001-9464-dc0ca44f97ba</t>
  </si>
  <si>
    <t>07c0d66c-72ec-3001-94df-95b31c053f76</t>
  </si>
  <si>
    <t>cfc5889a-609f-3001-8c6f-73f765a80894</t>
  </si>
  <si>
    <t>46b4da9c-9d9a-3001-b72b-66b9a63cadb8</t>
  </si>
  <si>
    <t>e6fa2434-3022-3001-a1f6-3c0410c116d4</t>
  </si>
  <si>
    <t>Dejeuner 24/7 (Bd LÃ©ger)</t>
  </si>
  <si>
    <t>4d6d939a-79b4-3001-a21e-f67d44d59a57</t>
  </si>
  <si>
    <t>3a125fc4-cccc-3001-bb38-63b0fc84f4da</t>
  </si>
  <si>
    <t>2fde1294-dc39-3001-9636-981f1747c431</t>
  </si>
  <si>
    <t>fabe2cc4-1130-3001-8073-b6609386a51a</t>
  </si>
  <si>
    <t>057ef928-df5f-3001-a7fc-17c9412cb595</t>
  </si>
  <si>
    <t>480d4eb1-53fd-3001-83a3-fbe6c66fa986</t>
  </si>
  <si>
    <t>3fc10c54-dc93-3001-99b7-48a70239be37</t>
  </si>
  <si>
    <t>5e8627aa-fb7e-3001-9b21-1dc5825a1e5d</t>
  </si>
  <si>
    <t>3a76fe46-33f3-3001-94a1-1a8ebe0befbe</t>
  </si>
  <si>
    <t>44383d96-27d9-3001-a48b-1ac44e1e5079</t>
  </si>
  <si>
    <t>83625d23-80d4-3001-90dd-8efd1f0c06fe</t>
  </si>
  <si>
    <t>4dc63ad3-40a0-3001-a7a3-0d68b4e0ac2d</t>
  </si>
  <si>
    <t>3916bc64-c072-3001-be4f-7d78f760aa59</t>
  </si>
  <si>
    <t>75326b3b-b5d9-3001-a3e0-ced226248c55</t>
  </si>
  <si>
    <t>58ec1387-1089-3001-a544-5bbda12b230f</t>
  </si>
  <si>
    <t>a80175d7-a5c0-3001-92a2-06a5891214eb</t>
  </si>
  <si>
    <t>4c179cda-f9cd-3001-a42a-07455d285f3a</t>
  </si>
  <si>
    <t>f19db267-e01b-3001-8507-1f6ad392d3d7</t>
  </si>
  <si>
    <t>3a717d3b-be62-3001-ab3b-f90518461d19</t>
  </si>
  <si>
    <t>14710d10-96ae-3001-861d-de6652d2e190</t>
  </si>
  <si>
    <t>b0d1d36c-ac35-3001-8b56-4901259491bc</t>
  </si>
  <si>
    <t>73c35dc1-9be4-3001-b68e-4b3b4ba41aad</t>
  </si>
  <si>
    <t>287f469f-a7da-3001-8389-6a8644b602af</t>
  </si>
  <si>
    <t>1ac23349-ab6a-3001-bfd7-2a9c7290638c</t>
  </si>
  <si>
    <t>e618a35c-e201-3001-9825-a0a156e960fb</t>
  </si>
  <si>
    <t>5c8232b2-fd81-3001-82fe-8ece3a35c648</t>
  </si>
  <si>
    <t>b5619e55-782f-3001-b7fc-24686a22916a</t>
  </si>
  <si>
    <t>9f03d5b1-bbfd-3001-97cb-a5da7e0d1afd</t>
  </si>
  <si>
    <t>3bb0990e-9ed6-3001-9c7e-42ff9b717a98</t>
  </si>
  <si>
    <t>e9c28a05-4bd4-3001-8ae5-71d010a79fe9</t>
  </si>
  <si>
    <t>4c2fa43e-e757-3001-a422-62e83faf7446</t>
  </si>
  <si>
    <t>da082ee4-df05-3001-99ff-ced5374a49af</t>
  </si>
  <si>
    <t>f08f2995-eb56-3001-8aa8-8fadba97cc49</t>
  </si>
  <si>
    <t>7acf6143-b365-3001-9dfc-8af16c868531</t>
  </si>
  <si>
    <t>f0be7a60-94f8-3001-8e22-b39a5cf3f04f</t>
  </si>
  <si>
    <t>5b944fb1-503e-3001-bfe6-aafee53d94f1</t>
  </si>
  <si>
    <t>11b73fbb-3eb3-3001-890d-d961df294fec</t>
  </si>
  <si>
    <t>9205b2ae-1eaa-3001-a7ad-a7f894be9407</t>
  </si>
  <si>
    <t>7645482c-c5ae-3001-bddb-92dd47518ed0</t>
  </si>
  <si>
    <t>9c31cf38-14d4-3001-9b2b-7c93c78a728b</t>
  </si>
  <si>
    <t>e39c6de1-8b6e-3001-b59c-babc95beec7d</t>
  </si>
  <si>
    <t>14a11a22-4f6c-3001-a531-32efae8d3e0d</t>
  </si>
  <si>
    <t>9d7475f7-3cf3-3001-8b08-3db040fc2a9f</t>
  </si>
  <si>
    <t>87cc9dcd-3e14-3001-b90d-f6abc4237356</t>
  </si>
  <si>
    <t>153372e2-35bc-3001-9562-fe1617f86e38</t>
  </si>
  <si>
    <t>1ebee68d-6249-3001-b2cc-6f5545777ebb</t>
  </si>
  <si>
    <t>e2b4ca57-cbec-3001-b409-67d372c11123</t>
  </si>
  <si>
    <t>329d504d-490f-3001-813a-309a4eed8170</t>
  </si>
  <si>
    <t>8d07a227-3f1b-3001-ae8d-b2784797f0bb</t>
  </si>
  <si>
    <t>0c0a8f63-0cc2-3001-ace9-c86cefb3e54e</t>
  </si>
  <si>
    <t>7811c18a-3a9d-3001-bdec-7f68f4211cc8</t>
  </si>
  <si>
    <t>f57cdffe-0f5e-3001-9cc3-6f560398a961</t>
  </si>
  <si>
    <t>26f0cf94-0e13-3001-b5e4-1c4391a5c524</t>
  </si>
  <si>
    <t>be8a55f9-3f6a-3001-97f8-bcb4a1f9e1b2</t>
  </si>
  <si>
    <t>fd1dbeb7-522e-3001-8883-b9fcdd6bf9b6</t>
  </si>
  <si>
    <t>a80b90eb-6874-3001-b09a-c6f634be5b66</t>
  </si>
  <si>
    <t>c8d49375-58ec-3001-acb1-0cd55485fe44</t>
  </si>
  <si>
    <t>406ad6f6-4e36-3001-a2fa-0b2f5b6d8273</t>
  </si>
  <si>
    <t>9217ae28-3adf-3001-9a29-9e69d97a865e</t>
  </si>
  <si>
    <t>f8f37110-d19e-3001-b0b1-8ddff48148ce</t>
  </si>
  <si>
    <t>325821f3-741d-3001-8ab5-65340b2f9c79</t>
  </si>
  <si>
    <t>f9a2be62-7a38-3001-99d2-9092a36d94fa</t>
  </si>
  <si>
    <t>94e6cff2-2f2b-3001-ad39-6d9904258683</t>
  </si>
  <si>
    <t>62061d07-bf3e-3001-8026-433e8826361b</t>
  </si>
  <si>
    <t>50414ed8-f7e4-3001-88c5-90fedac69a66</t>
  </si>
  <si>
    <t>8d393cd5-11c6-3001-99ae-c2a5718c6ada</t>
  </si>
  <si>
    <t>3ba05ab4-b7f9-3001-b540-3e1aa3d6c925</t>
  </si>
  <si>
    <t>3c229885-793a-3001-8c95-fbc5ded03e3b</t>
  </si>
  <si>
    <t>62581f71-b3fc-3001-b307-9676699c386d</t>
  </si>
  <si>
    <t>aac2f3e4-71ef-3001-9f48-113bba5b9391</t>
  </si>
  <si>
    <t>abc5cb68-2c56-3001-a4db-2547a51b1e4a</t>
  </si>
  <si>
    <t>011c7967-f3b3-3001-a4b9-dd86ec52bce8</t>
  </si>
  <si>
    <t>89f93d0b-1841-3001-a3b6-c514d133df08</t>
  </si>
  <si>
    <t>847838f2-958f-3001-accd-54356e385e5e</t>
  </si>
  <si>
    <t>f965df45-ab38-3001-9959-010b28f5868a</t>
  </si>
  <si>
    <t>adde80cb-6634-3001-a834-81a9790520dd</t>
  </si>
  <si>
    <t>c2373558-b8ba-3001-bab0-8332043ac0b9</t>
  </si>
  <si>
    <t>fc06bf29-2f85-3001-b1e6-90a6d6af4e94</t>
  </si>
  <si>
    <t>4bdae1ad-4179-3001-a99d-7c863e60e0ad</t>
  </si>
  <si>
    <t>8400a379-e64f-3001-a2e9-a2c2be2f080e</t>
  </si>
  <si>
    <t>72a0aa1c-893a-3001-8690-0956678bd28f</t>
  </si>
  <si>
    <t>3a834b1c-722a-3001-8157-04281822482a</t>
  </si>
  <si>
    <t>73b17dab-3e78-3001-9737-5f267d125196</t>
  </si>
  <si>
    <t>70d9bd5c-82f1-3001-84fb-b1723d893079</t>
  </si>
  <si>
    <t>ca026ee7-9e20-3001-a45d-a47cdc553054</t>
  </si>
  <si>
    <t>19051376-cc8b-3001-a1e6-e51797d969b7</t>
  </si>
  <si>
    <t>08d99477-6078-3001-9797-d1ebc8ca45b5</t>
  </si>
  <si>
    <t>3f5c5ba1-1543-3001-ad3a-d9b4fdb844fb</t>
  </si>
  <si>
    <t>3b8cecb9-c4fa-3001-adc2-d557e7ec7bfa</t>
  </si>
  <si>
    <t>29260090-a2c7-3001-9697-04373c862763</t>
  </si>
  <si>
    <t>e1b67244-8acd-3001-b10f-ac88b951dd7e</t>
  </si>
  <si>
    <t>05208fa0-6584-3001-9693-79cd972e9f41</t>
  </si>
  <si>
    <t>bd7c164e-030f-3001-ab91-4ec4651e2e45</t>
  </si>
  <si>
    <t>23aa051a-264b-3001-a0bc-f386fa8a2e27</t>
  </si>
  <si>
    <t>ffa83157-503e-3001-84fc-20dbc5af9131</t>
  </si>
  <si>
    <t>070c18a4-5778-3001-b4a8-ab7b799b22d9</t>
  </si>
  <si>
    <t>6e38a528-ef93-3001-ac30-248003eda84f</t>
  </si>
  <si>
    <t>efa31a0b-755f-3001-ab74-834a04347db1</t>
  </si>
  <si>
    <t>6ea9cb15-64d0-3001-b1ea-bf2957bf66ea</t>
  </si>
  <si>
    <t>07c2976b-5807-3001-8eaf-7f5ab6275d04</t>
  </si>
  <si>
    <t>018ddde4-d2c3-3001-91b0-5b73eec46372</t>
  </si>
  <si>
    <t>fb93ba34-22df-3001-8323-453a221e3eec</t>
  </si>
  <si>
    <t>adde3f4f-991b-3001-a23d-001b100b1e08</t>
  </si>
  <si>
    <t>09a8593a-5afd-3001-8e33-fdfeb69687e8</t>
  </si>
  <si>
    <t>4e1cb23e-16ce-3001-bbb7-5f6e69b7dfe3</t>
  </si>
  <si>
    <t>8eccff14-4381-3001-a024-25df315219b0</t>
  </si>
  <si>
    <t>62640f4f-6b2c-3001-9af7-47a0f90dbe87</t>
  </si>
  <si>
    <t>1817570e-0105-3001-b3b5-b98f6599e8cd</t>
  </si>
  <si>
    <t>2b9737c9-3010-3001-8271-66debef3fd0b</t>
  </si>
  <si>
    <t>08abfeef-766a-3001-a632-caeb4b89eca2</t>
  </si>
  <si>
    <t>6389639f-d933-3001-b5f4-6c21f24fd304</t>
  </si>
  <si>
    <t>02d7133d-2bc7-3001-a0ff-be3aec182e22</t>
  </si>
  <si>
    <t>72f2b4b2-326f-3001-85e1-3640f8a4532e</t>
  </si>
  <si>
    <t>52dc8b9c-ca64-3001-a4c4-9a582afbffb9</t>
  </si>
  <si>
    <t>d6237862-7c7d-3001-b57b-e94350625eaf</t>
  </si>
  <si>
    <t>8296a507-bacc-3001-b949-43ae7149d3e1</t>
  </si>
  <si>
    <t>6975e0fb-d997-3001-9449-f3383420e187</t>
  </si>
  <si>
    <t>f5c71bc6-a43a-3001-9718-79eee2770059</t>
  </si>
  <si>
    <t>1552f3fe-4d18-3001-8c3d-62cbe9afcce0</t>
  </si>
  <si>
    <t>3b2de54b-6653-3001-8115-101d6f5c4e5f</t>
  </si>
  <si>
    <t>4867d714-3d27-3001-8bd6-18320f1d728a</t>
  </si>
  <si>
    <t>33c9dfb5-cc17-3001-9f50-85f810df4ccc</t>
  </si>
  <si>
    <t>ce69da96-4d64-3001-a3fe-5ee8f1b4579f</t>
  </si>
  <si>
    <t>31ccf386-68fe-3001-af05-45a2560d36bd</t>
  </si>
  <si>
    <t>c3135ba9-a516-3001-b054-df485fd8319c</t>
  </si>
  <si>
    <t>248fa67b-56bf-3001-b6c6-5e93b6b97cc1</t>
  </si>
  <si>
    <t>60e7ad1a-8401-3001-95e4-2a874ec0d54f</t>
  </si>
  <si>
    <t>be5310a7-393a-3001-83ef-54a0a249aa6f</t>
  </si>
  <si>
    <t>e49909c8-75fa-3001-9d6e-3634c264c356</t>
  </si>
  <si>
    <t>deebcf5c-c7d1-3001-a26f-04a28243d7a3</t>
  </si>
  <si>
    <t>db2375e3-7897-3001-9de8-381737d99db0</t>
  </si>
  <si>
    <t>e82539e7-53c1-3001-ae12-c1634d34029c</t>
  </si>
  <si>
    <t>727c5cec-0df1-3001-bbed-69cc643534eb</t>
  </si>
  <si>
    <t>03d06b80-1020-3001-9934-811ead22af52</t>
  </si>
  <si>
    <t>7f0ec90d-06ca-3001-85ac-1a35e23a073c</t>
  </si>
  <si>
    <t>8d19ce23-e8f1-3001-aa50-f90bf51b0b72</t>
  </si>
  <si>
    <t>ac4a14d3-042a-3001-b48b-11ca9d0b1a5f</t>
  </si>
  <si>
    <t>2361af49-f7a5-3001-aa0d-55115d86f783</t>
  </si>
  <si>
    <t>9cc33cc4-2219-3001-a376-8cf8cb634d00</t>
  </si>
  <si>
    <t>3387948c-660c-3001-a8e2-650390a5578a</t>
  </si>
  <si>
    <t>8cc5b31e-9b10-3001-8cbe-53adff78b32d</t>
  </si>
  <si>
    <t>fd4e87cb-ed25-3001-ad74-4858c6a43ef8</t>
  </si>
  <si>
    <t>1568ead3-5644-3001-8814-b6493aba1461</t>
  </si>
  <si>
    <t>a89da459-c16c-3001-bfe1-77543cf3a603</t>
  </si>
  <si>
    <t>0a22a6b2-fcf3-3001-b21d-199323a53927</t>
  </si>
  <si>
    <t>5d47ba2d-aed0-3001-8cf2-9094b3fdde63</t>
  </si>
  <si>
    <t>6b7ea0a3-d8fc-3001-9d05-b1c34bf3fe71</t>
  </si>
  <si>
    <t>3457500f-ed12-3001-beeb-91fd826b5e44</t>
  </si>
  <si>
    <t>b648368b-86d4-3001-8561-7a8a9df31fa5</t>
  </si>
  <si>
    <t>40635d31-ae6e-3001-b508-72e7ebd2bd4e</t>
  </si>
  <si>
    <t>ae0f3acf-d8f0-3001-96e2-d4101c8caf0d</t>
  </si>
  <si>
    <t>0623b7d0-de5a-3001-a49b-deda63aa48eb</t>
  </si>
  <si>
    <t>84b27dfd-fd49-3001-9811-e673b3ccb3df</t>
  </si>
  <si>
    <t>f878a113-cb25-3001-b48e-5d35ab12899c</t>
  </si>
  <si>
    <t>a6fa45f9-1ecc-3001-a623-00d3d8ff3c1e</t>
  </si>
  <si>
    <t>a89552c0-3c3a-3001-ab35-5112eb23fc98</t>
  </si>
  <si>
    <t>de08fa65-9552-3001-a87d-1d45f791f380</t>
  </si>
  <si>
    <t>a98da670-0e04-3001-9131-3ed253616d6e</t>
  </si>
  <si>
    <t>3db59ce4-a73c-3001-83f8-7c3a2a5a3931</t>
  </si>
  <si>
    <t>942e01c1-0eed-3001-a850-88348efd7b07</t>
  </si>
  <si>
    <t>d4c2dbe5-c808-3001-92ff-eda7edb55a33</t>
  </si>
  <si>
    <t>7ca2dd4a-e33a-3001-952c-981e2b5cae78</t>
  </si>
  <si>
    <t>3e403509-caee-3001-9ebe-72737dcce6d0</t>
  </si>
  <si>
    <t>277f3c0d-496f-3001-ac29-fb1967e16bb4</t>
  </si>
  <si>
    <t>cf211dcc-9cd5-3001-969d-849be2602f0c</t>
  </si>
  <si>
    <t>70677374-c0d2-3001-a19b-46764e7924b9</t>
  </si>
  <si>
    <t>0eae275b-4001-3001-a54c-ccb11a980257</t>
  </si>
  <si>
    <t>07321f82-1ac6-3001-b2f5-30f180acbe6f</t>
  </si>
  <si>
    <t>c8fc69c9-855a-3001-a1da-a60d09ff3967</t>
  </si>
  <si>
    <t>58116782-0a63-3001-990f-564e8729cdf9</t>
  </si>
  <si>
    <t>41ec2000-173f-3001-8059-f2cb8d9ed436</t>
  </si>
  <si>
    <t>1c1a354e-b4c1-3001-bbcf-4586347d6259</t>
  </si>
  <si>
    <t>e8d88b06-82bf-3001-b222-6e3205a607ca</t>
  </si>
  <si>
    <t>9bee6ae9-b1b9-3001-9faa-0e0c587a2890</t>
  </si>
  <si>
    <t>fad58489-c1b3-3001-91db-c17c93c5b5d8</t>
  </si>
  <si>
    <t>4a485015-d7d9-3001-a42b-b66fd7e98378</t>
  </si>
  <si>
    <t>38946792-f637-3001-ba65-7ff8cf54935f</t>
  </si>
  <si>
    <t>aabda10e-c626-3001-bd33-03e67ae7b2de</t>
  </si>
  <si>
    <t>0eb29cd7-ce7c-3001-9a14-f4740055d8a3</t>
  </si>
  <si>
    <t>e941cd85-10bc-3001-a599-b57faddd2c70</t>
  </si>
  <si>
    <t>6b05c2a4-d084-3001-a0b4-21ada3661e5e</t>
  </si>
  <si>
    <t>faa44369-0cc8-3001-a111-ab4451c259fc</t>
  </si>
  <si>
    <t>493bcbf3-b0b3-3001-bef9-e51f2aa082be</t>
  </si>
  <si>
    <t>6f6777ba-2a58-3001-9298-80309e2c3f99</t>
  </si>
  <si>
    <t>6e290d42-64e7-3001-8b34-2b4115581099</t>
  </si>
  <si>
    <t>0acc7ed0-ecfd-3001-9a21-914a40293a20</t>
  </si>
  <si>
    <t>65761398-3e3f-3001-a2e8-e4f48e22590f</t>
  </si>
  <si>
    <t>c8333c7a-1b32-3001-9a80-45307ef77402</t>
  </si>
  <si>
    <t>08525b63-891f-3001-9cf8-80e1afbae086</t>
  </si>
  <si>
    <t>d6208adb-a73b-3001-b1db-de3225d3ccf4</t>
  </si>
  <si>
    <t>0d63fefa-ea3d-3001-843c-8b12e2cf79a3</t>
  </si>
  <si>
    <t>87b5f047-04a5-3001-9bc1-9c3737a15f0b</t>
  </si>
  <si>
    <t>4989e7eb-e437-3001-8a54-c9df28e98187</t>
  </si>
  <si>
    <t>615e0e39-c7ab-3001-94cf-edf46c5c55d9</t>
  </si>
  <si>
    <t>91b65841-75f9-3001-a554-ed8ce64726cd</t>
  </si>
  <si>
    <t>c647baf2-bfb6-3001-95c1-39502c129e50</t>
  </si>
  <si>
    <t>6cbaf0c8-f43a-3001-808a-5324b38ec00b</t>
  </si>
  <si>
    <t>64c0c7bc-657b-3001-a267-89cbafb9f01c</t>
  </si>
  <si>
    <t>8469a4ca-bc63-3001-bf43-73562ab806d3</t>
  </si>
  <si>
    <t>c92dca10-9bc2-3001-935d-894d92ef4872</t>
  </si>
  <si>
    <t>7c88cfa7-6c10-3001-b64c-6fc094d7bdd0</t>
  </si>
  <si>
    <t>4058176d-fcbe-3001-bde3-55bac51d5910</t>
  </si>
  <si>
    <t>19a02a7f-d539-3001-b6b5-72637f972910</t>
  </si>
  <si>
    <t>7b24f75e-ef3d-3001-9407-9391436f4ac5</t>
  </si>
  <si>
    <t>ba8638e3-f3d9-3001-ace9-bdb0865ceb2a</t>
  </si>
  <si>
    <t>3c1acef6-f7f8-3001-aa08-7eed623d81e2</t>
  </si>
  <si>
    <t>c5d5a409-c8ef-3001-a06c-c7d13d82afb7</t>
  </si>
  <si>
    <t>5f3eeeaf-2989-3001-8035-22abc24b070e</t>
  </si>
  <si>
    <t>b8eff5b2-1dc4-3001-b6cc-247a546eb6d8</t>
  </si>
  <si>
    <t>8371313a-4008-3001-b781-f859bbf052a6</t>
  </si>
  <si>
    <t>fb631dbe-62ec-3001-ade6-6fba53d7ff4d</t>
  </si>
  <si>
    <t>5bd3bf03-dfee-3001-b5e3-fb7b35272847</t>
  </si>
  <si>
    <t>e471bc81-7154-3001-ab31-ce61d02c1892</t>
  </si>
  <si>
    <t>502e2bb3-8a0d-3001-9761-83b8b7a58974</t>
  </si>
  <si>
    <t>5b4fa33a-6a4c-3001-8cbd-4eeedc9e5adc</t>
  </si>
  <si>
    <t>4a68d666-9cbc-3001-8fa5-0543b09e0537</t>
  </si>
  <si>
    <t>85d79229-ccee-3001-b6c2-7fbf0ee75f29</t>
  </si>
  <si>
    <t>3ba6d22d-5f8f-3001-b800-2ca7387321e8</t>
  </si>
  <si>
    <t>13665638-624f-3001-b1b0-05fc6ac3b4c7</t>
  </si>
  <si>
    <t>ec167005-dbef-3001-8490-c68b4758e272</t>
  </si>
  <si>
    <t>9fdcdafe-a4a1-3001-a01e-0ae23a067d30</t>
  </si>
  <si>
    <t>58ebaf71-3c9d-3001-b8de-52aa32c4abac</t>
  </si>
  <si>
    <t>b2ee1a14-83a0-3001-90e0-c41b5ea69e5d</t>
  </si>
  <si>
    <t>c37a5114-ec98-3001-b531-f10da71fad08</t>
  </si>
  <si>
    <t>d0de0696-28f7-3001-bb01-4d29031409b5</t>
  </si>
  <si>
    <t>6aeccf0e-21d4-3001-8f9e-06674bef202c</t>
  </si>
  <si>
    <t>b3681af5-a489-3001-bbac-ed69f5d6196b</t>
  </si>
  <si>
    <t>efcd3bab-ca52-3001-8bbf-2c23b8852832</t>
  </si>
  <si>
    <t>c458b134-b6a9-3001-9cf6-05369f6be12b</t>
  </si>
  <si>
    <t>359dccbd-0eda-3001-9907-46fd8d775c08</t>
  </si>
  <si>
    <t>acdce2e4-dd3b-3001-bf25-238c0cb0a86a</t>
  </si>
  <si>
    <t>a7137a05-62ec-3001-85ae-b483abe77c4a</t>
  </si>
  <si>
    <t>3056713c-9e2b-3001-8af7-ad4b551f0330</t>
  </si>
  <si>
    <t>ec7f92ab-ecba-3001-a70c-b06fa2245a41</t>
  </si>
  <si>
    <t>f798d21f-68e7-3001-b6d6-7ed2ac155e47</t>
  </si>
  <si>
    <t>d821781d-586c-3001-bb5b-09b003bbc0e9</t>
  </si>
  <si>
    <t>61241775-f5ae-3001-9131-36ce4e84cc7e</t>
  </si>
  <si>
    <t>b6b59f6c-2c56-3001-8bde-b6951caf2ce2</t>
  </si>
  <si>
    <t>ff6bb9f6-c982-3001-a802-1423d6c4c942</t>
  </si>
  <si>
    <t>3c33b028-7186-3001-a027-98d550bd8710</t>
  </si>
  <si>
    <t>475088e7-c9b9-3001-a5b0-8941f41a9a45</t>
  </si>
  <si>
    <t>5740ce55-ea1b-3001-907a-eec18d2b0087</t>
  </si>
  <si>
    <t>58c3b785-9f31-3001-91b3-902f85c5671c</t>
  </si>
  <si>
    <t>e37c139a-c143-3001-baca-83ece2ebcbcd</t>
  </si>
  <si>
    <t>3bca3e4f-2442-3001-8a3d-d00660d9d2ee</t>
  </si>
  <si>
    <t>99f72289-8a01-3001-ac60-b59c388b2362</t>
  </si>
  <si>
    <t>1d1293ec-3c93-3001-96e2-60ccb1fa082f</t>
  </si>
  <si>
    <t>a8671a1b-1bb6-3001-9f21-4f2727cf9886</t>
  </si>
  <si>
    <t>Poulet 24/7 (Bd LÃ©ger)</t>
  </si>
  <si>
    <t>39b9d2c9-b541-3001-a1ab-dfc52e47e401</t>
  </si>
  <si>
    <t>0b14e977-52b7-3001-b1bc-432122e86d99</t>
  </si>
  <si>
    <t>d6d4d78a-8c1a-3001-98ba-b32934016a9c</t>
  </si>
  <si>
    <t>39b10a7c-e9f1-3001-9f21-e5c8cb3d98f1</t>
  </si>
  <si>
    <t>c7eeebc7-fb4d-3001-a768-5853eb7c47f1</t>
  </si>
  <si>
    <t>3bd7f2c3-28dd-3001-9e6d-ed37a9a6acd7</t>
  </si>
  <si>
    <t>5912cb0e-eee2-3001-8166-23ba975c5338</t>
  </si>
  <si>
    <t>f1ce3a11-74aa-3001-b144-2e9d8d21b8f2</t>
  </si>
  <si>
    <t>77abe61d-c40a-3001-889e-4932a0ac690a</t>
  </si>
  <si>
    <t>64e148bd-2af0-3001-b624-d04cc86f8813</t>
  </si>
  <si>
    <t>3059e217-daee-3001-a710-3d1e641b3af6</t>
  </si>
  <si>
    <t>c5cd82a6-2df5-3001-b227-e1da3f34556f</t>
  </si>
  <si>
    <t>58729b70-40c2-3001-b62b-5cf3decfac7e</t>
  </si>
  <si>
    <t>aa95032b-ad17-3001-8df5-0ea8bd6385ff</t>
  </si>
  <si>
    <t>77d55b3b-02c3-3001-b196-b45b472d6460</t>
  </si>
  <si>
    <t>801087bb-f92b-3001-a9ed-b4eb6dcbd044</t>
  </si>
  <si>
    <t>078e5cbc-0e20-3001-a67a-5e0aef195e61</t>
  </si>
  <si>
    <t>d0c2295c-04a4-3001-a3f6-cd7b5d2f7508</t>
  </si>
  <si>
    <t>22728338-0546-3001-ba62-7fc7c3129acc</t>
  </si>
  <si>
    <t>ea5f860c-5d8d-3001-bd79-b4546cff2391</t>
  </si>
  <si>
    <t>8e0b1733-ec06-3001-97d0-fa0c5c8c6304</t>
  </si>
  <si>
    <t>8101b642-eaac-3001-aa09-b3b6e5aa8cae</t>
  </si>
  <si>
    <t>715339cd-866d-3001-868e-45ad8e894d9c</t>
  </si>
  <si>
    <t>b2c7000f-d965-3001-85a3-6aeddaafc2d5</t>
  </si>
  <si>
    <t>e8c7c325-b51b-3001-bb93-ae3d1fbbbe5b</t>
  </si>
  <si>
    <t>fa73e633-0d59-3001-bbd8-01422e4d46be</t>
  </si>
  <si>
    <t>fa679391-5e0b-3001-bda3-a78cb4c008fc</t>
  </si>
  <si>
    <t>da636cdd-a3fa-3001-a853-221ad89b099f</t>
  </si>
  <si>
    <t>fc79efca-a1bb-3001-a364-7129f28e2714</t>
  </si>
  <si>
    <t>a3b521ff-2d7e-3001-82a8-1bb285d0a30c</t>
  </si>
  <si>
    <t>d6ceb87a-1739-3001-bd62-4b71da2e52af</t>
  </si>
  <si>
    <t>3b55089a-0ad2-3001-b02a-1e41e0ba60f0</t>
  </si>
  <si>
    <t>a2ca3db3-9519-3001-8c19-a920f6f9fa36</t>
  </si>
  <si>
    <t>d612b749-4308-3001-b620-182c371c07d6</t>
  </si>
  <si>
    <t>95e17286-f667-3001-9f2b-ffa4a917df8b</t>
  </si>
  <si>
    <t>9073edbd-f7de-3001-a832-91748162c461</t>
  </si>
  <si>
    <t>98d35aa8-8700-3001-9e6a-d3c2a485ab2d</t>
  </si>
  <si>
    <t>dbdd0917-0170-3001-998c-71277c8d8dad</t>
  </si>
  <si>
    <t>f08d0aba-b803-3001-9be8-78b463049412</t>
  </si>
  <si>
    <t>41c01bcc-0348-3001-b9fe-9ae4d76e22bf</t>
  </si>
  <si>
    <t>2d75149f-24af-3001-973c-6d7140fa30ad</t>
  </si>
  <si>
    <t>e08b6211-9cf7-3001-844d-e921cca30fd1</t>
  </si>
  <si>
    <t>ada69357-e18c-3001-960b-3fc6b606b8bd</t>
  </si>
  <si>
    <t>c25f0e6b-3771-3001-8758-0517b429650b</t>
  </si>
  <si>
    <t>07bb0afe-254a-3001-aca0-79018326617b</t>
  </si>
  <si>
    <t>94632938-4846-3001-8d12-a086feb91d43</t>
  </si>
  <si>
    <t>c30bbb48-5dce-3001-b73a-e296dc6952a2</t>
  </si>
  <si>
    <t>a93bb81b-312b-3001-8d00-1197bb976786</t>
  </si>
  <si>
    <t>af57cf1f-6299-3001-9dc6-b7c3be100cc5</t>
  </si>
  <si>
    <t>c72df2e0-98d5-3001-b93c-d10b3a138807</t>
  </si>
  <si>
    <t>7257fa69-a9fa-3001-b240-6860c61ca791</t>
  </si>
  <si>
    <t>b5a3c585-20b3-3001-947b-74b37e668de5</t>
  </si>
  <si>
    <t>34be4df0-add6-3001-bcc4-46c3cc357fa6</t>
  </si>
  <si>
    <t>377c80b2-11fc-3001-94c8-283f450012eb</t>
  </si>
  <si>
    <t>b4488aaf-fdc1-3001-9ea1-19b219cb2c5f</t>
  </si>
  <si>
    <t>cce44e65-013d-3001-b561-0f134be9316b</t>
  </si>
  <si>
    <t>4607ab3b-cfb1-3001-802a-9242fedb7d9e</t>
  </si>
  <si>
    <t>9b22d020-02af-3001-b0f7-6a849e68036f</t>
  </si>
  <si>
    <t>7b81ff75-ecb4-3001-9caa-9004b4cda6f2</t>
  </si>
  <si>
    <t>6eea5ca3-c1c3-3001-a77d-df7058445e4b</t>
  </si>
  <si>
    <t>97c1963a-2650-3001-8d9d-07f8a0d83cc0</t>
  </si>
  <si>
    <t>b42eb1af-9c3f-3001-b317-8245992321c8</t>
  </si>
  <si>
    <t>a2d69879-38bb-3001-a560-e0bfc6e038ca</t>
  </si>
  <si>
    <t>8593fc67-d24b-3001-a130-6d9c4264cad1</t>
  </si>
  <si>
    <t>c4c356b0-e22f-3001-a0a1-1b2edf5744ab</t>
  </si>
  <si>
    <t>39c4b5f3-f045-3001-af78-f0955646470c</t>
  </si>
  <si>
    <t>28f35a21-ba8d-3001-835f-f8f6389006cc</t>
  </si>
  <si>
    <t>8f0e03d5-0416-3001-9416-0d08aa4d9269</t>
  </si>
  <si>
    <t>6b988ff3-b438-3001-8626-b0c8e3df78ef</t>
  </si>
  <si>
    <t>d5501440-0312-3001-9255-a7fad551bb9e</t>
  </si>
  <si>
    <t>3f1ea81f-4243-3001-a4d9-54c4984884df</t>
  </si>
  <si>
    <t>75fab1dc-7b54-3001-80a1-8a340332e7d0</t>
  </si>
  <si>
    <t>14090edd-74e6-3001-85a8-26c48cc9c39a</t>
  </si>
  <si>
    <t>e0a51765-b1f7-3001-a732-7e9f9821e480</t>
  </si>
  <si>
    <t>9ffbc0e9-ac5c-3001-bf05-b3fae88fb904</t>
  </si>
  <si>
    <t>d033ea7b-80cb-3001-b129-73e78db90612</t>
  </si>
  <si>
    <t>e1758e7b-173c-3001-8890-fd813786f52c</t>
  </si>
  <si>
    <t>24d26528-3f71-3001-a440-1430fc09d6ae</t>
  </si>
  <si>
    <t>46076b6c-ac7f-3001-ab92-f1354c071917</t>
  </si>
  <si>
    <t>ba1a3f32-dfb9-3001-a76b-c1cb060f473f</t>
  </si>
  <si>
    <t>e0f72e7e-b8c7-3001-a248-d85a9b17431a</t>
  </si>
  <si>
    <t>66fea099-0581-3001-b6b6-a0d4d930c1c7</t>
  </si>
  <si>
    <t>af385604-e33f-3001-8432-ceca438e26b2</t>
  </si>
  <si>
    <t>12a01d4c-62a5-3001-bdc8-d26475d231cb</t>
  </si>
  <si>
    <t>1c9d241c-0ee0-3001-99a5-d9cef7e3ab6a</t>
  </si>
  <si>
    <t>80e36c15-b44c-3001-99c6-54bf80d7d642</t>
  </si>
  <si>
    <t>e4a06cc1-267a-3001-a87f-5fb022d96b81</t>
  </si>
  <si>
    <t>1914e0ba-5f3a-3001-ad25-c2e4a20c042f</t>
  </si>
  <si>
    <t>e28ab7b4-1e3f-3001-ac09-c4187a2bc6b6</t>
  </si>
  <si>
    <t>a24e2079-44a5-3001-940a-b2f6e28edd0b</t>
  </si>
  <si>
    <t>e3a36403-cdcb-3001-9897-13bf37523ef4</t>
  </si>
  <si>
    <t>a641bdcd-2037-3001-be87-2b1227e35980</t>
  </si>
  <si>
    <t>c9c465b4-e235-3001-84ae-fc9faebebe03</t>
  </si>
  <si>
    <t>85e76cf2-17ed-3001-855f-ee212c493889</t>
  </si>
  <si>
    <t>4dd993d6-32ff-3001-bded-972898043e71</t>
  </si>
  <si>
    <t>3f478060-fb56-3001-a60a-ecd0f95e0afd</t>
  </si>
  <si>
    <t>3851338a-9067-3001-a220-239b29c3e772</t>
  </si>
  <si>
    <t>abb39065-6611-3001-b80f-d58e11adabd0</t>
  </si>
  <si>
    <t>bb85799e-cc32-3001-81e9-b1c27c0b91d7</t>
  </si>
  <si>
    <t>38c40a3c-4ef9-3001-87c3-3af1a6199db9</t>
  </si>
  <si>
    <t>cfa3044e-1916-3001-8f18-ff9c08335507</t>
  </si>
  <si>
    <t>0a2b99ef-23dd-3001-84a3-06c4abf2b74e</t>
  </si>
  <si>
    <t>59dc0b60-7c1c-3001-9caf-2af8b2b88bc1</t>
  </si>
  <si>
    <t>dd1239d0-449e-3001-a78f-df0825e742d5</t>
  </si>
  <si>
    <t>966da51e-e0f8-3001-9608-56d521f519ee</t>
  </si>
  <si>
    <t>84e0aacf-4ded-3001-bdd1-f3e8bdd46e83</t>
  </si>
  <si>
    <t>fffe8977-6739-3001-a378-09a543dccb71</t>
  </si>
  <si>
    <t>67a66fa0-9af4-3001-bc9b-311144174d11</t>
  </si>
  <si>
    <t>89b9a94f-2e8c-3001-9d58-556a14825f49</t>
  </si>
  <si>
    <t>8f85369b-22e4-3001-97f8-d133dc3837ce</t>
  </si>
  <si>
    <t>71db902d-3d21-3001-af3a-c8607f5bec1b</t>
  </si>
  <si>
    <t>cf583752-a53b-3001-a6bd-73ae90e1ad11</t>
  </si>
  <si>
    <t>1f8ae381-6441-3001-8fb0-48194f2a4b05</t>
  </si>
  <si>
    <t>05e59df1-4118-3001-b99f-b5cc90daee10</t>
  </si>
  <si>
    <t>Taco Mexican (Bd LÃ©ger)</t>
  </si>
  <si>
    <t>c16840da-c92f-3001-9185-3854895e58f8</t>
  </si>
  <si>
    <t>ff493350-f66d-3001-80dd-31f3e48b5ecf</t>
  </si>
  <si>
    <t>40bed21c-542e-3001-81f4-c803364c31b5</t>
  </si>
  <si>
    <t>e355a7cd-a311-3001-ae1d-8fc129e8684b</t>
  </si>
  <si>
    <t>02c48308-51ca-3001-a7cf-c5b428954101</t>
  </si>
  <si>
    <t>91d813b9-feec-3001-96b7-df5bb078d748</t>
  </si>
  <si>
    <t>4a87300b-a645-3001-a14b-43dc90e47fbb</t>
  </si>
  <si>
    <t>de52a3ff-6a45-3001-a513-c268370f7e29</t>
  </si>
  <si>
    <t>db9f8c9e-58ea-3001-a360-425d42d679f7</t>
  </si>
  <si>
    <t>9bf47ef0-2878-3001-aba7-e2d6c743ee6a</t>
  </si>
  <si>
    <t>5c7de613-6b91-3001-8d87-118ceb7a562e</t>
  </si>
  <si>
    <t>edb2ee97-3ca8-3001-b8b8-cddd2043b8a4</t>
  </si>
  <si>
    <t>bf867ef8-4b08-3001-8c07-7391450b3a8e</t>
  </si>
  <si>
    <t>41e2d154-081e-3001-a3e3-51eebbe60549</t>
  </si>
  <si>
    <t>a9dce302-643b-3001-bbd9-da46cd509ff3</t>
  </si>
  <si>
    <t>ab45fec3-f456-3001-a382-87c810f8a339</t>
  </si>
  <si>
    <t>fe227e69-b9d4-3001-8f36-5b8123a5f243</t>
  </si>
  <si>
    <t>da5812f8-8473-3001-91d4-e57749fcc273</t>
  </si>
  <si>
    <t>5a6bbd4c-669d-3001-902c-be2aa2312016</t>
  </si>
  <si>
    <t>f0476729-7f3d-3001-8dbb-33177abbaa89</t>
  </si>
  <si>
    <t>1c915bdf-6199-3001-99cd-a8c960009b55</t>
  </si>
  <si>
    <t>5453e748-cd78-3001-a647-86384d685fc4</t>
  </si>
  <si>
    <t>ecfad6ab-fef2-3001-b345-7c6f92f312f1</t>
  </si>
  <si>
    <t>7d101836-e130-3001-8f0a-54458056b67c</t>
  </si>
  <si>
    <t>a22f1b86-3bb1-3001-b864-0a8dda28ea8e</t>
  </si>
  <si>
    <t>f4849469-1c80-3001-bd4d-31306ea7f84f</t>
  </si>
  <si>
    <t>Cafe Bolon (Bd LÃ©ger)</t>
  </si>
  <si>
    <t>36b7d679-c600-3001-95e0-2a96e1b328d3</t>
  </si>
  <si>
    <t>335831cf-8172-3001-966b-363fbd0e99ba</t>
  </si>
  <si>
    <t>ef7ffd93-647e-3001-8c24-c04cf2351c97</t>
  </si>
  <si>
    <t>286baf0b-5f68-3001-b969-3bc33f9914df</t>
  </si>
  <si>
    <t>93e14a70-7648-3001-9bf6-341795fd4e14</t>
  </si>
  <si>
    <t>3627adfe-9a1c-3001-ae3b-f697103abf2a</t>
  </si>
  <si>
    <t>e43e6962-d29d-3001-a50c-25d50707858f</t>
  </si>
  <si>
    <t>ec3ad413-a378-3001-bacf-47471e5687b5</t>
  </si>
  <si>
    <t>abbc5c5c-e9ca-3001-a929-48e1f12d8d93</t>
  </si>
  <si>
    <t>d7386a8a-88fe-3001-962a-c88476c2cc9b</t>
  </si>
  <si>
    <t>fb16ed03-92d1-3001-a931-b75571ec5ecf</t>
  </si>
  <si>
    <t>a720a2ae-e9e5-3001-b43b-a3119989ef51</t>
  </si>
  <si>
    <t>bae719e8-1c3e-3001-86fa-98f0d0e928d1</t>
  </si>
  <si>
    <t>d41d9834-262c-3001-bc68-e9c2cecb3fac</t>
  </si>
  <si>
    <t>57e66d4b-3014-3001-a07b-46a0a840ae80</t>
  </si>
  <si>
    <t>9bf1f902-dc1b-3001-bb61-378b691ebe30</t>
  </si>
  <si>
    <t>0c6dc660-10d3-3001-9112-9e5d71234224</t>
  </si>
  <si>
    <t>6e510d95-a264-3001-8f71-aa2c740d4065</t>
  </si>
  <si>
    <t>0b19cc31-b3f6-3001-aed2-2587ae723b1a</t>
  </si>
  <si>
    <t>a8e3437a-771e-3001-b842-20334c15c819</t>
  </si>
  <si>
    <t>aa7712e2-1357-3001-93b9-6be6c4562b6d</t>
  </si>
  <si>
    <t>4eebc4fc-9c6d-3001-9154-7297194878a9</t>
  </si>
  <si>
    <t>77948d5b-d592-3001-bf9e-34dc2a6fad76</t>
  </si>
  <si>
    <t>814dacb0-788b-3001-b42e-0f30a9c6c1ab</t>
  </si>
  <si>
    <t>e54299f2-3507-3001-8712-6ea81d2970ba</t>
  </si>
  <si>
    <t>2230c89d-9682-3001-890b-b90c046bbfa5</t>
  </si>
  <si>
    <t>133f779e-b79f-3001-aedb-7ab087c04ac1</t>
  </si>
  <si>
    <t>99a8e395-b5c6-3001-a119-fca69d1b2a9c</t>
  </si>
  <si>
    <t>b1d9165b-507b-3001-a636-348b987a98a7</t>
  </si>
  <si>
    <t>e531d68a-783a-3001-ac00-6e86409081c4</t>
  </si>
  <si>
    <t>23805222-aece-3001-93b7-188c88b8f026</t>
  </si>
  <si>
    <t>cf572087-1661-3001-9923-d948a9687e6f</t>
  </si>
  <si>
    <t>59dca0f2-787a-3001-a09c-26fd6cfa5f58</t>
  </si>
  <si>
    <t>90414310-28a8-3001-a059-e0356ed0071f</t>
  </si>
  <si>
    <t>f00b2f34-a5ef-3001-b4c0-5dde9da300fb</t>
  </si>
  <si>
    <t>cb8f62aa-ce97-3001-8608-96b8c32f3980</t>
  </si>
  <si>
    <t>4a03cc6b-5ace-3001-bd5f-b96b6c69f2fe</t>
  </si>
  <si>
    <t>e5233607-1062-3001-be81-bd919ba1f0e4</t>
  </si>
  <si>
    <t>eb35c74e-8264-3001-9380-50cf3ae65113</t>
  </si>
  <si>
    <t>73357395-ff0c-3001-aae6-9891918f9d4f</t>
  </si>
  <si>
    <t>d9a0e59c-87ae-3001-82dc-d88540ce3d80</t>
  </si>
  <si>
    <t>55c07f14-e7ed-3001-b865-0ecc187f86f6</t>
  </si>
  <si>
    <t>7d3ecd21-741b-3001-99d6-1ea211ed6673</t>
  </si>
  <si>
    <t>5c7e8209-1822-3001-8a7d-ba1867a1de6c</t>
  </si>
  <si>
    <t>9ebe4233-1de8-3001-aa24-1c4d59a90e20</t>
  </si>
  <si>
    <t>8c19ac3d-a47a-3001-895d-6d9172a9c526</t>
  </si>
  <si>
    <t>6fa890fc-f1c3-3001-91e1-9aed2b24a688</t>
  </si>
  <si>
    <t>c96551c1-ee23-3001-a2cb-e8b6857150f2</t>
  </si>
  <si>
    <t>c16c449d-ee0b-3001-a61f-bdcd7495d219</t>
  </si>
  <si>
    <t>cc4ba478-0e83-3001-af65-04fdbee2ba9b</t>
  </si>
  <si>
    <t>49b56b5f-d44d-3001-87e6-514f68d5ece0</t>
  </si>
  <si>
    <t>4a01a60a-3302-3001-a392-2003e9091ada</t>
  </si>
  <si>
    <t>971294e7-623a-3001-85a0-5eab97d8f654</t>
  </si>
  <si>
    <t>7f6c45ec-bf90-3001-9ab3-923a9274d250</t>
  </si>
  <si>
    <t>74535058-b8ed-3001-84fc-e6c2cb56b633</t>
  </si>
  <si>
    <t>15100167-0614-3001-aa2a-6ec532ea28df</t>
  </si>
  <si>
    <t>96022e58-867c-3001-aebb-3a69b9634aab</t>
  </si>
  <si>
    <t>0beb5947-edab-3001-bfb5-fc71dc1f4c33</t>
  </si>
  <si>
    <t>2309a446-4a37-3001-9123-3a1650b24d0d</t>
  </si>
  <si>
    <t>9d018e91-be5b-3001-94cc-fbf0dc945fa8</t>
  </si>
  <si>
    <t>86932f1f-ef53-3001-9705-44ea8ba9d920</t>
  </si>
  <si>
    <t>a8f3d8c0-1260-3001-84a9-21788be9716f</t>
  </si>
  <si>
    <t>08a127d9-16c8-3001-8bc6-87deba384383</t>
  </si>
  <si>
    <t>fb522167-518d-3001-9bbd-9a15ea61606b</t>
  </si>
  <si>
    <t>6295132c-0030-3001-8dae-627ee453a54b</t>
  </si>
  <si>
    <t>7d9f9a49-2e49-3001-835c-4fd7f1e88ff7</t>
  </si>
  <si>
    <t>f150f77d-dc6c-3001-b49a-5db32f9a8692</t>
  </si>
  <si>
    <t>4b88168d-1680-3001-8777-e783a6d7f499</t>
  </si>
  <si>
    <t>eaa243f1-28d3-3001-a9fc-b82510b87fce</t>
  </si>
  <si>
    <t>353ee332-d264-3001-bacf-0f81b37bae57</t>
  </si>
  <si>
    <t>db4e3a98-cea5-3001-8917-718cfb7021a3</t>
  </si>
  <si>
    <t>d7475f63-03cd-3001-9994-cbb19cccb0ee</t>
  </si>
  <si>
    <t>b0257a49-ad6f-3001-b611-9fdac3e17b71</t>
  </si>
  <si>
    <t>88fe3768-00fd-3001-826f-a9f817724bb8</t>
  </si>
  <si>
    <t>7a6e9976-c77a-3001-8d04-7930a95d6b9f</t>
  </si>
  <si>
    <t>adae9e87-d1ba-3001-8e8f-5d2efd3abaf2</t>
  </si>
  <si>
    <t>25aa406f-7144-3001-84b6-6aaed9812dd2</t>
  </si>
  <si>
    <t>0ba2aadb-fb7f-3001-90bf-6ad351f745ed</t>
  </si>
  <si>
    <t>ed17fc12-cf2f-3001-8934-4edb20c7bec2</t>
  </si>
  <si>
    <t>92ea0e62-70b2-3001-b8b1-c2bb4471b92e</t>
  </si>
  <si>
    <t>21c94dcc-ee29-3001-8d9b-7f7873a72ab3</t>
  </si>
  <si>
    <t>49a8ea65-d3de-3001-b17d-0811a5e7b6ee</t>
  </si>
  <si>
    <t>5dd8eed6-dda0-3001-bb94-bb4d471d7e70</t>
  </si>
  <si>
    <t>0b81e080-b9a5-3001-baea-8f3cadd466e9</t>
  </si>
  <si>
    <t>7854277a-edbd-3001-9631-5cca4f6c112a</t>
  </si>
  <si>
    <t>4e0a736f-0a9c-3001-977d-11a6da07c7d4</t>
  </si>
  <si>
    <t>03503497-4bb4-3001-980f-d02e8cbaed28</t>
  </si>
  <si>
    <t>bc8c1331-90bd-3001-9279-31728ea11de1</t>
  </si>
  <si>
    <t>93b9fefd-507b-3001-b96a-63d4e272d190</t>
  </si>
  <si>
    <t>f7d12756-6c96-3001-9c22-25191c0f00d8</t>
  </si>
  <si>
    <t>0225a85d-2046-3001-aef2-2121f8ab5d1a</t>
  </si>
  <si>
    <t>e0756bd2-6494-3001-8eda-f16db533002a</t>
  </si>
  <si>
    <t>6684b536-50c9-3001-a475-e4ca34df9259</t>
  </si>
  <si>
    <t>ad6a7bd6-20d7-3001-a85d-31c8dc980bed</t>
  </si>
  <si>
    <t>438b9ad2-f3ae-3001-93c6-d94500b6771b</t>
  </si>
  <si>
    <t>e1058dae-27cd-3001-8a2a-c048783c34d5</t>
  </si>
  <si>
    <t>f4028359-5169-3001-a4c4-cc5aa8575941</t>
  </si>
  <si>
    <t>47b9df0b-bc56-3001-9349-afaf8d6c1ecd</t>
  </si>
  <si>
    <t>183f64d2-2d09-3001-8f73-11aa5fdbf145</t>
  </si>
  <si>
    <t>c6b417f1-b8cc-3001-9093-1fa1b3b2c367</t>
  </si>
  <si>
    <t>12de5618-913c-3001-8744-e7e0e2022c70</t>
  </si>
  <si>
    <t>d0adcc7e-81b6-3001-a7bf-908406deefb9</t>
  </si>
  <si>
    <t>f9d95870-03bd-3001-bcbd-c3246be6ce6d</t>
  </si>
  <si>
    <t>3ece9a2c-32f9-3001-950e-e205e7917c18</t>
  </si>
  <si>
    <t>ef0aa5c9-1d83-3001-9b53-74ba9528b015</t>
  </si>
  <si>
    <t>4f0a73e0-b1ca-3001-868b-e06b4f742757</t>
  </si>
  <si>
    <t>2ffc965b-c233-3001-9505-eb4aa69e101b</t>
  </si>
  <si>
    <t>5946986a-862a-3001-9c3e-aef65e9385ea</t>
  </si>
  <si>
    <t>acda6f21-bdbc-3001-a73a-1c5c1bed503b</t>
  </si>
  <si>
    <t>0dd83b78-c99f-3001-9de4-0e73d414402a</t>
  </si>
  <si>
    <t>e067cea2-69d8-3001-b686-260372fd3e36</t>
  </si>
  <si>
    <t>e56e3610-29fd-3001-9ba7-4b27ea10de21</t>
  </si>
  <si>
    <t>6429ec31-a9ab-3001-bbe3-2236b8af639b</t>
  </si>
  <si>
    <t>a8a05d94-e651-3001-be6a-bb26c59d8a4c</t>
  </si>
  <si>
    <t>82a48479-9ec6-3001-aeb0-20a34d3ea354</t>
  </si>
  <si>
    <t>dc858165-59af-3001-9d36-054f0cbdbe8a</t>
  </si>
  <si>
    <t>6f0a32f4-587b-3001-a4d1-9dc6c107f464</t>
  </si>
  <si>
    <t>a7c47ce0-d018-3001-8a2b-93cf35a90dd7</t>
  </si>
  <si>
    <t>b4b4e46a-a7b8-3001-b024-a527cf9c0897</t>
  </si>
  <si>
    <t>565b518b-02e0-3001-a50f-dd8b4e34eb08</t>
  </si>
  <si>
    <t>e3a7158d-2137-3001-8c8d-a5ae460418c0</t>
  </si>
  <si>
    <t>1a642103-6c34-3001-88c5-5452c362aa87</t>
  </si>
  <si>
    <t>1d3ebf6c-8e09-3001-8c01-446cbdb0739b</t>
  </si>
  <si>
    <t>291550d5-026e-3001-9da8-c76eb4819d44</t>
  </si>
  <si>
    <t>59495296-4f65-3001-81b1-e2ff7bb048f5</t>
  </si>
  <si>
    <t>991523e3-e390-3001-9db5-7c524d4736ef</t>
  </si>
  <si>
    <t>6361d911-5d6e-3001-b160-208185050403</t>
  </si>
  <si>
    <t>e43c6391-57c4-3001-a4c5-7ae90b8204ed</t>
  </si>
  <si>
    <t>c68b710f-39f7-3001-966d-a2c2730727bc</t>
  </si>
  <si>
    <t>4f2491c1-de21-3001-a2aa-1f6e04692364</t>
  </si>
  <si>
    <t>91a03d2a-7ef4-3001-9e4d-2da67cd10b7f</t>
  </si>
  <si>
    <t>2fd7b2f3-0b9b-3001-a5ad-136eeec977c5</t>
  </si>
  <si>
    <t>2f2f7270-62bd-3001-9ea0-f5930c17e2b4</t>
  </si>
  <si>
    <t>2acaaf8e-ff73-3001-a364-04b65e10e0fa</t>
  </si>
  <si>
    <t>de8486a6-6262-3001-a9b5-f183b4b65b92</t>
  </si>
  <si>
    <t>76eabe10-522b-3001-96ab-67ad74f9875e</t>
  </si>
  <si>
    <t>05955b93-9d2a-3001-9797-ea346df36704</t>
  </si>
  <si>
    <t>38de0d82-e05e-3001-a1a5-4e03a07e504b</t>
  </si>
  <si>
    <t>dfa95f77-4ec8-3001-8ecd-29f54e86e3b6</t>
  </si>
  <si>
    <t>a46f71e7-968f-3001-8220-d1db3f13c946</t>
  </si>
  <si>
    <t>c78e4900-5670-3001-8f6b-2dd1ed1e4a73</t>
  </si>
  <si>
    <t>514ad654-6c27-3001-b6b3-08fb1f13e51e</t>
  </si>
  <si>
    <t>aea98664-2f8b-3001-b569-f14cb6fadfc6</t>
  </si>
  <si>
    <t>0869d490-f8ea-3001-ac43-e565ed61feec</t>
  </si>
  <si>
    <t>554afcd5-d075-3001-b129-b0ad2d0d3664</t>
  </si>
  <si>
    <t>8f4a7bff-b727-3001-9404-667e7ac2e973</t>
  </si>
  <si>
    <t>774ea125-827a-3001-b0d2-633c761f6b78</t>
  </si>
  <si>
    <t>03ea4cac-ee47-3001-b4a7-b25c02318760</t>
  </si>
  <si>
    <t>4a23d368-3ae7-3001-b902-7f5f32086e77</t>
  </si>
  <si>
    <t>3ef822f3-dea4-3001-a3c3-5eda7c8688da</t>
  </si>
  <si>
    <t>7ba709a5-618f-3001-9d8b-956058e433f2</t>
  </si>
  <si>
    <t>7f269ea3-4eb9-3001-985c-67adccd404d2</t>
  </si>
  <si>
    <t>2ad84b56-619e-3001-b1b5-7b1ce241f678</t>
  </si>
  <si>
    <t>fdf499c5-f086-3001-a63c-e89c920044c6</t>
  </si>
  <si>
    <t>ab40bd6d-6d84-3001-a5ff-c3d2c7ecbf8c</t>
  </si>
  <si>
    <t>79b122bb-eb06-3001-bb4c-8c7d2500eff1</t>
  </si>
  <si>
    <t>366a8462-a31e-3001-bd6f-d1c493e34025</t>
  </si>
  <si>
    <t>f7e73792-eb46-3001-abaa-40000278adc3</t>
  </si>
  <si>
    <t>OOEUF Matin MontrÃ©al-Nord (Bd LÃ©ger)</t>
  </si>
  <si>
    <t>d390abe0-e21c-3001-a3af-ffff7a7f9d4e</t>
  </si>
  <si>
    <t>848199e4-b547-3001-8847-576137c95efa</t>
  </si>
  <si>
    <t>cc7abfbb-3be1-3001-80f1-7526462dc528</t>
  </si>
  <si>
    <t>5c7f6224-c744-3001-bdef-f3b2b36aea1c</t>
  </si>
  <si>
    <t>49dfd3d3-69a0-3001-9653-901c35cdce23</t>
  </si>
  <si>
    <t>4ab3e6d8-b5b7-3001-9c5a-2b68bf5d952d</t>
  </si>
  <si>
    <t>9ed0aca4-8ea9-3001-be86-4d4af9c7088d</t>
  </si>
  <si>
    <t>7cad4d16-7462-3001-a31c-be95747656f9</t>
  </si>
  <si>
    <t>49caf83c-a644-3001-8a03-cb01706996e4</t>
  </si>
  <si>
    <t>25d964a2-4246-3001-aa27-9dfaca2395d7</t>
  </si>
  <si>
    <t>1712b4ab-5655-3001-bfe3-2188622e6edc</t>
  </si>
  <si>
    <t>8629b852-5a10-3001-a595-2146aff1bb85</t>
  </si>
  <si>
    <t>46b1cf02-38c1-3001-b400-54d3b2bef760</t>
  </si>
  <si>
    <t>6f253cf1-6ab0-3001-b2ea-ccc658075b6f</t>
  </si>
  <si>
    <t>8c9886b9-ed63-3001-bfbe-42f18eed4b80</t>
  </si>
  <si>
    <t>65a2196d-f087-3001-9434-496e21e8523c</t>
  </si>
  <si>
    <t>9d47b3f1-f2a1-3001-abc8-93b42bca82e8</t>
  </si>
  <si>
    <t>227f4350-ed17-3001-900f-1ba3af0b4df8</t>
  </si>
  <si>
    <t>245f0922-29a9-3001-b058-e6e4167a3cc9</t>
  </si>
  <si>
    <t>bf9a221a-b1d1-3001-bbd2-2aef704633b9</t>
  </si>
  <si>
    <t>30caf6d1-d313-3001-90bc-fab1811589a8</t>
  </si>
  <si>
    <t>0e0e1134-ecb7-3001-b74b-191fb3b53bff</t>
  </si>
  <si>
    <t>5a77bf76-9fcd-3001-8cbc-aab761bc8e10</t>
  </si>
  <si>
    <t>b63a55fa-96bb-3001-9fdd-70566a53d24c</t>
  </si>
  <si>
    <t>1c22af07-c49c-3001-91f8-4ba7fa7e74d9</t>
  </si>
  <si>
    <t>ab11dbf5-3ddf-3001-8ab7-7e58eff8b539</t>
  </si>
  <si>
    <t>82593d4b-85a1-3001-8ad7-db5329bda429</t>
  </si>
  <si>
    <t>b3e8fa52-625b-3001-9d0a-ed7e1c02db57</t>
  </si>
  <si>
    <t>2c2a5bd0-2a12-3001-9051-f4b3346647cc</t>
  </si>
  <si>
    <t>8237f9aa-eb24-3001-9fad-a04629776abf</t>
  </si>
  <si>
    <t>83189012-bb7d-3001-9b28-f9032aa11629</t>
  </si>
  <si>
    <t>2ad2ac1d-7bc4-3001-9c22-032c26e7b29c</t>
  </si>
  <si>
    <t>fe49ab6a-0391-3001-b132-8eb5c78a7224</t>
  </si>
  <si>
    <t>2a7d9591-5b93-3001-aa78-2950b824bfb5</t>
  </si>
  <si>
    <t>17ecda51-9082-3001-8359-2629c3d73165</t>
  </si>
  <si>
    <t>70717e30-5b10-3001-b922-1e337322f0e7</t>
  </si>
  <si>
    <t>c833e4a3-cb90-3001-9b98-b9194cbd8846</t>
  </si>
  <si>
    <t>13998588-b9ae-3001-bc25-929140619b61</t>
  </si>
  <si>
    <t>c7e5f327-d92f-3001-bff5-00d1e9dc5274</t>
  </si>
  <si>
    <t>bc82af13-430e-3001-963f-da829c2352b7</t>
  </si>
  <si>
    <t>39f945ae-487c-3001-82fd-4a6e9240b4f1</t>
  </si>
  <si>
    <t>636d0c2c-b16a-3001-8267-d432b2185a0e</t>
  </si>
  <si>
    <t>327b28b7-3e96-3001-818f-7cfb9566a01b</t>
  </si>
  <si>
    <t>3e37e11a-8eae-3001-9a4c-44b08e56cdc0</t>
  </si>
  <si>
    <t>7fe1ef9b-c711-3001-b60b-ea07f96fc155</t>
  </si>
  <si>
    <t>e8d9d77c-d3ca-3001-a02b-82a531d3150d</t>
  </si>
  <si>
    <t>ae0e83cc-5da9-3001-b3f4-b9f80d894562</t>
  </si>
  <si>
    <t>5ec924af-383a-3001-8a7b-6b2427b1a8cc</t>
  </si>
  <si>
    <t>21284f20-2df9-3001-af7c-a36d833dbdc3</t>
  </si>
  <si>
    <t>a29dcf26-ce92-3001-99d1-55f024e4f7c9</t>
  </si>
  <si>
    <t>2e875113-df1f-3001-af31-bf3bc65714e6</t>
  </si>
  <si>
    <t>3d4ebe51-1260-3001-a378-2a54235d1cf1</t>
  </si>
  <si>
    <t>c7d3ee17-9176-3001-90da-6bc73a1854d6</t>
  </si>
  <si>
    <t>3cc785e9-1257-3001-b4ae-de2d5e6d2bd6</t>
  </si>
  <si>
    <t>a93089bc-8424-3001-9aa3-d170d911c01c</t>
  </si>
  <si>
    <t>aca60c64-cc85-3001-a4a0-37cec999bcfb</t>
  </si>
  <si>
    <t>515e120c-880e-3001-8df4-77891d4a857e</t>
  </si>
  <si>
    <t>720543be-4423-3001-8c88-e307b0ffe8f0</t>
  </si>
  <si>
    <t>edfafea4-1aef-3001-82e9-296ed2c755e7</t>
  </si>
  <si>
    <t>edf83877-6e74-3001-8c93-2ad5e272b834</t>
  </si>
  <si>
    <t>34c6a794-c973-3001-b5eb-8bff470637fd</t>
  </si>
  <si>
    <t>0b1542d6-0a93-3001-8c4e-7b56e4b0edba</t>
  </si>
  <si>
    <t>b3d230e4-0800-3001-a8f9-adaa167aae85</t>
  </si>
  <si>
    <t>09cbaf24-2432-3001-8d1f-16dc8e93c33c</t>
  </si>
  <si>
    <t>ba9b4482-e272-3001-9ee9-b06e1d2b0737</t>
  </si>
  <si>
    <t>e1bac79a-9a76-3001-bd11-53b830dac1c4</t>
  </si>
  <si>
    <t>d25390bb-374d-3001-b70b-8920e77c4c31</t>
  </si>
  <si>
    <t>d05c23b2-e2e6-3001-9a47-ba744503aa21</t>
  </si>
  <si>
    <t>b67fe3b8-77ea-3001-b62c-43c70f1d9365</t>
  </si>
  <si>
    <t>bb95f461-7c12-3001-b680-2b2f353c05ee</t>
  </si>
  <si>
    <t>43a914d3-95ae-3001-a8e0-c0787859d931</t>
  </si>
  <si>
    <t>c0907eb6-f5b1-3001-a075-837c0ff407c2</t>
  </si>
  <si>
    <t>eb3a9967-6e3d-3001-9945-31f46a9055e2</t>
  </si>
  <si>
    <t>5b7de19b-4610-3001-a61f-8ae11959c240</t>
  </si>
  <si>
    <t>4c599565-eead-3001-8ae4-07ff377a0641</t>
  </si>
  <si>
    <t>4354b05a-f285-3001-ada7-047d957f7ac4</t>
  </si>
  <si>
    <t>553eaa82-7628-3001-b434-ff6fcd665ee0</t>
  </si>
  <si>
    <t>7c69871d-bca9-3001-8622-dd5476db5467</t>
  </si>
  <si>
    <t>b9473ee6-1e00-3001-b84b-00ebc20e053a</t>
  </si>
  <si>
    <t>b8df72a3-7408-3001-8342-4e6f7f60f271</t>
  </si>
  <si>
    <t>b6a586ab-927a-3001-afa2-50ab95ed3e46</t>
  </si>
  <si>
    <t>c66ba86a-fe89-3001-898f-f9835f1de43c</t>
  </si>
  <si>
    <t>f4588ccb-b6f3-3001-af3c-1ffb6924c07b</t>
  </si>
  <si>
    <t>fbd1bb9c-5638-3001-bcf3-cb64de9c49c6</t>
  </si>
  <si>
    <t>67072ec1-378d-3001-a9cb-1c9d4526c1a5</t>
  </si>
  <si>
    <t>d716ec45-5ac6-3001-ab7a-6bff541c62c3</t>
  </si>
  <si>
    <t>89f3e16f-b4ae-3001-9ac4-25a82fbb52eb</t>
  </si>
  <si>
    <t>a263923a-3f2e-3001-b2f1-edf3029a170e</t>
  </si>
  <si>
    <t>9667f721-49e3-3001-abcf-fb2816e5cc0d</t>
  </si>
  <si>
    <t>59251fbb-4687-3001-9299-e09ded8f09d2</t>
  </si>
  <si>
    <t>3c9353ff-1cbf-3001-9d35-03b8632f1679</t>
  </si>
  <si>
    <t>0d902c0a-ec36-3001-9c82-fb5f6d770fa9</t>
  </si>
  <si>
    <t>e11a504f-274a-3001-b707-36ec65c4b5af</t>
  </si>
  <si>
    <t>a9b63c87-d786-3001-bb51-946c8154aa50</t>
  </si>
  <si>
    <t>c6a8eba8-783a-3001-8a55-bcdf0546a683</t>
  </si>
  <si>
    <t>e92e65cd-e9a6-3001-8b4b-3e1d773c2400</t>
  </si>
  <si>
    <t>0669083e-9ec9-3001-8339-5422a3c16a04</t>
  </si>
  <si>
    <t>16b09fab-b4cc-3001-b83f-30f0dcce9527</t>
  </si>
  <si>
    <t>15cc9c1b-ef9c-3001-8a9d-c6aa30b1ab14</t>
  </si>
  <si>
    <t>4eff6ec5-bb1b-3001-8438-6396c81e105b</t>
  </si>
  <si>
    <t>cf4d6ee2-2aa4-3001-9bf8-c42842e7c3bd</t>
  </si>
  <si>
    <t>b2689fce-8987-3001-ad51-8098836924d7</t>
  </si>
  <si>
    <t>bc0c4925-f7fa-3001-9d91-9f3421f3b8ba</t>
  </si>
  <si>
    <t>056fbc60-ca79-3001-874b-7e3d66e338d1</t>
  </si>
  <si>
    <t>4daf8263-b5a5-3001-8d83-a4d0f849c523</t>
  </si>
  <si>
    <t>b2a280b4-939b-3001-a2d9-5dc70a5f076a</t>
  </si>
  <si>
    <t>90b6e816-f049-3001-b34d-16fbede126a2</t>
  </si>
  <si>
    <t>5c022803-8fc0-3001-bbf1-3b40f89e7bd5</t>
  </si>
  <si>
    <t>d7d91764-5259-3001-996e-2dcd2b3f23a0</t>
  </si>
  <si>
    <t>10939421-0322-3001-bc8f-8722673787ed</t>
  </si>
  <si>
    <t>e94b38a0-ac8f-3001-a604-45f1eb92bdd1</t>
  </si>
  <si>
    <t>a928c75a-c4bd-3001-a202-c2c24d7d9b28</t>
  </si>
  <si>
    <t>0c87eb37-0d2b-3001-b478-71be0759fdda</t>
  </si>
  <si>
    <t>93b26365-3c9a-3001-9075-3fdee804d864</t>
  </si>
  <si>
    <t>a0922791-7a11-3001-8b0a-287edc410ee8</t>
  </si>
  <si>
    <t>3274e3b4-ae85-3001-b512-abac8a8ce2a5</t>
  </si>
  <si>
    <t>e4f5e8bd-2614-3001-a5b5-36037fe288f5</t>
  </si>
  <si>
    <t>2ab09407-99b1-3001-a818-7d8dffc44c17</t>
  </si>
  <si>
    <t>12fd0bbd-85f3-3001-a974-f31c2c652985</t>
  </si>
  <si>
    <t>1e03de97-1940-3001-a01e-3429003584e2</t>
  </si>
  <si>
    <t>089d4850-2c28-3001-bfbd-e500e5c70aad</t>
  </si>
  <si>
    <t>24337ea6-2039-3001-bc29-c02f3d01d5e5</t>
  </si>
  <si>
    <t>afbc1760-50dc-3001-9088-b36d07c7045c</t>
  </si>
  <si>
    <t>92a49ca6-4165-3001-9549-f70cf2327216</t>
  </si>
  <si>
    <t>f9eaf953-68f9-3001-8959-2b16d586c833</t>
  </si>
  <si>
    <t>ad295715-298f-3001-819b-47de59e9f0f0</t>
  </si>
  <si>
    <t>7e208112-336c-3001-8cd2-cd857e7d9386</t>
  </si>
  <si>
    <t>b550b214-1b81-3001-90a9-afae375e0467</t>
  </si>
  <si>
    <t>Shake Bar</t>
  </si>
  <si>
    <t>701a5c78-3a18-3001-84d8-c41af87109cf</t>
  </si>
  <si>
    <t>244ec4cb-3814-3001-ad25-0fa3ae7fe0cd</t>
  </si>
  <si>
    <t>70dab8df-1978-3001-944d-18672e12364d</t>
  </si>
  <si>
    <t>552ff638-640e-3001-9ffb-813630d9fb8c</t>
  </si>
  <si>
    <t>3896fc64-8d31-3001-a4f6-8a10642733e8</t>
  </si>
  <si>
    <t>a891f14b-4ad8-3001-91d7-6b7ad383eb14</t>
  </si>
  <si>
    <t>468a8577-115a-3001-94ed-2d2df4dd509c</t>
  </si>
  <si>
    <t>74f51ec4-c406-3001-84c3-4406edae5cb8</t>
  </si>
  <si>
    <t>Dejeuner OEUF</t>
  </si>
  <si>
    <t>edfbfb24-a145-3001-a1fa-a9d3ca876d3b</t>
  </si>
  <si>
    <t>10340547-5bac-3001-a6d9-3e10d33c5e7b</t>
  </si>
  <si>
    <t>b766492d-d734-3001-a818-b0e2649597df</t>
  </si>
  <si>
    <t>0ce0dea0-5ab7-3001-b0c8-7aa1739cbd40</t>
  </si>
  <si>
    <t>e94d9b84-61a2-3001-9db6-631303af942e</t>
  </si>
  <si>
    <t>fea9320b-cf49-3001-91ab-c3ef71794434</t>
  </si>
  <si>
    <t>17238d32-7757-3001-9e86-1c78c9a28cb9</t>
  </si>
  <si>
    <t>e63ce4c2-26b1-3001-919a-f48efc923ceb</t>
  </si>
  <si>
    <t>e75bd78e-ca98-3001-b8fc-9219b8977bed</t>
  </si>
  <si>
    <t>c3994ac3-c85d-3001-b7ad-8b5f40ca52b5</t>
  </si>
  <si>
    <t>0ef7582d-c0f7-3001-a188-856d1ae63e7e</t>
  </si>
  <si>
    <t>a47802ed-3f53-3001-b374-215fc39e9afa</t>
  </si>
  <si>
    <t>1ee93150-4d14-3001-b5a6-9304360e37c5</t>
  </si>
  <si>
    <t>b36d82d0-e9d4-3001-84cb-b5faf85f53a8</t>
  </si>
  <si>
    <t>66beeff0-d227-3001-a075-2f5ac4b4f45d</t>
  </si>
  <si>
    <t>fe7a76b2-a9f3-3001-9fe2-774f3b7ac958</t>
  </si>
  <si>
    <t>6f19e63e-1b88-3001-8ffe-286adb1f4b23</t>
  </si>
  <si>
    <t>d152262f-29bb-3001-a4dd-84d7de1f0e63</t>
  </si>
  <si>
    <t>716c3290-90ea-3001-83b2-9dcd45c04b75</t>
  </si>
  <si>
    <t>608bcf4a-b2da-3001-8229-acc0f688556a</t>
  </si>
  <si>
    <t>a929c487-0fa2-3001-aeac-cd32c263035d</t>
  </si>
  <si>
    <t>f8a3f0a1-9463-3001-8cd6-aa57d6e11900</t>
  </si>
  <si>
    <t>c1205119-dd3c-3001-adba-52d929f6eccf</t>
  </si>
  <si>
    <t>7fe52683-08c2-3001-b569-e08692081898</t>
  </si>
  <si>
    <t>b0129907-2151-3001-93db-5ab6a0b6bf47</t>
  </si>
  <si>
    <t>b1927713-5217-3001-ad51-5c42dc2553b7</t>
  </si>
  <si>
    <t>0e9a7868-46b5-3001-acd5-d5b793d83e96</t>
  </si>
  <si>
    <t>89815e63-3aed-3001-9734-2257ce599cde</t>
  </si>
  <si>
    <t>a240d900-b5bd-3001-a0b8-c557892bcd59</t>
  </si>
  <si>
    <t>280c735d-cc90-3001-ba46-28432e4d05c6</t>
  </si>
  <si>
    <t>bb7bfe22-7996-3001-81a1-a6e1054d58ed</t>
  </si>
  <si>
    <t>74a2141c-15e4-3001-8e68-8563623b45b1</t>
  </si>
  <si>
    <t>9f831fb1-5cb9-3001-8fba-9436a728d2d5</t>
  </si>
  <si>
    <t>8c6b2cbf-dcb0-3001-9660-d1586c6d14e5</t>
  </si>
  <si>
    <t>b9df5528-42b2-3001-bfe5-e63c10931f83</t>
  </si>
  <si>
    <t>183c4b35-00ca-3001-8a37-0f1ee5ab854b</t>
  </si>
  <si>
    <t>b45f5307-35e6-3001-875b-b768a3ab9d70</t>
  </si>
  <si>
    <t>4630fba6-9143-3001-badc-ec39af7bb08d</t>
  </si>
  <si>
    <t>0d07bbc7-2987-3001-b44f-ed9dd78e5bad</t>
  </si>
  <si>
    <t>9b69a94f-00f6-3001-a03f-c09cd7629d55</t>
  </si>
  <si>
    <t>19b0fdec-c84e-3001-903e-305bd3e7bb62</t>
  </si>
  <si>
    <t>3b38b1e2-caaa-3001-aac3-9d87aa993c63</t>
  </si>
  <si>
    <t>ebe30827-e9dc-3001-b008-41a2fe3e1e2b</t>
  </si>
  <si>
    <t>933c5352-f30a-3001-b8a2-53447d23db2d</t>
  </si>
  <si>
    <t>511b3c82-4f1d-3001-a1cc-9cbdc933f44b</t>
  </si>
  <si>
    <t>65b16426-c17e-3001-97bb-06cec75c8caf</t>
  </si>
  <si>
    <t>eabf5101-4776-3001-a918-842cdc5dd817</t>
  </si>
  <si>
    <t>9ff6abd6-2327-3001-b645-1928d11204c2</t>
  </si>
  <si>
    <t>198b07fa-7acf-3001-9a19-935c746832e4</t>
  </si>
  <si>
    <t>e4863ec3-e419-3001-9ce9-4a20d40d1864</t>
  </si>
  <si>
    <t>50d1e1a9-3559-3001-8072-4c06ce1f2deb</t>
  </si>
  <si>
    <t>ae74cde1-89d0-3001-8367-49daa80bbd7d</t>
  </si>
  <si>
    <t>0d2c8a52-250a-3001-b6fb-43cb62f3cf6b</t>
  </si>
  <si>
    <t>5768a417-80fc-3001-a461-a9e1b8664818</t>
  </si>
  <si>
    <t>2dc1031e-6a9f-3001-b11f-619e305a6e01</t>
  </si>
  <si>
    <t>064b76fc-8ca3-3001-8726-8e4fcb95daf6</t>
  </si>
  <si>
    <t>e60dd250-d87c-3001-958b-f35a033c4f16</t>
  </si>
  <si>
    <t>043463e5-2307-3001-bff0-6608011ab55e</t>
  </si>
  <si>
    <t>09be82e4-7d84-3001-b97e-182f51a7d133</t>
  </si>
  <si>
    <t>f7c2e470-763f-3001-9cc6-fafdb77a398e</t>
  </si>
  <si>
    <t>30695e20-ae6a-3001-9e6b-73b7838b297c</t>
  </si>
  <si>
    <t>967db3a2-11c6-3001-9eed-078a2455c0a6</t>
  </si>
  <si>
    <t>42e6cd4e-c59b-3001-857f-562aa02a1a48</t>
  </si>
  <si>
    <t>2d6af91b-7185-3001-932d-5704205a5571</t>
  </si>
  <si>
    <t>2779ebbb-7861-3001-8045-6cbd6f1690af</t>
  </si>
  <si>
    <t>455e73d8-195a-3001-ba1b-548a4032a324</t>
  </si>
  <si>
    <t>b28d97c4-480f-3001-bd33-42be602985bf</t>
  </si>
  <si>
    <t>540b00d7-5b35-3001-801b-59bb2c91e94a</t>
  </si>
  <si>
    <t>111c570b-079b-3001-bc4a-86146e43e28f</t>
  </si>
  <si>
    <t>92f2435e-164b-3001-90af-036198b61947</t>
  </si>
  <si>
    <t>a080a4c9-566a-3001-9bf2-53f3ca2c38a5</t>
  </si>
  <si>
    <t>f029cea7-e8db-3001-8614-9356517776b4</t>
  </si>
  <si>
    <t>dd660ff3-8498-3001-90ef-a5694a0f8723</t>
  </si>
  <si>
    <t>d6c8d481-fa5c-3001-8485-84921f9d248b</t>
  </si>
  <si>
    <t>785dfcbd-bb9a-3001-889c-9288fea254aa</t>
  </si>
  <si>
    <t>a7cae7d9-d018-3001-be83-bbd04c64372b</t>
  </si>
  <si>
    <t>6265eb8b-e69d-3001-b744-aaa18ef5af8a</t>
  </si>
  <si>
    <t>58079e0c-f0aa-3001-b32f-adcb8ff7bb9b</t>
  </si>
  <si>
    <t>7d5962bc-1c49-3001-adb4-2edd7d7201a6</t>
  </si>
  <si>
    <t>ceaaf2a8-56a1-3001-98b3-a65d45537dd9</t>
  </si>
  <si>
    <t>c2c313a6-d0bd-3001-9620-c1042ba096bf</t>
  </si>
  <si>
    <t>1c4a4712-144d-3001-808e-efd3bb30496d</t>
  </si>
  <si>
    <t>480614f9-53b8-3001-98b4-5399d28c87a2</t>
  </si>
  <si>
    <t>b96c0606-02c5-3001-9bba-4c6d90f6864e</t>
  </si>
  <si>
    <t>de46a986-b632-3001-8d0d-08e0ec3d8dd4</t>
  </si>
  <si>
    <t>f80a7dac-e9a8-3001-848a-fae0db535e96</t>
  </si>
  <si>
    <t>67c83b49-1986-3001-a67d-e8374c3fefb3</t>
  </si>
  <si>
    <t>3ec92323-474a-3001-a031-ff7b11466fa0</t>
  </si>
  <si>
    <t>4284639f-21a1-3001-89d1-2292819cc702</t>
  </si>
  <si>
    <t>4e40a7fa-7564-3001-86f7-e06060017363</t>
  </si>
  <si>
    <t>de9fc38c-5772-3001-89f9-b1752ae55d36</t>
  </si>
  <si>
    <t>f490d380-d200-3001-884e-ea7c025e8451</t>
  </si>
  <si>
    <t>7b8c6d59-086f-3001-b8b8-3903fbe3224a</t>
  </si>
  <si>
    <t>e6676a1d-cf9c-3001-9d90-33e3ca52acfa</t>
  </si>
  <si>
    <t>bdd6cc4b-5802-3001-8882-9665f2a1391f</t>
  </si>
  <si>
    <t>c4a5d293-2d88-3001-886f-a18f15d6fd84</t>
  </si>
  <si>
    <t>374177a6-5f88-3001-afa2-6240827cce29</t>
  </si>
  <si>
    <t>746714b3-34ea-3001-bc6c-14c87553e977</t>
  </si>
  <si>
    <t>749c7031-5985-3001-9482-57bc185e9bdb</t>
  </si>
  <si>
    <t>4f6c65eb-09bb-3001-add5-f1ab6ae9010c</t>
  </si>
  <si>
    <t>1d74860a-cd5e-3001-94ce-8b06119451a3</t>
  </si>
  <si>
    <t>43ba4db7-b6d9-3001-afdb-9a148b3f86d6</t>
  </si>
  <si>
    <t>e7a50c59-4701-3001-bee1-81a2494bd3c9</t>
  </si>
  <si>
    <t>0cabe0ac-aabc-3001-be74-1435f762c351</t>
  </si>
  <si>
    <t>67e4f7b5-4488-3001-ac47-f13697beb184</t>
  </si>
  <si>
    <t>99675207-8a33-3001-9aa6-63d4e7116005</t>
  </si>
  <si>
    <t>bce0603f-b2df-3001-ab02-87121e91e450</t>
  </si>
  <si>
    <t>3a6e2560-6272-3001-9149-1f18e55a9b3b</t>
  </si>
  <si>
    <t>3e5cf3e5-0251-3001-9b54-2827090aac44</t>
  </si>
  <si>
    <t>e66de3ff-05fc-3001-a3ca-5637b95f6391</t>
  </si>
  <si>
    <t>6281a460-ef1e-3001-bee5-f288f51728da</t>
  </si>
  <si>
    <t>88850ddc-2f7c-3001-8b8b-de259a6bd992</t>
  </si>
  <si>
    <t>45bdc7e4-69f9-3001-8322-b4bfe5bec909</t>
  </si>
  <si>
    <t>4ab710a9-af06-3001-b342-fb08ecb0479c</t>
  </si>
  <si>
    <t>6b7ee717-d648-3001-bdf7-51e9a8c39425</t>
  </si>
  <si>
    <t>e662168a-f93a-3001-952f-df6b0257ae3b</t>
  </si>
  <si>
    <t>92c5c219-f830-3001-98de-55bb423b7bff</t>
  </si>
  <si>
    <t>9513e487-c88b-3001-b05c-df4288fc1a1f</t>
  </si>
  <si>
    <t>d8953ff4-da72-3001-96ff-988b597d1dcc</t>
  </si>
  <si>
    <t>23c39c78-9065-3001-81c7-7e3c07aa77ca</t>
  </si>
  <si>
    <t>fe85478c-2dcf-3001-b56d-fee1f05b7025</t>
  </si>
  <si>
    <t>8d65673f-fbb5-3001-ba42-ed859d3a80f2</t>
  </si>
  <si>
    <t>2cd94309-96c8-3001-8a4e-f2b2908209c8</t>
  </si>
  <si>
    <t>2e95bf82-41e8-3001-9d2d-3563367f7560</t>
  </si>
  <si>
    <t>381e7ac4-4929-3001-9551-d9b80ad58748</t>
  </si>
  <si>
    <t>47372fff-9979-3001-b110-29b41ee610f3</t>
  </si>
  <si>
    <t>Cafe Bolon</t>
  </si>
  <si>
    <t>d12b0042-ecce-3001-9f80-ce492b88bd36</t>
  </si>
  <si>
    <t>5c6fdab6-ab0a-3001-b454-33dcfac5ce76</t>
  </si>
  <si>
    <t>b0ef0972-6caa-3001-a0e5-7acf7c5222ed</t>
  </si>
  <si>
    <t>34004d11-97e6-3001-bc93-2b44eb383901</t>
  </si>
  <si>
    <t>Total</t>
  </si>
  <si>
    <t>Total ventes des restos Avril 2024</t>
  </si>
  <si>
    <t>Total ventes des restos Mai 2024</t>
  </si>
  <si>
    <t>Total ventes restos Juin 2024</t>
  </si>
  <si>
    <t>Total ventes des restos Juillet 2024</t>
  </si>
  <si>
    <t>Total ventes des restos Aout 2024</t>
  </si>
  <si>
    <t>Total ventes des restos Septembre 2024</t>
  </si>
  <si>
    <t>Total ventes des restos Octobre 2024</t>
  </si>
  <si>
    <t>Total ventes des restos Novembre 2024</t>
  </si>
  <si>
    <t>Total ventes des restos decembre 2024</t>
  </si>
  <si>
    <t>Mois</t>
  </si>
  <si>
    <t>Vente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</si>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</sst>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3">
    <xf numFmtId="0" fontId="0" fillId="0" borderId="0" xfId="0"/>
    <xf numFmtId="44" fontId="0" fillId="0" borderId="0" xfId="0" applyNumberFormat="1"/>
    <xf numFmtId="0" fontId="0" fillId="0" borderId="0" xfId="0" applyBorder="1"/>
    <xf numFmtId="0" fontId="0" fillId="0" borderId="0" xfId="0" applyFill="1" applyBorder="1"/>
    <xf numFmtId="44" fontId="0" fillId="0" borderId="0" xfId="1" applyFont="1"/>
    <xf numFmtId="44" fontId="0" fillId="0" borderId="0" xfId="1" applyFont="1" applyBorder="1"/>
    <xf numFmtId="14" fontId="0" fillId="0" borderId="10" xfId="0" applyNumberFormat="1" applyBorder="1"/>
    <xf numFmtId="0" fontId="0" fillId="0" borderId="10" xfId="0" applyBorder="1"/>
    <xf numFmtId="21" fontId="0" fillId="0" borderId="0" xfId="0" applyNumberFormat="1" applyBorder="1"/>
    <xf numFmtId="14" fontId="0" fillId="0" borderId="0" xfId="0" applyNumberFormat="1" applyBorder="1"/>
    <xf numFmtId="21" fontId="0" fillId="0" borderId="10" xfId="0" applyNumberFormat="1" applyBorder="1"/>
    <xf numFmtId="44" fontId="0" fillId="0" borderId="19" xfId="1" applyFont="1" applyBorder="1"/>
    <xf numFmtId="0" fontId="0" fillId="0" borderId="26" xfId="0" applyBorder="1"/>
    <xf numFmtId="21" fontId="0" fillId="0" borderId="15" xfId="0" applyNumberFormat="1" applyBorder="1"/>
    <xf numFmtId="0" fontId="0" fillId="0" borderId="25" xfId="0" applyBorder="1"/>
    <xf numFmtId="44" fontId="0" fillId="0" borderId="11" xfId="0" applyNumberFormat="1" applyBorder="1"/>
    <xf numFmtId="14" fontId="0" fillId="0" borderId="15" xfId="0" applyNumberFormat="1" applyBorder="1"/>
    <xf numFmtId="0" fontId="0" fillId="0" borderId="20" xfId="0" applyBorder="1"/>
    <xf numFmtId="14" fontId="0" fillId="0" borderId="18" xfId="0" applyNumberFormat="1" applyBorder="1"/>
    <xf numFmtId="44" fontId="0" fillId="0" borderId="11" xfId="1" applyFont="1" applyBorder="1"/>
    <xf numFmtId="11" fontId="0" fillId="0" borderId="22" xfId="0" applyNumberFormat="1" applyBorder="1"/>
    <xf numFmtId="0" fontId="0" fillId="0" borderId="18" xfId="0" applyBorder="1"/>
    <xf numFmtId="0" fontId="0" fillId="0" borderId="17" xfId="0" applyBorder="1"/>
    <xf numFmtId="0" fontId="0" fillId="0" borderId="15" xfId="0" applyBorder="1"/>
    <xf numFmtId="21" fontId="0" fillId="0" borderId="18" xfId="0" applyNumberFormat="1" applyBorder="1"/>
    <xf numFmtId="0" fontId="16" fillId="0" borderId="24" xfId="0" applyFont="1" applyBorder="1"/>
    <xf numFmtId="44" fontId="0" fillId="0" borderId="23" xfId="1" applyFont="1" applyBorder="1"/>
    <xf numFmtId="0" fontId="0" fillId="0" borderId="22" xfId="0" applyBorder="1"/>
    <xf numFmtId="44" fontId="0" fillId="0" borderId="16" xfId="1" applyFont="1" applyBorder="1"/>
    <xf numFmtId="44" fontId="0" fillId="0" borderId="21" xfId="1" applyFont="1" applyBorder="1"/>
    <xf numFmtId="44" fontId="0" fillId="0" borderId="12" xfId="1" applyFont="1" applyBorder="1"/>
    <xf numFmtId="0" fontId="0" fillId="0" borderId="14" xfId="0" applyBorder="1"/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0" borderId="27" xfId="0" applyBorder="1"/>
    <xf numFmtId="0" fontId="0" fillId="0" borderId="13" xfId="0" applyBorder="1"/>
    <xf numFmtId="0" fontId="0" fillId="0" borderId="16" xfId="0" applyBorder="1"/>
    <xf numFmtId="11" fontId="0" fillId="0" borderId="20" xfId="0" applyNumberFormat="1" applyBorder="1"/>
    <xf numFmtId="0" fontId="0" fillId="0" borderId="20" xfId="0" applyFill="1" applyBorder="1"/>
    <xf numFmtId="11" fontId="0" fillId="0" borderId="17" xfId="0" applyNumberFormat="1" applyBorder="1"/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/>
    <xf numFmtId="44" fontId="0" fillId="0" borderId="21" xfId="0" applyNumberFormat="1" applyBorder="1"/>
    <xf numFmtId="44" fontId="0" fillId="0" borderId="23" xfId="0" applyNumberFormat="1" applyBorder="1"/>
    <xf numFmtId="44" fontId="0" fillId="0" borderId="0" xfId="0" applyNumberFormat="1"/>
    <xf numFmtId="44" fontId="0" fillId="0" borderId="0" xfId="1" applyFont="1"/>
    <xf numFmtId="44" fontId="0" fillId="0" borderId="19" xfId="1" applyFont="1" applyBorder="1"/>
    <xf numFmtId="0" fontId="0" fillId="0" borderId="20" xfId="0" applyBorder="1"/>
    <xf numFmtId="0" fontId="0" fillId="0" borderId="17" xfId="0" applyBorder="1"/>
    <xf numFmtId="0" fontId="0" fillId="0" borderId="22" xfId="0" applyBorder="1"/>
    <xf numFmtId="0" fontId="0" fillId="0" borderId="14" xfId="0" applyBorder="1"/>
    <xf numFmtId="0" fontId="0" fillId="0" borderId="16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5"/>
  <sheetViews>
    <sheetView tabSelected="1" workbookViewId="0">
      <selection activeCell="C16" sqref="C16"/>
    </sheetView>
  </sheetViews>
  <sheetFormatPr defaultRowHeight="14.5" x14ac:dyDescent="0.35"/>
  <cols>
    <col min="2" max="2" width="15.7265625" customWidth="1"/>
    <col min="3" max="3" width="16.26953125" customWidth="1"/>
  </cols>
  <sheetData>
    <row r="4" spans="2:3" ht="15" thickBot="1" x14ac:dyDescent="0.4"/>
    <row r="5" spans="2:3" ht="15" thickBot="1" x14ac:dyDescent="0.4">
      <c r="B5" s="61" t="s">
        <v>974</v>
      </c>
      <c r="C5" s="62" t="s">
        <v>975</v>
      </c>
    </row>
    <row r="6" spans="2:3" x14ac:dyDescent="0.35">
      <c r="B6" s="59" t="s">
        <v>976</v>
      </c>
      <c r="C6" s="57">
        <v>711.12</v>
      </c>
    </row>
    <row r="7" spans="2:3" x14ac:dyDescent="0.35">
      <c r="B7" s="58" t="s">
        <v>977</v>
      </c>
      <c r="C7" s="53">
        <v>1283.5600000000002</v>
      </c>
    </row>
    <row r="8" spans="2:3" x14ac:dyDescent="0.35">
      <c r="B8" s="58" t="s">
        <v>978</v>
      </c>
      <c r="C8" s="53">
        <v>1108.5399999999997</v>
      </c>
    </row>
    <row r="9" spans="2:3" x14ac:dyDescent="0.35">
      <c r="B9" s="58" t="s">
        <v>979</v>
      </c>
      <c r="C9" s="53">
        <v>2316.8899999999994</v>
      </c>
    </row>
    <row r="10" spans="2:3" x14ac:dyDescent="0.35">
      <c r="B10" s="58" t="s">
        <v>980</v>
      </c>
      <c r="C10" s="53">
        <v>4653.2399999999989</v>
      </c>
    </row>
    <row r="11" spans="2:3" x14ac:dyDescent="0.35">
      <c r="B11" s="58" t="s">
        <v>981</v>
      </c>
      <c r="C11" s="53">
        <v>3774.3999999999992</v>
      </c>
    </row>
    <row r="12" spans="2:3" x14ac:dyDescent="0.35">
      <c r="B12" s="58" t="s">
        <v>982</v>
      </c>
      <c r="C12" s="53">
        <v>4203.32</v>
      </c>
    </row>
    <row r="13" spans="2:3" x14ac:dyDescent="0.35">
      <c r="B13" s="58" t="s">
        <v>983</v>
      </c>
      <c r="C13" s="53">
        <v>2397.67</v>
      </c>
    </row>
    <row r="14" spans="2:3" ht="15" thickBot="1" x14ac:dyDescent="0.4">
      <c r="B14" s="60" t="s">
        <v>984</v>
      </c>
      <c r="C14" s="54">
        <v>2325.6000000000004</v>
      </c>
    </row>
    <row r="15" spans="2:3" x14ac:dyDescent="0.35">
      <c r="B15" t="s">
        <v>964</v>
      </c>
      <c r="C15" s="55">
        <f>SUM(C6:C14)</f>
        <v>22774.339999999997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58"/>
  <sheetViews>
    <sheetView topLeftCell="A42" workbookViewId="0">
      <selection activeCell="G58" sqref="G58"/>
    </sheetView>
  </sheetViews>
  <sheetFormatPr defaultRowHeight="14.5" x14ac:dyDescent="0.35"/>
  <cols>
    <col min="1" max="1" width="29.6328125" customWidth="1"/>
    <col min="2" max="2" width="48.1796875" customWidth="1"/>
    <col min="3" max="3" width="17.54296875" customWidth="1"/>
    <col min="4" max="4" width="15" customWidth="1"/>
    <col min="5" max="5" width="14.54296875" customWidth="1"/>
    <col min="6" max="6" width="16.81640625" customWidth="1"/>
  </cols>
  <sheetData>
    <row r="9" spans="1:7" ht="15" thickBot="1" x14ac:dyDescent="0.4">
      <c r="A9" s="25" t="s">
        <v>0</v>
      </c>
      <c r="B9" s="25" t="s">
        <v>1</v>
      </c>
      <c r="C9" s="25" t="s">
        <v>2</v>
      </c>
      <c r="D9" s="25" t="s">
        <v>3</v>
      </c>
      <c r="E9" s="25" t="s">
        <v>4</v>
      </c>
      <c r="F9" s="25" t="s">
        <v>5</v>
      </c>
      <c r="G9" s="25" t="s">
        <v>6</v>
      </c>
    </row>
    <row r="10" spans="1:7" ht="15" thickBot="1" x14ac:dyDescent="0.4">
      <c r="A10" s="45" t="s">
        <v>7</v>
      </c>
      <c r="B10" s="23" t="s">
        <v>8</v>
      </c>
      <c r="C10" s="16">
        <v>45407</v>
      </c>
      <c r="D10" s="16">
        <v>45407</v>
      </c>
      <c r="E10" s="13">
        <v>0.94009259259259259</v>
      </c>
      <c r="F10" s="23" t="b">
        <v>0</v>
      </c>
      <c r="G10" s="28">
        <v>1</v>
      </c>
    </row>
    <row r="11" spans="1:7" s="40" customFormat="1" ht="15" thickBot="1" x14ac:dyDescent="0.4">
      <c r="A11" s="40" t="s">
        <v>964</v>
      </c>
      <c r="C11" s="41"/>
      <c r="D11" s="41"/>
      <c r="E11" s="42"/>
      <c r="G11" s="30">
        <f>SUM(G10)</f>
        <v>1</v>
      </c>
    </row>
    <row r="12" spans="1:7" s="32" customFormat="1" ht="15.5" thickTop="1" thickBot="1" x14ac:dyDescent="0.4">
      <c r="C12" s="33"/>
      <c r="D12" s="33"/>
      <c r="E12" s="34"/>
      <c r="G12" s="4"/>
    </row>
    <row r="13" spans="1:7" ht="15" thickBot="1" x14ac:dyDescent="0.4">
      <c r="A13" s="45" t="s">
        <v>9</v>
      </c>
      <c r="B13" s="23" t="s">
        <v>10</v>
      </c>
      <c r="C13" s="16">
        <v>45407</v>
      </c>
      <c r="D13" s="16">
        <v>45407</v>
      </c>
      <c r="E13" s="13">
        <v>0.93677083333333344</v>
      </c>
      <c r="F13" s="23" t="b">
        <v>0</v>
      </c>
      <c r="G13" s="28">
        <v>1</v>
      </c>
    </row>
    <row r="14" spans="1:7" s="40" customFormat="1" ht="15" thickBot="1" x14ac:dyDescent="0.4">
      <c r="A14" s="3" t="s">
        <v>964</v>
      </c>
      <c r="B14" s="2"/>
      <c r="C14" s="9"/>
      <c r="D14" s="9"/>
      <c r="E14" s="8"/>
      <c r="F14" s="2"/>
      <c r="G14" s="19">
        <f>SUM(G13)</f>
        <v>1</v>
      </c>
    </row>
    <row r="15" spans="1:7" s="32" customFormat="1" ht="15.5" thickTop="1" thickBot="1" x14ac:dyDescent="0.4">
      <c r="C15" s="33"/>
      <c r="D15" s="33"/>
      <c r="E15" s="34"/>
      <c r="G15" s="4"/>
    </row>
    <row r="16" spans="1:7" x14ac:dyDescent="0.35">
      <c r="A16" s="14" t="s">
        <v>11</v>
      </c>
      <c r="B16" s="21" t="s">
        <v>12</v>
      </c>
      <c r="C16" s="18">
        <v>45407</v>
      </c>
      <c r="D16" s="18">
        <v>45407</v>
      </c>
      <c r="E16" s="24">
        <v>0.93244212962962969</v>
      </c>
      <c r="F16" s="21" t="b">
        <v>0</v>
      </c>
      <c r="G16" s="11">
        <v>1</v>
      </c>
    </row>
    <row r="17" spans="1:7" x14ac:dyDescent="0.35">
      <c r="A17" s="12" t="s">
        <v>13</v>
      </c>
      <c r="B17" s="2" t="s">
        <v>12</v>
      </c>
      <c r="C17" s="9">
        <v>45404</v>
      </c>
      <c r="D17" s="9">
        <v>45404</v>
      </c>
      <c r="E17" s="8">
        <v>0.99843749999999998</v>
      </c>
      <c r="F17" s="2" t="b">
        <v>0</v>
      </c>
      <c r="G17" s="29">
        <v>57.84</v>
      </c>
    </row>
    <row r="18" spans="1:7" x14ac:dyDescent="0.35">
      <c r="A18" s="12" t="s">
        <v>14</v>
      </c>
      <c r="B18" s="2" t="s">
        <v>12</v>
      </c>
      <c r="C18" s="9">
        <v>45401</v>
      </c>
      <c r="D18" s="9">
        <v>45401</v>
      </c>
      <c r="E18" s="8">
        <v>0.97638888888888886</v>
      </c>
      <c r="F18" s="2" t="b">
        <v>0</v>
      </c>
      <c r="G18" s="29">
        <v>40.29</v>
      </c>
    </row>
    <row r="19" spans="1:7" ht="15" thickBot="1" x14ac:dyDescent="0.4">
      <c r="A19" s="44" t="s">
        <v>15</v>
      </c>
      <c r="B19" s="7" t="s">
        <v>12</v>
      </c>
      <c r="C19" s="6">
        <v>45399</v>
      </c>
      <c r="D19" s="6">
        <v>45399</v>
      </c>
      <c r="E19" s="10">
        <v>1.954861111111111E-2</v>
      </c>
      <c r="F19" s="7" t="b">
        <v>0</v>
      </c>
      <c r="G19" s="26">
        <v>15.59</v>
      </c>
    </row>
    <row r="20" spans="1:7" s="40" customFormat="1" ht="15" thickBot="1" x14ac:dyDescent="0.4">
      <c r="A20" s="3" t="s">
        <v>964</v>
      </c>
      <c r="C20" s="41"/>
      <c r="D20" s="41"/>
      <c r="E20" s="42"/>
      <c r="G20" s="30">
        <f>SUM(G16:G19)</f>
        <v>114.72</v>
      </c>
    </row>
    <row r="21" spans="1:7" s="32" customFormat="1" ht="15.5" thickTop="1" thickBot="1" x14ac:dyDescent="0.4">
      <c r="C21" s="33"/>
      <c r="D21" s="33"/>
      <c r="E21" s="34"/>
      <c r="G21" s="4"/>
    </row>
    <row r="22" spans="1:7" x14ac:dyDescent="0.35">
      <c r="A22" s="22" t="s">
        <v>16</v>
      </c>
      <c r="B22" s="21" t="s">
        <v>17</v>
      </c>
      <c r="C22" s="18">
        <v>45411</v>
      </c>
      <c r="D22" s="18">
        <v>45411</v>
      </c>
      <c r="E22" s="24">
        <v>3.3101851851851848E-2</v>
      </c>
      <c r="F22" s="21" t="b">
        <v>0</v>
      </c>
      <c r="G22" s="11">
        <v>36.15</v>
      </c>
    </row>
    <row r="23" spans="1:7" x14ac:dyDescent="0.35">
      <c r="A23" s="17" t="s">
        <v>18</v>
      </c>
      <c r="B23" s="2" t="s">
        <v>17</v>
      </c>
      <c r="C23" s="9">
        <v>45409</v>
      </c>
      <c r="D23" s="9">
        <v>45409</v>
      </c>
      <c r="E23" s="8">
        <v>0.10791666666666666</v>
      </c>
      <c r="F23" s="2" t="b">
        <v>0</v>
      </c>
      <c r="G23" s="29">
        <v>12.4</v>
      </c>
    </row>
    <row r="24" spans="1:7" ht="15" thickBot="1" x14ac:dyDescent="0.4">
      <c r="A24" s="20" t="s">
        <v>19</v>
      </c>
      <c r="B24" s="7" t="s">
        <v>17</v>
      </c>
      <c r="C24" s="6">
        <v>45407</v>
      </c>
      <c r="D24" s="6">
        <v>45407</v>
      </c>
      <c r="E24" s="10">
        <v>0.93541666666666667</v>
      </c>
      <c r="F24" s="7" t="b">
        <v>0</v>
      </c>
      <c r="G24" s="26">
        <v>1</v>
      </c>
    </row>
    <row r="25" spans="1:7" s="40" customFormat="1" ht="15" thickBot="1" x14ac:dyDescent="0.4">
      <c r="A25" s="43" t="s">
        <v>964</v>
      </c>
      <c r="C25" s="41"/>
      <c r="D25" s="41"/>
      <c r="E25" s="42"/>
      <c r="G25" s="19">
        <f>SUM(G22:G24)</f>
        <v>49.55</v>
      </c>
    </row>
    <row r="26" spans="1:7" s="32" customFormat="1" ht="15.5" thickTop="1" thickBot="1" x14ac:dyDescent="0.4">
      <c r="A26" s="35"/>
      <c r="C26" s="33"/>
      <c r="D26" s="33"/>
      <c r="E26" s="34"/>
      <c r="G26" s="4"/>
    </row>
    <row r="27" spans="1:7" x14ac:dyDescent="0.35">
      <c r="A27" s="22" t="s">
        <v>20</v>
      </c>
      <c r="B27" s="21" t="s">
        <v>21</v>
      </c>
      <c r="C27" s="18">
        <v>45412</v>
      </c>
      <c r="D27" s="18">
        <v>45412</v>
      </c>
      <c r="E27" s="24">
        <v>0.44503472222222223</v>
      </c>
      <c r="F27" s="21" t="b">
        <v>0</v>
      </c>
      <c r="G27" s="11">
        <v>29.3</v>
      </c>
    </row>
    <row r="28" spans="1:7" x14ac:dyDescent="0.35">
      <c r="A28" s="17" t="s">
        <v>22</v>
      </c>
      <c r="B28" s="2" t="s">
        <v>21</v>
      </c>
      <c r="C28" s="9">
        <v>45412</v>
      </c>
      <c r="D28" s="9">
        <v>45412</v>
      </c>
      <c r="E28" s="8">
        <v>5.3715277777777772E-2</v>
      </c>
      <c r="F28" s="2" t="b">
        <v>0</v>
      </c>
      <c r="G28" s="29">
        <v>16.899999999999999</v>
      </c>
    </row>
    <row r="29" spans="1:7" x14ac:dyDescent="0.35">
      <c r="A29" s="17" t="s">
        <v>23</v>
      </c>
      <c r="B29" s="2" t="s">
        <v>21</v>
      </c>
      <c r="C29" s="9">
        <v>45407</v>
      </c>
      <c r="D29" s="9">
        <v>45407</v>
      </c>
      <c r="E29" s="8">
        <v>0.9435069444444445</v>
      </c>
      <c r="F29" s="2" t="b">
        <v>0</v>
      </c>
      <c r="G29" s="29">
        <v>1</v>
      </c>
    </row>
    <row r="30" spans="1:7" x14ac:dyDescent="0.35">
      <c r="A30" s="17" t="s">
        <v>24</v>
      </c>
      <c r="B30" s="2" t="s">
        <v>21</v>
      </c>
      <c r="C30" s="9">
        <v>45407</v>
      </c>
      <c r="D30" s="9">
        <v>45407</v>
      </c>
      <c r="E30" s="8">
        <v>0.92532407407407413</v>
      </c>
      <c r="F30" s="2" t="b">
        <v>0</v>
      </c>
      <c r="G30" s="29">
        <v>1</v>
      </c>
    </row>
    <row r="31" spans="1:7" x14ac:dyDescent="0.35">
      <c r="A31" s="17" t="s">
        <v>25</v>
      </c>
      <c r="B31" s="2" t="s">
        <v>21</v>
      </c>
      <c r="C31" s="9">
        <v>45407</v>
      </c>
      <c r="D31" s="9">
        <v>45407</v>
      </c>
      <c r="E31" s="8">
        <v>0.73608796296296297</v>
      </c>
      <c r="F31" s="2" t="b">
        <v>0</v>
      </c>
      <c r="G31" s="29">
        <v>49</v>
      </c>
    </row>
    <row r="32" spans="1:7" x14ac:dyDescent="0.35">
      <c r="A32" s="17" t="s">
        <v>26</v>
      </c>
      <c r="B32" s="2" t="s">
        <v>21</v>
      </c>
      <c r="C32" s="9">
        <v>45406</v>
      </c>
      <c r="D32" s="9">
        <v>45406</v>
      </c>
      <c r="E32" s="8">
        <v>0.1188425925925926</v>
      </c>
      <c r="F32" s="2" t="b">
        <v>0</v>
      </c>
      <c r="G32" s="29">
        <v>27.17</v>
      </c>
    </row>
    <row r="33" spans="1:7" ht="15" thickBot="1" x14ac:dyDescent="0.4">
      <c r="A33" s="27" t="s">
        <v>27</v>
      </c>
      <c r="B33" s="7" t="s">
        <v>21</v>
      </c>
      <c r="C33" s="6">
        <v>45404</v>
      </c>
      <c r="D33" s="6">
        <v>45404</v>
      </c>
      <c r="E33" s="10">
        <v>0.92700231481481488</v>
      </c>
      <c r="F33" s="7" t="b">
        <v>0</v>
      </c>
      <c r="G33" s="26">
        <v>20.28</v>
      </c>
    </row>
    <row r="34" spans="1:7" s="40" customFormat="1" ht="15" thickBot="1" x14ac:dyDescent="0.4">
      <c r="C34" s="41"/>
      <c r="D34" s="41"/>
      <c r="E34" s="42"/>
      <c r="G34" s="19">
        <f>SUM(G27:G33)</f>
        <v>144.65</v>
      </c>
    </row>
    <row r="35" spans="1:7" s="32" customFormat="1" ht="15.5" thickTop="1" thickBot="1" x14ac:dyDescent="0.4">
      <c r="C35" s="33"/>
      <c r="D35" s="33"/>
      <c r="E35" s="34"/>
      <c r="G35" s="4"/>
    </row>
    <row r="36" spans="1:7" x14ac:dyDescent="0.35">
      <c r="A36" s="22" t="s">
        <v>29</v>
      </c>
      <c r="B36" s="21" t="s">
        <v>28</v>
      </c>
      <c r="C36" s="18">
        <v>45407</v>
      </c>
      <c r="D36" s="18">
        <v>45407</v>
      </c>
      <c r="E36" s="24">
        <v>0.94597222222222221</v>
      </c>
      <c r="F36" s="21" t="b">
        <v>0</v>
      </c>
      <c r="G36" s="11">
        <v>1</v>
      </c>
    </row>
    <row r="37" spans="1:7" ht="15" thickBot="1" x14ac:dyDescent="0.4">
      <c r="A37" s="27" t="s">
        <v>30</v>
      </c>
      <c r="B37" s="7" t="s">
        <v>28</v>
      </c>
      <c r="C37" s="6">
        <v>45407</v>
      </c>
      <c r="D37" s="6">
        <v>45407</v>
      </c>
      <c r="E37" s="10">
        <v>0.92931712962962953</v>
      </c>
      <c r="F37" s="7" t="b">
        <v>0</v>
      </c>
      <c r="G37" s="26">
        <v>1</v>
      </c>
    </row>
    <row r="38" spans="1:7" s="40" customFormat="1" ht="15" thickBot="1" x14ac:dyDescent="0.4">
      <c r="A38" s="3" t="s">
        <v>964</v>
      </c>
      <c r="C38" s="41"/>
      <c r="D38" s="41"/>
      <c r="E38" s="42"/>
      <c r="G38" s="19">
        <f>SUM(G36:G37)</f>
        <v>2</v>
      </c>
    </row>
    <row r="39" spans="1:7" s="32" customFormat="1" ht="15.5" thickTop="1" thickBot="1" x14ac:dyDescent="0.4">
      <c r="C39" s="33"/>
      <c r="D39" s="33"/>
      <c r="E39" s="34"/>
      <c r="G39" s="4"/>
    </row>
    <row r="40" spans="1:7" x14ac:dyDescent="0.35">
      <c r="A40" s="22" t="s">
        <v>31</v>
      </c>
      <c r="B40" s="21" t="s">
        <v>32</v>
      </c>
      <c r="C40" s="18">
        <v>45407</v>
      </c>
      <c r="D40" s="18">
        <v>45407</v>
      </c>
      <c r="E40" s="24">
        <v>0.93947916666666664</v>
      </c>
      <c r="F40" s="21" t="b">
        <v>0</v>
      </c>
      <c r="G40" s="11">
        <v>1</v>
      </c>
    </row>
    <row r="41" spans="1:7" x14ac:dyDescent="0.35">
      <c r="A41" s="17" t="s">
        <v>33</v>
      </c>
      <c r="B41" s="2" t="s">
        <v>32</v>
      </c>
      <c r="C41" s="9">
        <v>45407</v>
      </c>
      <c r="D41" s="9">
        <v>45407</v>
      </c>
      <c r="E41" s="8">
        <v>0.92494212962962974</v>
      </c>
      <c r="F41" s="2" t="b">
        <v>0</v>
      </c>
      <c r="G41" s="29">
        <v>1</v>
      </c>
    </row>
    <row r="42" spans="1:7" x14ac:dyDescent="0.35">
      <c r="A42" s="17" t="s">
        <v>34</v>
      </c>
      <c r="B42" s="2" t="s">
        <v>32</v>
      </c>
      <c r="C42" s="9">
        <v>45406</v>
      </c>
      <c r="D42" s="9">
        <v>45406</v>
      </c>
      <c r="E42" s="8">
        <v>0.14857638888888888</v>
      </c>
      <c r="F42" s="2" t="b">
        <v>0</v>
      </c>
      <c r="G42" s="29">
        <v>62.41</v>
      </c>
    </row>
    <row r="43" spans="1:7" x14ac:dyDescent="0.35">
      <c r="A43" s="17" t="s">
        <v>35</v>
      </c>
      <c r="B43" s="2" t="s">
        <v>32</v>
      </c>
      <c r="C43" s="9">
        <v>45405</v>
      </c>
      <c r="D43" s="9">
        <v>45406</v>
      </c>
      <c r="E43" s="8">
        <v>2.0231481481481482E-2</v>
      </c>
      <c r="F43" s="2" t="b">
        <v>0</v>
      </c>
      <c r="G43" s="29">
        <v>17.59</v>
      </c>
    </row>
    <row r="44" spans="1:7" x14ac:dyDescent="0.35">
      <c r="A44" s="17" t="s">
        <v>36</v>
      </c>
      <c r="B44" s="2" t="s">
        <v>32</v>
      </c>
      <c r="C44" s="9">
        <v>45405</v>
      </c>
      <c r="D44" s="9">
        <v>45405</v>
      </c>
      <c r="E44" s="8">
        <v>0.90310185185185177</v>
      </c>
      <c r="F44" s="2" t="b">
        <v>0</v>
      </c>
      <c r="G44" s="29">
        <v>21.45</v>
      </c>
    </row>
    <row r="45" spans="1:7" x14ac:dyDescent="0.35">
      <c r="A45" s="17" t="s">
        <v>37</v>
      </c>
      <c r="B45" s="2" t="s">
        <v>32</v>
      </c>
      <c r="C45" s="9">
        <v>45403</v>
      </c>
      <c r="D45" s="9">
        <v>45403</v>
      </c>
      <c r="E45" s="8">
        <v>0.97534722222222225</v>
      </c>
      <c r="F45" s="2" t="b">
        <v>0</v>
      </c>
      <c r="G45" s="29">
        <v>10.44</v>
      </c>
    </row>
    <row r="46" spans="1:7" x14ac:dyDescent="0.35">
      <c r="A46" s="17" t="s">
        <v>38</v>
      </c>
      <c r="B46" s="2" t="s">
        <v>32</v>
      </c>
      <c r="C46" s="9">
        <v>45403</v>
      </c>
      <c r="D46" s="9">
        <v>45403</v>
      </c>
      <c r="E46" s="8">
        <v>0.63437500000000002</v>
      </c>
      <c r="F46" s="2" t="b">
        <v>0</v>
      </c>
      <c r="G46" s="29">
        <v>85.8</v>
      </c>
    </row>
    <row r="47" spans="1:7" x14ac:dyDescent="0.35">
      <c r="A47" s="17" t="s">
        <v>39</v>
      </c>
      <c r="B47" s="2" t="s">
        <v>32</v>
      </c>
      <c r="C47" s="9">
        <v>45402</v>
      </c>
      <c r="D47" s="9">
        <v>45402</v>
      </c>
      <c r="E47" s="8">
        <v>0.98223379629629637</v>
      </c>
      <c r="F47" s="2" t="b">
        <v>0</v>
      </c>
      <c r="G47" s="29">
        <v>9.4499999999999993</v>
      </c>
    </row>
    <row r="48" spans="1:7" x14ac:dyDescent="0.35">
      <c r="A48" s="17" t="s">
        <v>40</v>
      </c>
      <c r="B48" s="2" t="s">
        <v>32</v>
      </c>
      <c r="C48" s="9">
        <v>45397</v>
      </c>
      <c r="D48" s="9">
        <v>45397</v>
      </c>
      <c r="E48" s="8">
        <v>0.85643518518518524</v>
      </c>
      <c r="F48" s="2" t="b">
        <v>0</v>
      </c>
      <c r="G48" s="29">
        <v>28.27</v>
      </c>
    </row>
    <row r="49" spans="1:7" ht="15" thickBot="1" x14ac:dyDescent="0.4">
      <c r="A49" s="27" t="s">
        <v>41</v>
      </c>
      <c r="B49" s="7" t="s">
        <v>32</v>
      </c>
      <c r="C49" s="6">
        <v>45392</v>
      </c>
      <c r="D49" s="6">
        <v>45392</v>
      </c>
      <c r="E49" s="10">
        <v>0.7801851851851852</v>
      </c>
      <c r="F49" s="7" t="b">
        <v>0</v>
      </c>
      <c r="G49" s="26">
        <v>75</v>
      </c>
    </row>
    <row r="50" spans="1:7" s="40" customFormat="1" ht="15" thickBot="1" x14ac:dyDescent="0.4">
      <c r="A50" s="3" t="s">
        <v>964</v>
      </c>
      <c r="C50" s="41"/>
      <c r="D50" s="41"/>
      <c r="E50" s="42"/>
      <c r="G50" s="19">
        <f>SUM(G40:G49)</f>
        <v>312.40999999999997</v>
      </c>
    </row>
    <row r="51" spans="1:7" s="32" customFormat="1" ht="15.5" thickTop="1" thickBot="1" x14ac:dyDescent="0.4">
      <c r="C51" s="33"/>
      <c r="D51" s="33"/>
      <c r="E51" s="34"/>
      <c r="G51" s="4"/>
    </row>
    <row r="52" spans="1:7" ht="15" thickBot="1" x14ac:dyDescent="0.4">
      <c r="A52" s="31" t="s">
        <v>42</v>
      </c>
      <c r="B52" s="23" t="s">
        <v>43</v>
      </c>
      <c r="C52" s="16">
        <v>45411</v>
      </c>
      <c r="D52" s="16">
        <v>45411</v>
      </c>
      <c r="E52" s="13">
        <v>0.47436342592592595</v>
      </c>
      <c r="F52" s="23" t="b">
        <v>0</v>
      </c>
      <c r="G52" s="28">
        <v>85.79</v>
      </c>
    </row>
    <row r="53" spans="1:7" ht="15" thickBot="1" x14ac:dyDescent="0.4">
      <c r="A53" s="3" t="s">
        <v>964</v>
      </c>
      <c r="G53" s="15">
        <f>SUM(G52)</f>
        <v>85.79</v>
      </c>
    </row>
    <row r="54" spans="1:7" ht="15" thickTop="1" x14ac:dyDescent="0.35"/>
    <row r="58" spans="1:7" x14ac:dyDescent="0.35">
      <c r="A58" t="s">
        <v>965</v>
      </c>
      <c r="G58" s="56">
        <f>SUM(G53,G50,G38,G34,G25,G20,G14,G11)</f>
        <v>711.12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88"/>
  <sheetViews>
    <sheetView topLeftCell="A75" workbookViewId="0">
      <selection activeCell="E88" sqref="E88"/>
    </sheetView>
  </sheetViews>
  <sheetFormatPr defaultRowHeight="14.5" x14ac:dyDescent="0.35"/>
  <cols>
    <col min="1" max="1" width="29.90625" customWidth="1"/>
    <col min="2" max="2" width="29.7265625" customWidth="1"/>
    <col min="3" max="3" width="20.54296875" customWidth="1"/>
    <col min="5" max="5" width="12.08984375" customWidth="1"/>
  </cols>
  <sheetData>
    <row r="7" spans="1:5" ht="15" thickBot="1" x14ac:dyDescent="0.4">
      <c r="A7" s="25" t="s">
        <v>0</v>
      </c>
      <c r="B7" s="25" t="s">
        <v>1</v>
      </c>
      <c r="C7" s="25" t="s">
        <v>2</v>
      </c>
      <c r="D7" s="25" t="s">
        <v>5</v>
      </c>
      <c r="E7" s="25" t="s">
        <v>6</v>
      </c>
    </row>
    <row r="8" spans="1:5" x14ac:dyDescent="0.35">
      <c r="A8" s="22" t="s">
        <v>44</v>
      </c>
      <c r="B8" s="21" t="s">
        <v>8</v>
      </c>
      <c r="C8" s="18">
        <v>45418</v>
      </c>
      <c r="D8" s="21" t="b">
        <v>0</v>
      </c>
      <c r="E8" s="11">
        <v>0.5</v>
      </c>
    </row>
    <row r="9" spans="1:5" ht="15" thickBot="1" x14ac:dyDescent="0.4">
      <c r="A9" s="20" t="s">
        <v>45</v>
      </c>
      <c r="B9" s="7" t="s">
        <v>8</v>
      </c>
      <c r="C9" s="6">
        <v>45418</v>
      </c>
      <c r="D9" s="7" t="b">
        <v>0</v>
      </c>
      <c r="E9" s="26">
        <v>0.5</v>
      </c>
    </row>
    <row r="10" spans="1:5" s="36" customFormat="1" x14ac:dyDescent="0.35">
      <c r="A10" s="38" t="s">
        <v>964</v>
      </c>
      <c r="C10" s="37"/>
      <c r="E10" s="4">
        <f>SUM(E8:E9)</f>
        <v>1</v>
      </c>
    </row>
    <row r="11" spans="1:5" s="36" customFormat="1" ht="15" thickBot="1" x14ac:dyDescent="0.4">
      <c r="A11" s="38"/>
      <c r="C11" s="37"/>
      <c r="E11" s="4"/>
    </row>
    <row r="12" spans="1:5" x14ac:dyDescent="0.35">
      <c r="A12" s="22" t="s">
        <v>46</v>
      </c>
      <c r="B12" s="21" t="s">
        <v>10</v>
      </c>
      <c r="C12" s="18">
        <v>45424</v>
      </c>
      <c r="D12" s="21" t="b">
        <v>0</v>
      </c>
      <c r="E12" s="11">
        <v>14.82</v>
      </c>
    </row>
    <row r="13" spans="1:5" x14ac:dyDescent="0.35">
      <c r="A13" s="17" t="s">
        <v>47</v>
      </c>
      <c r="B13" s="2" t="s">
        <v>10</v>
      </c>
      <c r="C13" s="9">
        <v>45421</v>
      </c>
      <c r="D13" s="2" t="b">
        <v>0</v>
      </c>
      <c r="E13" s="29">
        <v>27.17</v>
      </c>
    </row>
    <row r="14" spans="1:5" ht="15" thickBot="1" x14ac:dyDescent="0.4">
      <c r="A14" s="27" t="s">
        <v>48</v>
      </c>
      <c r="B14" s="7" t="s">
        <v>10</v>
      </c>
      <c r="C14" s="6">
        <v>45418</v>
      </c>
      <c r="D14" s="7" t="b">
        <v>0</v>
      </c>
      <c r="E14" s="26">
        <v>0.5</v>
      </c>
    </row>
    <row r="15" spans="1:5" s="36" customFormat="1" x14ac:dyDescent="0.35">
      <c r="A15" s="3" t="s">
        <v>964</v>
      </c>
      <c r="C15" s="37"/>
      <c r="E15" s="4">
        <f>SUM(E12:E14)</f>
        <v>42.49</v>
      </c>
    </row>
    <row r="16" spans="1:5" s="36" customFormat="1" ht="15" thickBot="1" x14ac:dyDescent="0.4">
      <c r="C16" s="37"/>
      <c r="E16" s="4"/>
    </row>
    <row r="17" spans="1:5" ht="15" thickBot="1" x14ac:dyDescent="0.4">
      <c r="A17" s="31" t="s">
        <v>49</v>
      </c>
      <c r="B17" s="23" t="s">
        <v>17</v>
      </c>
      <c r="C17" s="16">
        <v>45418</v>
      </c>
      <c r="D17" s="23" t="b">
        <v>0</v>
      </c>
      <c r="E17" s="28">
        <v>0.5</v>
      </c>
    </row>
    <row r="18" spans="1:5" s="36" customFormat="1" x14ac:dyDescent="0.35">
      <c r="A18" s="3" t="s">
        <v>964</v>
      </c>
      <c r="C18" s="37"/>
      <c r="E18" s="4">
        <f>SUM(E17)</f>
        <v>0.5</v>
      </c>
    </row>
    <row r="19" spans="1:5" s="36" customFormat="1" ht="15" thickBot="1" x14ac:dyDescent="0.4">
      <c r="C19" s="37"/>
      <c r="E19" s="4"/>
    </row>
    <row r="20" spans="1:5" x14ac:dyDescent="0.35">
      <c r="A20" s="22" t="s">
        <v>50</v>
      </c>
      <c r="B20" s="21" t="s">
        <v>51</v>
      </c>
      <c r="C20" s="18">
        <v>45418</v>
      </c>
      <c r="D20" s="21" t="b">
        <v>0</v>
      </c>
      <c r="E20" s="11">
        <v>0.5</v>
      </c>
    </row>
    <row r="21" spans="1:5" ht="15" thickBot="1" x14ac:dyDescent="0.4">
      <c r="A21" s="27" t="s">
        <v>52</v>
      </c>
      <c r="B21" s="7" t="s">
        <v>51</v>
      </c>
      <c r="C21" s="6">
        <v>45418</v>
      </c>
      <c r="D21" s="7" t="b">
        <v>0</v>
      </c>
      <c r="E21" s="26">
        <v>0.5</v>
      </c>
    </row>
    <row r="22" spans="1:5" s="36" customFormat="1" x14ac:dyDescent="0.35">
      <c r="A22" s="3" t="s">
        <v>964</v>
      </c>
      <c r="C22" s="37"/>
      <c r="E22" s="4">
        <f>SUM(E20:E21)</f>
        <v>1</v>
      </c>
    </row>
    <row r="23" spans="1:5" s="36" customFormat="1" ht="15" thickBot="1" x14ac:dyDescent="0.4">
      <c r="C23" s="37"/>
      <c r="E23" s="4"/>
    </row>
    <row r="24" spans="1:5" x14ac:dyDescent="0.35">
      <c r="A24" s="22" t="s">
        <v>53</v>
      </c>
      <c r="B24" s="21" t="s">
        <v>21</v>
      </c>
      <c r="C24" s="18">
        <v>45442</v>
      </c>
      <c r="D24" s="21" t="b">
        <v>0</v>
      </c>
      <c r="E24" s="11">
        <v>36.15</v>
      </c>
    </row>
    <row r="25" spans="1:5" x14ac:dyDescent="0.35">
      <c r="A25" s="17" t="s">
        <v>54</v>
      </c>
      <c r="B25" s="2" t="s">
        <v>21</v>
      </c>
      <c r="C25" s="9">
        <v>45438</v>
      </c>
      <c r="D25" s="2" t="b">
        <v>0</v>
      </c>
      <c r="E25" s="29">
        <v>42.65</v>
      </c>
    </row>
    <row r="26" spans="1:5" x14ac:dyDescent="0.35">
      <c r="A26" s="17" t="s">
        <v>55</v>
      </c>
      <c r="B26" s="2" t="s">
        <v>21</v>
      </c>
      <c r="C26" s="9">
        <v>45438</v>
      </c>
      <c r="D26" s="2" t="b">
        <v>0</v>
      </c>
      <c r="E26" s="29">
        <v>0.5</v>
      </c>
    </row>
    <row r="27" spans="1:5" x14ac:dyDescent="0.35">
      <c r="A27" s="17" t="s">
        <v>56</v>
      </c>
      <c r="B27" s="2" t="s">
        <v>21</v>
      </c>
      <c r="C27" s="9">
        <v>45436</v>
      </c>
      <c r="D27" s="2" t="b">
        <v>0</v>
      </c>
      <c r="E27" s="29">
        <v>35.450000000000003</v>
      </c>
    </row>
    <row r="28" spans="1:5" x14ac:dyDescent="0.35">
      <c r="A28" s="17" t="s">
        <v>57</v>
      </c>
      <c r="B28" s="2" t="s">
        <v>21</v>
      </c>
      <c r="C28" s="9">
        <v>45434</v>
      </c>
      <c r="D28" s="2" t="b">
        <v>0</v>
      </c>
      <c r="E28" s="29">
        <v>16.899999999999999</v>
      </c>
    </row>
    <row r="29" spans="1:5" x14ac:dyDescent="0.35">
      <c r="A29" s="17" t="s">
        <v>58</v>
      </c>
      <c r="B29" s="2" t="s">
        <v>21</v>
      </c>
      <c r="C29" s="9">
        <v>45429</v>
      </c>
      <c r="D29" s="2" t="b">
        <v>0</v>
      </c>
      <c r="E29" s="29">
        <v>29.59</v>
      </c>
    </row>
    <row r="30" spans="1:5" x14ac:dyDescent="0.35">
      <c r="A30" s="17" t="s">
        <v>59</v>
      </c>
      <c r="B30" s="2" t="s">
        <v>21</v>
      </c>
      <c r="C30" s="9">
        <v>45426</v>
      </c>
      <c r="D30" s="2" t="b">
        <v>0</v>
      </c>
      <c r="E30" s="29">
        <v>33.76</v>
      </c>
    </row>
    <row r="31" spans="1:5" x14ac:dyDescent="0.35">
      <c r="A31" s="17" t="s">
        <v>60</v>
      </c>
      <c r="B31" s="2" t="s">
        <v>21</v>
      </c>
      <c r="C31" s="9">
        <v>45420</v>
      </c>
      <c r="D31" s="2" t="b">
        <v>0</v>
      </c>
      <c r="E31" s="29">
        <v>23.4</v>
      </c>
    </row>
    <row r="32" spans="1:5" x14ac:dyDescent="0.35">
      <c r="A32" s="17" t="s">
        <v>61</v>
      </c>
      <c r="B32" s="2" t="s">
        <v>21</v>
      </c>
      <c r="C32" s="9">
        <v>45420</v>
      </c>
      <c r="D32" s="2" t="b">
        <v>0</v>
      </c>
      <c r="E32" s="29">
        <v>20.28</v>
      </c>
    </row>
    <row r="33" spans="1:5" x14ac:dyDescent="0.35">
      <c r="A33" s="17" t="s">
        <v>62</v>
      </c>
      <c r="B33" s="2" t="s">
        <v>21</v>
      </c>
      <c r="C33" s="9">
        <v>45419</v>
      </c>
      <c r="D33" s="2" t="b">
        <v>0</v>
      </c>
      <c r="E33" s="29">
        <v>15</v>
      </c>
    </row>
    <row r="34" spans="1:5" x14ac:dyDescent="0.35">
      <c r="A34" s="17" t="s">
        <v>63</v>
      </c>
      <c r="B34" s="2" t="s">
        <v>21</v>
      </c>
      <c r="C34" s="9">
        <v>45418</v>
      </c>
      <c r="D34" s="2" t="b">
        <v>0</v>
      </c>
      <c r="E34" s="29">
        <v>0.5</v>
      </c>
    </row>
    <row r="35" spans="1:5" x14ac:dyDescent="0.35">
      <c r="A35" s="17" t="s">
        <v>64</v>
      </c>
      <c r="B35" s="2" t="s">
        <v>21</v>
      </c>
      <c r="C35" s="9">
        <v>45418</v>
      </c>
      <c r="D35" s="2" t="b">
        <v>0</v>
      </c>
      <c r="E35" s="29">
        <v>0.5</v>
      </c>
    </row>
    <row r="36" spans="1:5" x14ac:dyDescent="0.35">
      <c r="A36" s="17" t="s">
        <v>65</v>
      </c>
      <c r="B36" s="2" t="s">
        <v>21</v>
      </c>
      <c r="C36" s="9">
        <v>45418</v>
      </c>
      <c r="D36" s="2" t="b">
        <v>0</v>
      </c>
      <c r="E36" s="29">
        <v>42.5</v>
      </c>
    </row>
    <row r="37" spans="1:5" ht="15" thickBot="1" x14ac:dyDescent="0.4">
      <c r="A37" s="27" t="s">
        <v>66</v>
      </c>
      <c r="B37" s="7" t="s">
        <v>21</v>
      </c>
      <c r="C37" s="6">
        <v>45414</v>
      </c>
      <c r="D37" s="7" t="b">
        <v>0</v>
      </c>
      <c r="E37" s="26">
        <v>36.090000000000003</v>
      </c>
    </row>
    <row r="38" spans="1:5" s="36" customFormat="1" x14ac:dyDescent="0.35">
      <c r="A38" s="48" t="s">
        <v>964</v>
      </c>
      <c r="C38" s="37"/>
      <c r="E38" s="4">
        <f>SUM(E24:E37)</f>
        <v>333.27</v>
      </c>
    </row>
    <row r="39" spans="1:5" s="36" customFormat="1" ht="15" thickBot="1" x14ac:dyDescent="0.4">
      <c r="C39" s="37"/>
      <c r="E39" s="4"/>
    </row>
    <row r="40" spans="1:5" x14ac:dyDescent="0.35">
      <c r="A40" s="22" t="s">
        <v>67</v>
      </c>
      <c r="B40" s="21" t="s">
        <v>28</v>
      </c>
      <c r="C40" s="18">
        <v>45443</v>
      </c>
      <c r="D40" s="21" t="b">
        <v>0</v>
      </c>
      <c r="E40" s="11">
        <v>29.03</v>
      </c>
    </row>
    <row r="41" spans="1:5" x14ac:dyDescent="0.35">
      <c r="A41" s="17" t="s">
        <v>68</v>
      </c>
      <c r="B41" s="2" t="s">
        <v>28</v>
      </c>
      <c r="C41" s="9">
        <v>45439</v>
      </c>
      <c r="D41" s="2" t="b">
        <v>0</v>
      </c>
      <c r="E41" s="29">
        <v>34.9</v>
      </c>
    </row>
    <row r="42" spans="1:5" x14ac:dyDescent="0.35">
      <c r="A42" s="17" t="s">
        <v>69</v>
      </c>
      <c r="B42" s="2" t="s">
        <v>28</v>
      </c>
      <c r="C42" s="9">
        <v>45438</v>
      </c>
      <c r="D42" s="2" t="b">
        <v>0</v>
      </c>
      <c r="E42" s="29">
        <v>0.5</v>
      </c>
    </row>
    <row r="43" spans="1:5" x14ac:dyDescent="0.35">
      <c r="A43" s="17" t="s">
        <v>70</v>
      </c>
      <c r="B43" s="2" t="s">
        <v>28</v>
      </c>
      <c r="C43" s="9">
        <v>45431</v>
      </c>
      <c r="D43" s="2" t="b">
        <v>0</v>
      </c>
      <c r="E43" s="29">
        <v>38.79</v>
      </c>
    </row>
    <row r="44" spans="1:5" x14ac:dyDescent="0.35">
      <c r="A44" s="17" t="s">
        <v>71</v>
      </c>
      <c r="B44" s="2" t="s">
        <v>28</v>
      </c>
      <c r="C44" s="9">
        <v>45431</v>
      </c>
      <c r="D44" s="2" t="b">
        <v>0</v>
      </c>
      <c r="E44" s="29">
        <v>18.59</v>
      </c>
    </row>
    <row r="45" spans="1:5" x14ac:dyDescent="0.35">
      <c r="A45" s="17" t="s">
        <v>72</v>
      </c>
      <c r="B45" s="2" t="s">
        <v>28</v>
      </c>
      <c r="C45" s="9">
        <v>45423</v>
      </c>
      <c r="D45" s="2" t="b">
        <v>0</v>
      </c>
      <c r="E45" s="29">
        <v>10.44</v>
      </c>
    </row>
    <row r="46" spans="1:5" x14ac:dyDescent="0.35">
      <c r="A46" s="17" t="s">
        <v>73</v>
      </c>
      <c r="B46" s="2" t="s">
        <v>28</v>
      </c>
      <c r="C46" s="9">
        <v>45421</v>
      </c>
      <c r="D46" s="2" t="b">
        <v>0</v>
      </c>
      <c r="E46" s="29">
        <v>18.239999999999998</v>
      </c>
    </row>
    <row r="47" spans="1:5" x14ac:dyDescent="0.35">
      <c r="A47" s="17" t="s">
        <v>74</v>
      </c>
      <c r="B47" s="2" t="s">
        <v>28</v>
      </c>
      <c r="C47" s="9">
        <v>45418</v>
      </c>
      <c r="D47" s="2" t="b">
        <v>0</v>
      </c>
      <c r="E47" s="29">
        <v>0.5</v>
      </c>
    </row>
    <row r="48" spans="1:5" x14ac:dyDescent="0.35">
      <c r="A48" s="17" t="s">
        <v>75</v>
      </c>
      <c r="B48" s="2" t="s">
        <v>28</v>
      </c>
      <c r="C48" s="9">
        <v>45418</v>
      </c>
      <c r="D48" s="2" t="b">
        <v>0</v>
      </c>
      <c r="E48" s="29">
        <v>0.5</v>
      </c>
    </row>
    <row r="49" spans="1:5" x14ac:dyDescent="0.35">
      <c r="A49" s="17" t="s">
        <v>76</v>
      </c>
      <c r="B49" s="2" t="s">
        <v>28</v>
      </c>
      <c r="C49" s="9">
        <v>45416</v>
      </c>
      <c r="D49" s="2" t="b">
        <v>0</v>
      </c>
      <c r="E49" s="29">
        <v>29.03</v>
      </c>
    </row>
    <row r="50" spans="1:5" ht="15" thickBot="1" x14ac:dyDescent="0.4">
      <c r="A50" s="27" t="s">
        <v>77</v>
      </c>
      <c r="B50" s="7" t="s">
        <v>28</v>
      </c>
      <c r="C50" s="6">
        <v>45415</v>
      </c>
      <c r="D50" s="7" t="b">
        <v>0</v>
      </c>
      <c r="E50" s="26">
        <v>16.3</v>
      </c>
    </row>
    <row r="51" spans="1:5" s="36" customFormat="1" x14ac:dyDescent="0.35">
      <c r="A51" s="48" t="s">
        <v>964</v>
      </c>
      <c r="C51" s="37"/>
      <c r="E51" s="4">
        <f>SUM(E40:E50)</f>
        <v>196.82000000000002</v>
      </c>
    </row>
    <row r="52" spans="1:5" s="36" customFormat="1" ht="15" thickBot="1" x14ac:dyDescent="0.4">
      <c r="C52" s="37"/>
      <c r="E52" s="4"/>
    </row>
    <row r="53" spans="1:5" x14ac:dyDescent="0.35">
      <c r="A53" s="22" t="s">
        <v>78</v>
      </c>
      <c r="B53" s="21" t="s">
        <v>32</v>
      </c>
      <c r="C53" s="18">
        <v>45442</v>
      </c>
      <c r="D53" s="21" t="b">
        <v>0</v>
      </c>
      <c r="E53" s="11">
        <v>25.42</v>
      </c>
    </row>
    <row r="54" spans="1:5" x14ac:dyDescent="0.35">
      <c r="A54" s="17" t="s">
        <v>79</v>
      </c>
      <c r="B54" s="2" t="s">
        <v>32</v>
      </c>
      <c r="C54" s="9">
        <v>45439</v>
      </c>
      <c r="D54" s="2" t="b">
        <v>0</v>
      </c>
      <c r="E54" s="29">
        <v>24.44</v>
      </c>
    </row>
    <row r="55" spans="1:5" x14ac:dyDescent="0.35">
      <c r="A55" s="17" t="s">
        <v>80</v>
      </c>
      <c r="B55" s="2" t="s">
        <v>32</v>
      </c>
      <c r="C55" s="9">
        <v>45438</v>
      </c>
      <c r="D55" s="2" t="b">
        <v>0</v>
      </c>
      <c r="E55" s="29">
        <v>0.5</v>
      </c>
    </row>
    <row r="56" spans="1:5" x14ac:dyDescent="0.35">
      <c r="A56" s="17" t="s">
        <v>81</v>
      </c>
      <c r="B56" s="2" t="s">
        <v>32</v>
      </c>
      <c r="C56" s="9">
        <v>45437</v>
      </c>
      <c r="D56" s="2" t="b">
        <v>0</v>
      </c>
      <c r="E56" s="29">
        <v>4.8</v>
      </c>
    </row>
    <row r="57" spans="1:5" x14ac:dyDescent="0.35">
      <c r="A57" s="17" t="s">
        <v>82</v>
      </c>
      <c r="B57" s="2" t="s">
        <v>32</v>
      </c>
      <c r="C57" s="9">
        <v>45433</v>
      </c>
      <c r="D57" s="2" t="b">
        <v>0</v>
      </c>
      <c r="E57" s="29">
        <v>8.15</v>
      </c>
    </row>
    <row r="58" spans="1:5" x14ac:dyDescent="0.35">
      <c r="A58" s="17" t="s">
        <v>83</v>
      </c>
      <c r="B58" s="2" t="s">
        <v>32</v>
      </c>
      <c r="C58" s="9">
        <v>45431</v>
      </c>
      <c r="D58" s="2" t="b">
        <v>0</v>
      </c>
      <c r="E58" s="29">
        <v>52.2</v>
      </c>
    </row>
    <row r="59" spans="1:5" x14ac:dyDescent="0.35">
      <c r="A59" s="17" t="s">
        <v>84</v>
      </c>
      <c r="B59" s="2" t="s">
        <v>32</v>
      </c>
      <c r="C59" s="9">
        <v>45430</v>
      </c>
      <c r="D59" s="2" t="b">
        <v>0</v>
      </c>
      <c r="E59" s="29">
        <v>20.9</v>
      </c>
    </row>
    <row r="60" spans="1:5" x14ac:dyDescent="0.35">
      <c r="A60" s="47" t="s">
        <v>85</v>
      </c>
      <c r="B60" s="2" t="s">
        <v>32</v>
      </c>
      <c r="C60" s="9">
        <v>45429</v>
      </c>
      <c r="D60" s="2" t="b">
        <v>0</v>
      </c>
      <c r="E60" s="29">
        <v>40.75</v>
      </c>
    </row>
    <row r="61" spans="1:5" x14ac:dyDescent="0.35">
      <c r="A61" s="17" t="s">
        <v>86</v>
      </c>
      <c r="B61" s="2" t="s">
        <v>32</v>
      </c>
      <c r="C61" s="9">
        <v>45429</v>
      </c>
      <c r="D61" s="2" t="b">
        <v>0</v>
      </c>
      <c r="E61" s="29">
        <v>26.74</v>
      </c>
    </row>
    <row r="62" spans="1:5" x14ac:dyDescent="0.35">
      <c r="A62" s="17" t="s">
        <v>87</v>
      </c>
      <c r="B62" s="2" t="s">
        <v>32</v>
      </c>
      <c r="C62" s="9">
        <v>45423</v>
      </c>
      <c r="D62" s="2" t="b">
        <v>0</v>
      </c>
      <c r="E62" s="29">
        <v>75.989999999999995</v>
      </c>
    </row>
    <row r="63" spans="1:5" x14ac:dyDescent="0.35">
      <c r="A63" s="17" t="s">
        <v>88</v>
      </c>
      <c r="B63" s="2" t="s">
        <v>32</v>
      </c>
      <c r="C63" s="9">
        <v>45425</v>
      </c>
      <c r="D63" s="2" t="b">
        <v>0</v>
      </c>
      <c r="E63" s="29">
        <v>47.73</v>
      </c>
    </row>
    <row r="64" spans="1:5" x14ac:dyDescent="0.35">
      <c r="A64" s="17" t="s">
        <v>89</v>
      </c>
      <c r="B64" s="2" t="s">
        <v>32</v>
      </c>
      <c r="C64" s="9">
        <v>45424</v>
      </c>
      <c r="D64" s="2" t="b">
        <v>0</v>
      </c>
      <c r="E64" s="29">
        <v>31.74</v>
      </c>
    </row>
    <row r="65" spans="1:5" x14ac:dyDescent="0.35">
      <c r="A65" s="17" t="s">
        <v>90</v>
      </c>
      <c r="B65" s="2" t="s">
        <v>32</v>
      </c>
      <c r="C65" s="9">
        <v>45422</v>
      </c>
      <c r="D65" s="2" t="b">
        <v>0</v>
      </c>
      <c r="E65" s="29">
        <v>29.15</v>
      </c>
    </row>
    <row r="66" spans="1:5" x14ac:dyDescent="0.35">
      <c r="A66" s="17" t="s">
        <v>91</v>
      </c>
      <c r="B66" s="2" t="s">
        <v>32</v>
      </c>
      <c r="C66" s="9">
        <v>45418</v>
      </c>
      <c r="D66" s="2" t="b">
        <v>0</v>
      </c>
      <c r="E66" s="29">
        <v>0.5</v>
      </c>
    </row>
    <row r="67" spans="1:5" x14ac:dyDescent="0.35">
      <c r="A67" s="17" t="s">
        <v>92</v>
      </c>
      <c r="B67" s="2" t="s">
        <v>32</v>
      </c>
      <c r="C67" s="9">
        <v>45418</v>
      </c>
      <c r="D67" s="2" t="b">
        <v>0</v>
      </c>
      <c r="E67" s="29">
        <v>0.5</v>
      </c>
    </row>
    <row r="68" spans="1:5" x14ac:dyDescent="0.35">
      <c r="A68" s="17" t="s">
        <v>93</v>
      </c>
      <c r="B68" s="2" t="s">
        <v>32</v>
      </c>
      <c r="C68" s="9">
        <v>45416</v>
      </c>
      <c r="D68" s="2" t="b">
        <v>0</v>
      </c>
      <c r="E68" s="29">
        <v>49.87</v>
      </c>
    </row>
    <row r="69" spans="1:5" x14ac:dyDescent="0.35">
      <c r="A69" s="17" t="s">
        <v>94</v>
      </c>
      <c r="B69" s="2" t="s">
        <v>32</v>
      </c>
      <c r="C69" s="9">
        <v>45416</v>
      </c>
      <c r="D69" s="2" t="b">
        <v>0</v>
      </c>
      <c r="E69" s="29">
        <v>16.3</v>
      </c>
    </row>
    <row r="70" spans="1:5" x14ac:dyDescent="0.35">
      <c r="A70" s="17" t="s">
        <v>95</v>
      </c>
      <c r="B70" s="2" t="s">
        <v>32</v>
      </c>
      <c r="C70" s="9">
        <v>45416</v>
      </c>
      <c r="D70" s="2" t="b">
        <v>0</v>
      </c>
      <c r="E70" s="29">
        <v>26</v>
      </c>
    </row>
    <row r="71" spans="1:5" x14ac:dyDescent="0.35">
      <c r="A71" s="17" t="s">
        <v>96</v>
      </c>
      <c r="B71" s="2" t="s">
        <v>32</v>
      </c>
      <c r="C71" s="9">
        <v>45414</v>
      </c>
      <c r="D71" s="2" t="b">
        <v>0</v>
      </c>
      <c r="E71" s="29">
        <v>92.68</v>
      </c>
    </row>
    <row r="72" spans="1:5" ht="15" thickBot="1" x14ac:dyDescent="0.4">
      <c r="A72" s="27" t="s">
        <v>97</v>
      </c>
      <c r="B72" s="7" t="s">
        <v>32</v>
      </c>
      <c r="C72" s="6">
        <v>45414</v>
      </c>
      <c r="D72" s="7" t="b">
        <v>0</v>
      </c>
      <c r="E72" s="26">
        <v>5</v>
      </c>
    </row>
    <row r="73" spans="1:5" s="36" customFormat="1" x14ac:dyDescent="0.35">
      <c r="A73" s="48" t="s">
        <v>964</v>
      </c>
      <c r="C73" s="37"/>
      <c r="E73" s="4">
        <f>SUM(E53:E72)</f>
        <v>579.36</v>
      </c>
    </row>
    <row r="74" spans="1:5" s="36" customFormat="1" ht="15" thickBot="1" x14ac:dyDescent="0.4">
      <c r="C74" s="37"/>
      <c r="E74" s="4"/>
    </row>
    <row r="75" spans="1:5" x14ac:dyDescent="0.35">
      <c r="A75" s="22" t="s">
        <v>98</v>
      </c>
      <c r="B75" s="21" t="s">
        <v>43</v>
      </c>
      <c r="C75" s="18">
        <v>45441</v>
      </c>
      <c r="D75" s="21" t="b">
        <v>0</v>
      </c>
      <c r="E75" s="11">
        <v>27.17</v>
      </c>
    </row>
    <row r="76" spans="1:5" x14ac:dyDescent="0.35">
      <c r="A76" s="17" t="s">
        <v>99</v>
      </c>
      <c r="B76" s="2" t="s">
        <v>43</v>
      </c>
      <c r="C76" s="9">
        <v>45438</v>
      </c>
      <c r="D76" s="2" t="b">
        <v>0</v>
      </c>
      <c r="E76" s="29">
        <v>20.8</v>
      </c>
    </row>
    <row r="77" spans="1:5" x14ac:dyDescent="0.35">
      <c r="A77" s="17" t="s">
        <v>100</v>
      </c>
      <c r="B77" s="2" t="s">
        <v>43</v>
      </c>
      <c r="C77" s="9">
        <v>45435</v>
      </c>
      <c r="D77" s="2" t="b">
        <v>0</v>
      </c>
      <c r="E77" s="29">
        <v>24.7</v>
      </c>
    </row>
    <row r="78" spans="1:5" x14ac:dyDescent="0.35">
      <c r="A78" s="17" t="s">
        <v>101</v>
      </c>
      <c r="B78" s="2" t="s">
        <v>43</v>
      </c>
      <c r="C78" s="9">
        <v>45430</v>
      </c>
      <c r="D78" s="2" t="b">
        <v>0</v>
      </c>
      <c r="E78" s="29">
        <v>16.899999999999999</v>
      </c>
    </row>
    <row r="79" spans="1:5" ht="15" thickBot="1" x14ac:dyDescent="0.4">
      <c r="A79" s="27" t="s">
        <v>102</v>
      </c>
      <c r="B79" s="7" t="s">
        <v>43</v>
      </c>
      <c r="C79" s="6">
        <v>45419</v>
      </c>
      <c r="D79" s="7" t="b">
        <v>0</v>
      </c>
      <c r="E79" s="26">
        <v>18.59</v>
      </c>
    </row>
    <row r="80" spans="1:5" s="36" customFormat="1" x14ac:dyDescent="0.35">
      <c r="A80" s="48" t="s">
        <v>964</v>
      </c>
      <c r="C80" s="37"/>
      <c r="E80" s="4">
        <f>SUM(E75:E79)</f>
        <v>108.16</v>
      </c>
    </row>
    <row r="81" spans="1:5" s="36" customFormat="1" ht="15" thickBot="1" x14ac:dyDescent="0.4">
      <c r="C81" s="37"/>
      <c r="E81" s="4"/>
    </row>
    <row r="82" spans="1:5" ht="15" thickBot="1" x14ac:dyDescent="0.4">
      <c r="A82" s="31" t="s">
        <v>103</v>
      </c>
      <c r="B82" s="23" t="s">
        <v>104</v>
      </c>
      <c r="C82" s="16">
        <v>45439</v>
      </c>
      <c r="D82" s="23" t="b">
        <v>0</v>
      </c>
      <c r="E82" s="28">
        <v>20.96</v>
      </c>
    </row>
    <row r="83" spans="1:5" x14ac:dyDescent="0.35">
      <c r="A83" s="3" t="s">
        <v>964</v>
      </c>
      <c r="E83" s="1">
        <f>SUM(E82)</f>
        <v>20.96</v>
      </c>
    </row>
    <row r="88" spans="1:5" x14ac:dyDescent="0.35">
      <c r="A88" t="s">
        <v>966</v>
      </c>
      <c r="E88" s="1">
        <f>SUM(E83,E80,E73,E51,E38,E22,E18,E15,E10)</f>
        <v>1283.5600000000002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68"/>
  <sheetViews>
    <sheetView topLeftCell="A36" zoomScale="80" zoomScaleNormal="80" workbookViewId="0">
      <selection activeCell="E68" sqref="E68"/>
    </sheetView>
  </sheetViews>
  <sheetFormatPr defaultRowHeight="14.5" x14ac:dyDescent="0.35"/>
  <cols>
    <col min="1" max="1" width="30.1796875" customWidth="1"/>
    <col min="2" max="2" width="42" customWidth="1"/>
    <col min="3" max="3" width="17.7265625" customWidth="1"/>
    <col min="4" max="4" width="12.36328125" customWidth="1"/>
    <col min="5" max="5" width="17.08984375" customWidth="1"/>
  </cols>
  <sheetData>
    <row r="7" spans="1:5" ht="15" thickBot="1" x14ac:dyDescent="0.4">
      <c r="A7" s="39" t="s">
        <v>0</v>
      </c>
      <c r="B7" s="39" t="s">
        <v>1</v>
      </c>
      <c r="C7" s="39" t="s">
        <v>2</v>
      </c>
      <c r="D7" s="39" t="s">
        <v>5</v>
      </c>
      <c r="E7" s="39" t="s">
        <v>6</v>
      </c>
    </row>
    <row r="8" spans="1:5" ht="15" thickBot="1" x14ac:dyDescent="0.4">
      <c r="A8" s="31" t="s">
        <v>105</v>
      </c>
      <c r="B8" s="23" t="s">
        <v>8</v>
      </c>
      <c r="C8" s="16">
        <v>45473</v>
      </c>
      <c r="D8" s="23" t="b">
        <v>0</v>
      </c>
      <c r="E8" s="28">
        <v>15.59</v>
      </c>
    </row>
    <row r="9" spans="1:5" s="40" customFormat="1" x14ac:dyDescent="0.35">
      <c r="A9" s="40" t="s">
        <v>964</v>
      </c>
      <c r="C9" s="41"/>
      <c r="E9" s="4">
        <f>SUM(E8)</f>
        <v>15.59</v>
      </c>
    </row>
    <row r="10" spans="1:5" s="40" customFormat="1" ht="15" thickBot="1" x14ac:dyDescent="0.4">
      <c r="C10" s="41"/>
      <c r="E10" s="4"/>
    </row>
    <row r="11" spans="1:5" ht="15" thickBot="1" x14ac:dyDescent="0.4">
      <c r="A11" s="31" t="s">
        <v>106</v>
      </c>
      <c r="B11" s="23" t="s">
        <v>10</v>
      </c>
      <c r="C11" s="16">
        <v>45463</v>
      </c>
      <c r="D11" s="23" t="b">
        <v>0</v>
      </c>
      <c r="E11" s="28">
        <v>16.579999999999998</v>
      </c>
    </row>
    <row r="12" spans="1:5" s="40" customFormat="1" x14ac:dyDescent="0.35">
      <c r="A12" s="3" t="s">
        <v>964</v>
      </c>
      <c r="C12" s="41"/>
      <c r="E12" s="4">
        <f>SUM(E11)</f>
        <v>16.579999999999998</v>
      </c>
    </row>
    <row r="13" spans="1:5" s="40" customFormat="1" ht="15" thickBot="1" x14ac:dyDescent="0.4">
      <c r="C13" s="41"/>
      <c r="E13" s="4"/>
    </row>
    <row r="14" spans="1:5" x14ac:dyDescent="0.35">
      <c r="A14" s="22" t="s">
        <v>107</v>
      </c>
      <c r="B14" s="21" t="s">
        <v>51</v>
      </c>
      <c r="C14" s="18">
        <v>45473</v>
      </c>
      <c r="D14" s="21" t="b">
        <v>0</v>
      </c>
      <c r="E14" s="11">
        <v>25.99</v>
      </c>
    </row>
    <row r="15" spans="1:5" x14ac:dyDescent="0.35">
      <c r="A15" s="17" t="s">
        <v>108</v>
      </c>
      <c r="B15" s="2" t="s">
        <v>51</v>
      </c>
      <c r="C15" s="9">
        <v>45467</v>
      </c>
      <c r="D15" s="2" t="b">
        <v>0</v>
      </c>
      <c r="E15" s="29">
        <v>37.93</v>
      </c>
    </row>
    <row r="16" spans="1:5" ht="15" thickBot="1" x14ac:dyDescent="0.4">
      <c r="A16" s="27" t="s">
        <v>109</v>
      </c>
      <c r="B16" s="7" t="s">
        <v>51</v>
      </c>
      <c r="C16" s="6">
        <v>45463</v>
      </c>
      <c r="D16" s="7" t="b">
        <v>0</v>
      </c>
      <c r="E16" s="26">
        <v>17.25</v>
      </c>
    </row>
    <row r="17" spans="1:5" s="40" customFormat="1" x14ac:dyDescent="0.35">
      <c r="A17" s="3" t="s">
        <v>964</v>
      </c>
      <c r="C17" s="41"/>
      <c r="E17" s="4">
        <f>SUM(E14:E16)</f>
        <v>81.17</v>
      </c>
    </row>
    <row r="18" spans="1:5" s="40" customFormat="1" ht="15" thickBot="1" x14ac:dyDescent="0.4">
      <c r="C18" s="41"/>
      <c r="E18" s="4"/>
    </row>
    <row r="19" spans="1:5" x14ac:dyDescent="0.35">
      <c r="A19" s="22" t="s">
        <v>110</v>
      </c>
      <c r="B19" s="21" t="s">
        <v>21</v>
      </c>
      <c r="C19" s="18">
        <v>45471</v>
      </c>
      <c r="D19" s="21" t="b">
        <v>0</v>
      </c>
      <c r="E19" s="11">
        <v>39.64</v>
      </c>
    </row>
    <row r="20" spans="1:5" x14ac:dyDescent="0.35">
      <c r="A20" s="17" t="s">
        <v>111</v>
      </c>
      <c r="B20" s="2" t="s">
        <v>21</v>
      </c>
      <c r="C20" s="9">
        <v>45471</v>
      </c>
      <c r="D20" s="2" t="b">
        <v>0</v>
      </c>
      <c r="E20" s="29">
        <v>21.97</v>
      </c>
    </row>
    <row r="21" spans="1:5" x14ac:dyDescent="0.35">
      <c r="A21" s="17" t="s">
        <v>112</v>
      </c>
      <c r="B21" s="2" t="s">
        <v>21</v>
      </c>
      <c r="C21" s="9">
        <v>45460</v>
      </c>
      <c r="D21" s="2" t="b">
        <v>0</v>
      </c>
      <c r="E21" s="29">
        <v>27.95</v>
      </c>
    </row>
    <row r="22" spans="1:5" x14ac:dyDescent="0.35">
      <c r="A22" s="17" t="s">
        <v>113</v>
      </c>
      <c r="B22" s="2" t="s">
        <v>21</v>
      </c>
      <c r="C22" s="9">
        <v>45455</v>
      </c>
      <c r="D22" s="2" t="b">
        <v>0</v>
      </c>
      <c r="E22" s="29">
        <v>37.43</v>
      </c>
    </row>
    <row r="23" spans="1:5" ht="15" thickBot="1" x14ac:dyDescent="0.4">
      <c r="A23" s="27" t="s">
        <v>114</v>
      </c>
      <c r="B23" s="7" t="s">
        <v>21</v>
      </c>
      <c r="C23" s="6">
        <v>45453</v>
      </c>
      <c r="D23" s="7" t="b">
        <v>0</v>
      </c>
      <c r="E23" s="26">
        <v>51.6</v>
      </c>
    </row>
    <row r="24" spans="1:5" s="40" customFormat="1" x14ac:dyDescent="0.35">
      <c r="A24" s="48" t="s">
        <v>964</v>
      </c>
      <c r="C24" s="41"/>
      <c r="E24" s="4">
        <f>SUM(E19:E23)</f>
        <v>178.59</v>
      </c>
    </row>
    <row r="25" spans="1:5" s="40" customFormat="1" ht="15" thickBot="1" x14ac:dyDescent="0.4">
      <c r="C25" s="41"/>
      <c r="E25" s="4"/>
    </row>
    <row r="26" spans="1:5" ht="15" customHeight="1" x14ac:dyDescent="0.35">
      <c r="A26" s="22" t="s">
        <v>115</v>
      </c>
      <c r="B26" s="21" t="s">
        <v>28</v>
      </c>
      <c r="C26" s="18">
        <v>45471</v>
      </c>
      <c r="D26" s="21" t="b">
        <v>0</v>
      </c>
      <c r="E26" s="11">
        <v>14.88</v>
      </c>
    </row>
    <row r="27" spans="1:5" x14ac:dyDescent="0.35">
      <c r="A27" s="17" t="s">
        <v>116</v>
      </c>
      <c r="B27" s="2" t="s">
        <v>28</v>
      </c>
      <c r="C27" s="9">
        <v>45462</v>
      </c>
      <c r="D27" s="2" t="b">
        <v>0</v>
      </c>
      <c r="E27" s="29">
        <v>7.48</v>
      </c>
    </row>
    <row r="28" spans="1:5" x14ac:dyDescent="0.35">
      <c r="A28" s="17" t="s">
        <v>117</v>
      </c>
      <c r="B28" s="2" t="s">
        <v>28</v>
      </c>
      <c r="C28" s="9">
        <v>45448</v>
      </c>
      <c r="D28" s="2" t="b">
        <v>0</v>
      </c>
      <c r="E28" s="29">
        <v>20.54</v>
      </c>
    </row>
    <row r="29" spans="1:5" x14ac:dyDescent="0.35">
      <c r="A29" s="17" t="s">
        <v>118</v>
      </c>
      <c r="B29" s="2" t="s">
        <v>28</v>
      </c>
      <c r="C29" s="9">
        <v>45448</v>
      </c>
      <c r="D29" s="2" t="b">
        <v>0</v>
      </c>
      <c r="E29" s="29">
        <v>13.15</v>
      </c>
    </row>
    <row r="30" spans="1:5" ht="15" thickBot="1" x14ac:dyDescent="0.4">
      <c r="A30" s="27" t="s">
        <v>119</v>
      </c>
      <c r="B30" s="7" t="s">
        <v>28</v>
      </c>
      <c r="C30" s="6">
        <v>45447</v>
      </c>
      <c r="D30" s="7" t="b">
        <v>0</v>
      </c>
      <c r="E30" s="26">
        <v>10.45</v>
      </c>
    </row>
    <row r="31" spans="1:5" s="40" customFormat="1" x14ac:dyDescent="0.35">
      <c r="A31" s="48" t="s">
        <v>964</v>
      </c>
      <c r="C31" s="41"/>
      <c r="E31" s="4">
        <f>SUM(E26:E30)</f>
        <v>66.5</v>
      </c>
    </row>
    <row r="32" spans="1:5" s="40" customFormat="1" ht="15" thickBot="1" x14ac:dyDescent="0.4">
      <c r="C32" s="41"/>
      <c r="E32" s="4"/>
    </row>
    <row r="33" spans="1:5" x14ac:dyDescent="0.35">
      <c r="A33" s="22" t="s">
        <v>120</v>
      </c>
      <c r="B33" s="21" t="s">
        <v>32</v>
      </c>
      <c r="C33" s="18">
        <v>45448</v>
      </c>
      <c r="D33" s="21" t="b">
        <v>1</v>
      </c>
      <c r="E33" s="11">
        <v>42.33</v>
      </c>
    </row>
    <row r="34" spans="1:5" x14ac:dyDescent="0.35">
      <c r="A34" s="17" t="s">
        <v>121</v>
      </c>
      <c r="B34" s="2" t="s">
        <v>32</v>
      </c>
      <c r="C34" s="9">
        <v>45471</v>
      </c>
      <c r="D34" s="2" t="b">
        <v>0</v>
      </c>
      <c r="E34" s="29">
        <v>38.43</v>
      </c>
    </row>
    <row r="35" spans="1:5" x14ac:dyDescent="0.35">
      <c r="A35" s="17" t="s">
        <v>122</v>
      </c>
      <c r="B35" s="2" t="s">
        <v>32</v>
      </c>
      <c r="C35" s="9">
        <v>45469</v>
      </c>
      <c r="D35" s="2" t="b">
        <v>0</v>
      </c>
      <c r="E35" s="29">
        <v>21.73</v>
      </c>
    </row>
    <row r="36" spans="1:5" x14ac:dyDescent="0.35">
      <c r="A36" s="17" t="s">
        <v>123</v>
      </c>
      <c r="B36" s="2" t="s">
        <v>32</v>
      </c>
      <c r="C36" s="9">
        <v>45468</v>
      </c>
      <c r="D36" s="2" t="b">
        <v>0</v>
      </c>
      <c r="E36" s="29">
        <v>19.54</v>
      </c>
    </row>
    <row r="37" spans="1:5" x14ac:dyDescent="0.35">
      <c r="A37" s="17" t="s">
        <v>124</v>
      </c>
      <c r="B37" s="2" t="s">
        <v>32</v>
      </c>
      <c r="C37" s="9">
        <v>45463</v>
      </c>
      <c r="D37" s="2" t="b">
        <v>0</v>
      </c>
      <c r="E37" s="29">
        <v>75.989999999999995</v>
      </c>
    </row>
    <row r="38" spans="1:5" x14ac:dyDescent="0.35">
      <c r="A38" s="17" t="s">
        <v>125</v>
      </c>
      <c r="B38" s="2" t="s">
        <v>32</v>
      </c>
      <c r="C38" s="9">
        <v>45459</v>
      </c>
      <c r="D38" s="2" t="b">
        <v>0</v>
      </c>
      <c r="E38" s="29">
        <v>37.18</v>
      </c>
    </row>
    <row r="39" spans="1:5" x14ac:dyDescent="0.35">
      <c r="A39" s="17" t="s">
        <v>126</v>
      </c>
      <c r="B39" s="2" t="s">
        <v>32</v>
      </c>
      <c r="C39" s="9">
        <v>45459</v>
      </c>
      <c r="D39" s="2" t="b">
        <v>0</v>
      </c>
      <c r="E39" s="29">
        <v>10.44</v>
      </c>
    </row>
    <row r="40" spans="1:5" x14ac:dyDescent="0.35">
      <c r="A40" s="17" t="s">
        <v>127</v>
      </c>
      <c r="B40" s="2" t="s">
        <v>32</v>
      </c>
      <c r="C40" s="9">
        <v>45455</v>
      </c>
      <c r="D40" s="2" t="b">
        <v>0</v>
      </c>
      <c r="E40" s="29">
        <v>16.3</v>
      </c>
    </row>
    <row r="41" spans="1:5" x14ac:dyDescent="0.35">
      <c r="A41" s="17" t="s">
        <v>128</v>
      </c>
      <c r="B41" s="2" t="s">
        <v>32</v>
      </c>
      <c r="C41" s="9">
        <v>45452</v>
      </c>
      <c r="D41" s="2" t="b">
        <v>0</v>
      </c>
      <c r="E41" s="29">
        <v>16.82</v>
      </c>
    </row>
    <row r="42" spans="1:5" x14ac:dyDescent="0.35">
      <c r="A42" s="17" t="s">
        <v>129</v>
      </c>
      <c r="B42" s="2" t="s">
        <v>32</v>
      </c>
      <c r="C42" s="9">
        <v>45451</v>
      </c>
      <c r="D42" s="2" t="b">
        <v>0</v>
      </c>
      <c r="E42" s="29">
        <v>38.17</v>
      </c>
    </row>
    <row r="43" spans="1:5" x14ac:dyDescent="0.35">
      <c r="A43" s="17" t="s">
        <v>130</v>
      </c>
      <c r="B43" s="2" t="s">
        <v>32</v>
      </c>
      <c r="C43" s="9">
        <v>45450</v>
      </c>
      <c r="D43" s="2" t="b">
        <v>0</v>
      </c>
      <c r="E43" s="29">
        <v>20.9</v>
      </c>
    </row>
    <row r="44" spans="1:5" x14ac:dyDescent="0.35">
      <c r="A44" s="17" t="s">
        <v>131</v>
      </c>
      <c r="B44" s="2" t="s">
        <v>32</v>
      </c>
      <c r="C44" s="9">
        <v>45448</v>
      </c>
      <c r="D44" s="2" t="b">
        <v>0</v>
      </c>
      <c r="E44" s="29">
        <v>57.87</v>
      </c>
    </row>
    <row r="45" spans="1:5" x14ac:dyDescent="0.35">
      <c r="A45" s="17" t="s">
        <v>132</v>
      </c>
      <c r="B45" s="2" t="s">
        <v>32</v>
      </c>
      <c r="C45" s="9">
        <v>45448</v>
      </c>
      <c r="D45" s="2" t="b">
        <v>0</v>
      </c>
      <c r="E45" s="29">
        <v>8.15</v>
      </c>
    </row>
    <row r="46" spans="1:5" x14ac:dyDescent="0.35">
      <c r="A46" s="17" t="s">
        <v>133</v>
      </c>
      <c r="B46" s="2" t="s">
        <v>32</v>
      </c>
      <c r="C46" s="9">
        <v>45445</v>
      </c>
      <c r="D46" s="2" t="b">
        <v>0</v>
      </c>
      <c r="E46" s="29">
        <v>37.369999999999997</v>
      </c>
    </row>
    <row r="47" spans="1:5" x14ac:dyDescent="0.35">
      <c r="A47" s="17" t="s">
        <v>134</v>
      </c>
      <c r="B47" s="2" t="s">
        <v>32</v>
      </c>
      <c r="C47" s="9">
        <v>45445</v>
      </c>
      <c r="D47" s="2" t="b">
        <v>0</v>
      </c>
      <c r="E47" s="29">
        <v>10.44</v>
      </c>
    </row>
    <row r="48" spans="1:5" ht="15" thickBot="1" x14ac:dyDescent="0.4">
      <c r="A48" s="27" t="s">
        <v>135</v>
      </c>
      <c r="B48" s="7" t="s">
        <v>32</v>
      </c>
      <c r="C48" s="6">
        <v>45445</v>
      </c>
      <c r="D48" s="7" t="b">
        <v>0</v>
      </c>
      <c r="E48" s="26">
        <v>10.44</v>
      </c>
    </row>
    <row r="49" spans="1:5" s="40" customFormat="1" x14ac:dyDescent="0.35">
      <c r="A49" s="48" t="s">
        <v>964</v>
      </c>
      <c r="C49" s="41"/>
      <c r="E49" s="4">
        <f>SUM(E33:E48)</f>
        <v>462.09999999999997</v>
      </c>
    </row>
    <row r="50" spans="1:5" s="40" customFormat="1" ht="15" thickBot="1" x14ac:dyDescent="0.4">
      <c r="C50" s="41"/>
      <c r="E50" s="4"/>
    </row>
    <row r="51" spans="1:5" x14ac:dyDescent="0.35">
      <c r="A51" s="49" t="s">
        <v>136</v>
      </c>
      <c r="B51" s="21" t="s">
        <v>43</v>
      </c>
      <c r="C51" s="18">
        <v>45462</v>
      </c>
      <c r="D51" s="21" t="b">
        <v>1</v>
      </c>
      <c r="E51" s="11">
        <v>50.97</v>
      </c>
    </row>
    <row r="52" spans="1:5" x14ac:dyDescent="0.35">
      <c r="A52" s="17" t="s">
        <v>137</v>
      </c>
      <c r="B52" s="2" t="s">
        <v>43</v>
      </c>
      <c r="C52" s="9">
        <v>45473</v>
      </c>
      <c r="D52" s="2" t="b">
        <v>0</v>
      </c>
      <c r="E52" s="29">
        <v>24.77</v>
      </c>
    </row>
    <row r="53" spans="1:5" x14ac:dyDescent="0.35">
      <c r="A53" s="17" t="s">
        <v>138</v>
      </c>
      <c r="B53" s="2" t="s">
        <v>43</v>
      </c>
      <c r="C53" s="9">
        <v>45469</v>
      </c>
      <c r="D53" s="2" t="b">
        <v>0</v>
      </c>
      <c r="E53" s="29">
        <v>16.899999999999999</v>
      </c>
    </row>
    <row r="54" spans="1:5" x14ac:dyDescent="0.35">
      <c r="A54" s="17" t="s">
        <v>139</v>
      </c>
      <c r="B54" s="2" t="s">
        <v>43</v>
      </c>
      <c r="C54" s="9">
        <v>45467</v>
      </c>
      <c r="D54" s="2" t="b">
        <v>0</v>
      </c>
      <c r="E54" s="29">
        <v>20.48</v>
      </c>
    </row>
    <row r="55" spans="1:5" x14ac:dyDescent="0.35">
      <c r="A55" s="17" t="s">
        <v>140</v>
      </c>
      <c r="B55" s="2" t="s">
        <v>43</v>
      </c>
      <c r="C55" s="9">
        <v>45466</v>
      </c>
      <c r="D55" s="2" t="b">
        <v>0</v>
      </c>
      <c r="E55" s="29">
        <v>16.899999999999999</v>
      </c>
    </row>
    <row r="56" spans="1:5" x14ac:dyDescent="0.35">
      <c r="A56" s="17" t="s">
        <v>141</v>
      </c>
      <c r="B56" s="2" t="s">
        <v>43</v>
      </c>
      <c r="C56" s="9">
        <v>45459</v>
      </c>
      <c r="D56" s="2" t="b">
        <v>0</v>
      </c>
      <c r="E56" s="29">
        <v>39.92</v>
      </c>
    </row>
    <row r="57" spans="1:5" ht="15" thickBot="1" x14ac:dyDescent="0.4">
      <c r="A57" s="27" t="s">
        <v>142</v>
      </c>
      <c r="B57" s="7" t="s">
        <v>43</v>
      </c>
      <c r="C57" s="6">
        <v>45445</v>
      </c>
      <c r="D57" s="7" t="b">
        <v>0</v>
      </c>
      <c r="E57" s="26">
        <v>42.79</v>
      </c>
    </row>
    <row r="58" spans="1:5" s="40" customFormat="1" x14ac:dyDescent="0.35">
      <c r="A58" s="48" t="s">
        <v>964</v>
      </c>
      <c r="C58" s="41"/>
      <c r="E58" s="4">
        <f>SUM(E51:E57)</f>
        <v>212.73</v>
      </c>
    </row>
    <row r="59" spans="1:5" s="40" customFormat="1" ht="15" thickBot="1" x14ac:dyDescent="0.4">
      <c r="C59" s="41"/>
      <c r="E59" s="4"/>
    </row>
    <row r="60" spans="1:5" ht="15" thickBot="1" x14ac:dyDescent="0.4">
      <c r="A60" s="31" t="s">
        <v>143</v>
      </c>
      <c r="B60" s="23" t="s">
        <v>144</v>
      </c>
      <c r="C60" s="16">
        <v>45464</v>
      </c>
      <c r="D60" s="23" t="b">
        <v>0</v>
      </c>
      <c r="E60" s="28">
        <v>64.540000000000006</v>
      </c>
    </row>
    <row r="61" spans="1:5" s="40" customFormat="1" x14ac:dyDescent="0.35">
      <c r="A61" s="3" t="s">
        <v>964</v>
      </c>
      <c r="C61" s="41"/>
      <c r="E61" s="4">
        <f>SUM(E60)</f>
        <v>64.540000000000006</v>
      </c>
    </row>
    <row r="62" spans="1:5" s="40" customFormat="1" ht="15" thickBot="1" x14ac:dyDescent="0.4">
      <c r="C62" s="41"/>
      <c r="E62" s="4"/>
    </row>
    <row r="63" spans="1:5" ht="15" thickBot="1" x14ac:dyDescent="0.4">
      <c r="A63" s="31" t="s">
        <v>145</v>
      </c>
      <c r="B63" s="23" t="s">
        <v>104</v>
      </c>
      <c r="C63" s="16">
        <v>45458</v>
      </c>
      <c r="D63" s="23" t="b">
        <v>0</v>
      </c>
      <c r="E63" s="28">
        <v>10.74</v>
      </c>
    </row>
    <row r="64" spans="1:5" x14ac:dyDescent="0.35">
      <c r="A64" t="s">
        <v>964</v>
      </c>
      <c r="E64" s="1">
        <f>SUM(E63)</f>
        <v>10.74</v>
      </c>
    </row>
    <row r="68" spans="1:5" x14ac:dyDescent="0.35">
      <c r="A68" t="s">
        <v>967</v>
      </c>
      <c r="E68" s="1">
        <f>SUM(E64,E61,E58,E49,E31,E24,E17,E12,E9)</f>
        <v>1108.5399999999997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15"/>
  <sheetViews>
    <sheetView topLeftCell="A86" zoomScale="70" zoomScaleNormal="70" workbookViewId="0">
      <selection activeCell="E115" sqref="E115"/>
    </sheetView>
  </sheetViews>
  <sheetFormatPr defaultRowHeight="14.5" x14ac:dyDescent="0.35"/>
  <cols>
    <col min="1" max="1" width="31" customWidth="1"/>
    <col min="2" max="2" width="35.453125" customWidth="1"/>
    <col min="3" max="3" width="20.453125" customWidth="1"/>
    <col min="4" max="4" width="14.1796875" customWidth="1"/>
    <col min="5" max="5" width="16.1796875" customWidth="1"/>
  </cols>
  <sheetData>
    <row r="6" spans="1:5" ht="15" thickBot="1" x14ac:dyDescent="0.4"/>
    <row r="7" spans="1:5" ht="15" thickBot="1" x14ac:dyDescent="0.4">
      <c r="A7" s="31" t="s">
        <v>0</v>
      </c>
      <c r="B7" s="23" t="s">
        <v>1</v>
      </c>
      <c r="C7" s="23" t="s">
        <v>2</v>
      </c>
      <c r="D7" s="23" t="s">
        <v>5</v>
      </c>
      <c r="E7" s="46" t="s">
        <v>6</v>
      </c>
    </row>
    <row r="8" spans="1:5" x14ac:dyDescent="0.35">
      <c r="A8" s="22" t="s">
        <v>146</v>
      </c>
      <c r="B8" s="21" t="s">
        <v>8</v>
      </c>
      <c r="C8" s="18">
        <v>45488</v>
      </c>
      <c r="D8" s="21" t="b">
        <v>0</v>
      </c>
      <c r="E8" s="11">
        <v>18.34</v>
      </c>
    </row>
    <row r="9" spans="1:5" ht="15" thickBot="1" x14ac:dyDescent="0.4">
      <c r="A9" s="27" t="s">
        <v>147</v>
      </c>
      <c r="B9" s="7" t="s">
        <v>8</v>
      </c>
      <c r="C9" s="6">
        <v>45484</v>
      </c>
      <c r="D9" s="7" t="b">
        <v>0</v>
      </c>
      <c r="E9" s="26">
        <v>36.4</v>
      </c>
    </row>
    <row r="10" spans="1:5" s="40" customFormat="1" x14ac:dyDescent="0.35">
      <c r="A10" s="3" t="s">
        <v>964</v>
      </c>
      <c r="C10" s="41"/>
      <c r="E10" s="4">
        <f>SUM(E8:E9)</f>
        <v>54.739999999999995</v>
      </c>
    </row>
    <row r="11" spans="1:5" s="40" customFormat="1" ht="15" thickBot="1" x14ac:dyDescent="0.4">
      <c r="C11" s="41"/>
      <c r="E11" s="4"/>
    </row>
    <row r="12" spans="1:5" x14ac:dyDescent="0.35">
      <c r="A12" s="22" t="s">
        <v>148</v>
      </c>
      <c r="B12" s="21" t="s">
        <v>10</v>
      </c>
      <c r="C12" s="18">
        <v>45497</v>
      </c>
      <c r="D12" s="21" t="b">
        <v>0</v>
      </c>
      <c r="E12" s="11">
        <v>27.4</v>
      </c>
    </row>
    <row r="13" spans="1:5" x14ac:dyDescent="0.35">
      <c r="A13" s="17" t="s">
        <v>149</v>
      </c>
      <c r="B13" s="2" t="s">
        <v>10</v>
      </c>
      <c r="C13" s="9">
        <v>45495</v>
      </c>
      <c r="D13" s="2" t="b">
        <v>0</v>
      </c>
      <c r="E13" s="29">
        <v>37.380000000000003</v>
      </c>
    </row>
    <row r="14" spans="1:5" x14ac:dyDescent="0.35">
      <c r="A14" s="17" t="s">
        <v>150</v>
      </c>
      <c r="B14" s="2" t="s">
        <v>10</v>
      </c>
      <c r="C14" s="9">
        <v>45494</v>
      </c>
      <c r="D14" s="2" t="b">
        <v>0</v>
      </c>
      <c r="E14" s="29">
        <v>16.3</v>
      </c>
    </row>
    <row r="15" spans="1:5" x14ac:dyDescent="0.35">
      <c r="A15" s="17" t="s">
        <v>151</v>
      </c>
      <c r="B15" s="2" t="s">
        <v>10</v>
      </c>
      <c r="C15" s="9">
        <v>45493</v>
      </c>
      <c r="D15" s="2" t="b">
        <v>0</v>
      </c>
      <c r="E15" s="29">
        <v>42.49</v>
      </c>
    </row>
    <row r="16" spans="1:5" x14ac:dyDescent="0.35">
      <c r="A16" s="47" t="s">
        <v>152</v>
      </c>
      <c r="B16" s="2" t="s">
        <v>10</v>
      </c>
      <c r="C16" s="9">
        <v>45488</v>
      </c>
      <c r="D16" s="2" t="b">
        <v>0</v>
      </c>
      <c r="E16" s="29">
        <v>20.23</v>
      </c>
    </row>
    <row r="17" spans="1:5" x14ac:dyDescent="0.35">
      <c r="A17" s="17" t="s">
        <v>153</v>
      </c>
      <c r="B17" s="2" t="s">
        <v>10</v>
      </c>
      <c r="C17" s="9">
        <v>45488</v>
      </c>
      <c r="D17" s="2" t="b">
        <v>0</v>
      </c>
      <c r="E17" s="29">
        <v>12</v>
      </c>
    </row>
    <row r="18" spans="1:5" x14ac:dyDescent="0.35">
      <c r="A18" s="17" t="s">
        <v>154</v>
      </c>
      <c r="B18" s="2" t="s">
        <v>10</v>
      </c>
      <c r="C18" s="9">
        <v>45487</v>
      </c>
      <c r="D18" s="2" t="b">
        <v>0</v>
      </c>
      <c r="E18" s="29">
        <v>11.5</v>
      </c>
    </row>
    <row r="19" spans="1:5" x14ac:dyDescent="0.35">
      <c r="A19" s="17" t="s">
        <v>155</v>
      </c>
      <c r="B19" s="2" t="s">
        <v>10</v>
      </c>
      <c r="C19" s="9">
        <v>45485</v>
      </c>
      <c r="D19" s="2" t="b">
        <v>0</v>
      </c>
      <c r="E19" s="29">
        <v>22.62</v>
      </c>
    </row>
    <row r="20" spans="1:5" x14ac:dyDescent="0.35">
      <c r="A20" s="17" t="s">
        <v>156</v>
      </c>
      <c r="B20" s="2" t="s">
        <v>10</v>
      </c>
      <c r="C20" s="9">
        <v>45483</v>
      </c>
      <c r="D20" s="2" t="b">
        <v>0</v>
      </c>
      <c r="E20" s="29">
        <v>25.99</v>
      </c>
    </row>
    <row r="21" spans="1:5" ht="15" thickBot="1" x14ac:dyDescent="0.4">
      <c r="A21" s="27" t="s">
        <v>157</v>
      </c>
      <c r="B21" s="7" t="s">
        <v>10</v>
      </c>
      <c r="C21" s="6">
        <v>45477</v>
      </c>
      <c r="D21" s="7" t="b">
        <v>0</v>
      </c>
      <c r="E21" s="26">
        <v>25.34</v>
      </c>
    </row>
    <row r="22" spans="1:5" s="40" customFormat="1" x14ac:dyDescent="0.35">
      <c r="A22" s="48" t="s">
        <v>964</v>
      </c>
      <c r="C22" s="41"/>
      <c r="E22" s="4">
        <f>SUM(E12:E21)</f>
        <v>241.25</v>
      </c>
    </row>
    <row r="23" spans="1:5" s="40" customFormat="1" ht="15" thickBot="1" x14ac:dyDescent="0.4">
      <c r="C23" s="41"/>
      <c r="E23" s="4"/>
    </row>
    <row r="24" spans="1:5" ht="15" thickBot="1" x14ac:dyDescent="0.4">
      <c r="A24" s="31" t="s">
        <v>158</v>
      </c>
      <c r="B24" s="23" t="s">
        <v>12</v>
      </c>
      <c r="C24" s="16">
        <v>45487</v>
      </c>
      <c r="D24" s="23" t="b">
        <v>0</v>
      </c>
      <c r="E24" s="28">
        <v>26.58</v>
      </c>
    </row>
    <row r="25" spans="1:5" s="40" customFormat="1" x14ac:dyDescent="0.35">
      <c r="A25" s="3" t="s">
        <v>964</v>
      </c>
      <c r="C25" s="41"/>
      <c r="E25" s="4">
        <f>SUM(E24)</f>
        <v>26.58</v>
      </c>
    </row>
    <row r="26" spans="1:5" s="40" customFormat="1" ht="15" thickBot="1" x14ac:dyDescent="0.4">
      <c r="C26" s="41"/>
      <c r="E26" s="4"/>
    </row>
    <row r="27" spans="1:5" ht="15" thickBot="1" x14ac:dyDescent="0.4">
      <c r="A27" s="31" t="s">
        <v>159</v>
      </c>
      <c r="B27" s="23" t="s">
        <v>17</v>
      </c>
      <c r="C27" s="16">
        <v>45484</v>
      </c>
      <c r="D27" s="23" t="b">
        <v>0</v>
      </c>
      <c r="E27" s="28">
        <v>25.99</v>
      </c>
    </row>
    <row r="28" spans="1:5" s="40" customFormat="1" x14ac:dyDescent="0.35">
      <c r="A28" s="3" t="s">
        <v>964</v>
      </c>
      <c r="C28" s="41"/>
      <c r="E28" s="4">
        <f>SUM(E27)</f>
        <v>25.99</v>
      </c>
    </row>
    <row r="29" spans="1:5" s="40" customFormat="1" ht="15" thickBot="1" x14ac:dyDescent="0.4">
      <c r="C29" s="41"/>
      <c r="E29" s="4"/>
    </row>
    <row r="30" spans="1:5" x14ac:dyDescent="0.35">
      <c r="A30" s="22" t="s">
        <v>160</v>
      </c>
      <c r="B30" s="21" t="s">
        <v>21</v>
      </c>
      <c r="C30" s="18">
        <v>45502</v>
      </c>
      <c r="D30" s="21" t="b">
        <v>0</v>
      </c>
      <c r="E30" s="11">
        <v>14.29</v>
      </c>
    </row>
    <row r="31" spans="1:5" x14ac:dyDescent="0.35">
      <c r="A31" s="17" t="s">
        <v>161</v>
      </c>
      <c r="B31" s="2" t="s">
        <v>21</v>
      </c>
      <c r="C31" s="9">
        <v>45501</v>
      </c>
      <c r="D31" s="2" t="b">
        <v>0</v>
      </c>
      <c r="E31" s="29">
        <v>23.74</v>
      </c>
    </row>
    <row r="32" spans="1:5" x14ac:dyDescent="0.35">
      <c r="A32" s="17" t="s">
        <v>162</v>
      </c>
      <c r="B32" s="2" t="s">
        <v>21</v>
      </c>
      <c r="C32" s="9">
        <v>45499</v>
      </c>
      <c r="D32" s="2" t="b">
        <v>0</v>
      </c>
      <c r="E32" s="29">
        <v>27.79</v>
      </c>
    </row>
    <row r="33" spans="1:5" x14ac:dyDescent="0.35">
      <c r="A33" s="17" t="s">
        <v>163</v>
      </c>
      <c r="B33" s="2" t="s">
        <v>21</v>
      </c>
      <c r="C33" s="9">
        <v>45499</v>
      </c>
      <c r="D33" s="2" t="b">
        <v>0</v>
      </c>
      <c r="E33" s="29">
        <v>16.3</v>
      </c>
    </row>
    <row r="34" spans="1:5" x14ac:dyDescent="0.35">
      <c r="A34" s="17" t="s">
        <v>164</v>
      </c>
      <c r="B34" s="2" t="s">
        <v>21</v>
      </c>
      <c r="C34" s="9">
        <v>45490</v>
      </c>
      <c r="D34" s="2" t="b">
        <v>0</v>
      </c>
      <c r="E34" s="29">
        <v>21.38</v>
      </c>
    </row>
    <row r="35" spans="1:5" x14ac:dyDescent="0.35">
      <c r="A35" s="17" t="s">
        <v>165</v>
      </c>
      <c r="B35" s="2" t="s">
        <v>21</v>
      </c>
      <c r="C35" s="9">
        <v>45489</v>
      </c>
      <c r="D35" s="2" t="b">
        <v>0</v>
      </c>
      <c r="E35" s="29">
        <v>53.52</v>
      </c>
    </row>
    <row r="36" spans="1:5" x14ac:dyDescent="0.35">
      <c r="A36" s="17" t="s">
        <v>166</v>
      </c>
      <c r="B36" s="2" t="s">
        <v>21</v>
      </c>
      <c r="C36" s="9">
        <v>45488</v>
      </c>
      <c r="D36" s="2" t="b">
        <v>0</v>
      </c>
      <c r="E36" s="29">
        <v>54.09</v>
      </c>
    </row>
    <row r="37" spans="1:5" x14ac:dyDescent="0.35">
      <c r="A37" s="17" t="s">
        <v>167</v>
      </c>
      <c r="B37" s="2" t="s">
        <v>21</v>
      </c>
      <c r="C37" s="9">
        <v>45484</v>
      </c>
      <c r="D37" s="2" t="b">
        <v>0</v>
      </c>
      <c r="E37" s="29">
        <v>30.55</v>
      </c>
    </row>
    <row r="38" spans="1:5" x14ac:dyDescent="0.35">
      <c r="A38" s="17" t="s">
        <v>168</v>
      </c>
      <c r="B38" s="2" t="s">
        <v>21</v>
      </c>
      <c r="C38" s="9">
        <v>45484</v>
      </c>
      <c r="D38" s="2" t="b">
        <v>0</v>
      </c>
      <c r="E38" s="29">
        <v>25.87</v>
      </c>
    </row>
    <row r="39" spans="1:5" x14ac:dyDescent="0.35">
      <c r="A39" s="17" t="s">
        <v>169</v>
      </c>
      <c r="B39" s="2" t="s">
        <v>21</v>
      </c>
      <c r="C39" s="9">
        <v>45479</v>
      </c>
      <c r="D39" s="2" t="b">
        <v>0</v>
      </c>
      <c r="E39" s="29">
        <v>17.88</v>
      </c>
    </row>
    <row r="40" spans="1:5" x14ac:dyDescent="0.35">
      <c r="A40" s="17" t="s">
        <v>170</v>
      </c>
      <c r="B40" s="2" t="s">
        <v>21</v>
      </c>
      <c r="C40" s="9">
        <v>45478</v>
      </c>
      <c r="D40" s="2" t="b">
        <v>0</v>
      </c>
      <c r="E40" s="29">
        <v>33.79</v>
      </c>
    </row>
    <row r="41" spans="1:5" ht="15" thickBot="1" x14ac:dyDescent="0.4">
      <c r="A41" s="27" t="s">
        <v>171</v>
      </c>
      <c r="B41" s="7" t="s">
        <v>21</v>
      </c>
      <c r="C41" s="6">
        <v>45477</v>
      </c>
      <c r="D41" s="7" t="b">
        <v>0</v>
      </c>
      <c r="E41" s="26">
        <v>14.11</v>
      </c>
    </row>
    <row r="42" spans="1:5" s="40" customFormat="1" x14ac:dyDescent="0.35">
      <c r="A42" s="48" t="s">
        <v>964</v>
      </c>
      <c r="C42" s="41"/>
      <c r="E42" s="4">
        <f>SUM(E30:E41)</f>
        <v>333.31</v>
      </c>
    </row>
    <row r="43" spans="1:5" s="40" customFormat="1" ht="15" thickBot="1" x14ac:dyDescent="0.4">
      <c r="C43" s="41"/>
      <c r="E43" s="4"/>
    </row>
    <row r="44" spans="1:5" x14ac:dyDescent="0.35">
      <c r="A44" s="22" t="s">
        <v>172</v>
      </c>
      <c r="B44" s="21" t="s">
        <v>28</v>
      </c>
      <c r="C44" s="18">
        <v>45504</v>
      </c>
      <c r="D44" s="21" t="b">
        <v>0</v>
      </c>
      <c r="E44" s="11">
        <v>49.34</v>
      </c>
    </row>
    <row r="45" spans="1:5" x14ac:dyDescent="0.35">
      <c r="A45" s="17" t="s">
        <v>173</v>
      </c>
      <c r="B45" s="2" t="s">
        <v>28</v>
      </c>
      <c r="C45" s="9">
        <v>45503</v>
      </c>
      <c r="D45" s="2" t="b">
        <v>0</v>
      </c>
      <c r="E45" s="29">
        <v>20.8</v>
      </c>
    </row>
    <row r="46" spans="1:5" x14ac:dyDescent="0.35">
      <c r="A46" s="17" t="s">
        <v>174</v>
      </c>
      <c r="B46" s="2" t="s">
        <v>28</v>
      </c>
      <c r="C46" s="9">
        <v>45503</v>
      </c>
      <c r="D46" s="2" t="b">
        <v>0</v>
      </c>
      <c r="E46" s="29">
        <v>10.8</v>
      </c>
    </row>
    <row r="47" spans="1:5" x14ac:dyDescent="0.35">
      <c r="A47" s="17" t="s">
        <v>175</v>
      </c>
      <c r="B47" s="2" t="s">
        <v>28</v>
      </c>
      <c r="C47" s="9">
        <v>45502</v>
      </c>
      <c r="D47" s="2" t="b">
        <v>0</v>
      </c>
      <c r="E47" s="29">
        <v>18.8</v>
      </c>
    </row>
    <row r="48" spans="1:5" x14ac:dyDescent="0.35">
      <c r="A48" s="17" t="s">
        <v>176</v>
      </c>
      <c r="B48" s="2" t="s">
        <v>28</v>
      </c>
      <c r="C48" s="9">
        <v>45501</v>
      </c>
      <c r="D48" s="2" t="b">
        <v>0</v>
      </c>
      <c r="E48" s="29">
        <v>15.93</v>
      </c>
    </row>
    <row r="49" spans="1:5" x14ac:dyDescent="0.35">
      <c r="A49" s="17" t="s">
        <v>177</v>
      </c>
      <c r="B49" s="2" t="s">
        <v>28</v>
      </c>
      <c r="C49" s="9">
        <v>45495</v>
      </c>
      <c r="D49" s="2" t="b">
        <v>0</v>
      </c>
      <c r="E49" s="29">
        <v>33.130000000000003</v>
      </c>
    </row>
    <row r="50" spans="1:5" x14ac:dyDescent="0.35">
      <c r="A50" s="17" t="s">
        <v>178</v>
      </c>
      <c r="B50" s="2" t="s">
        <v>28</v>
      </c>
      <c r="C50" s="9">
        <v>45495</v>
      </c>
      <c r="D50" s="2" t="b">
        <v>0</v>
      </c>
      <c r="E50" s="29">
        <v>36.119999999999997</v>
      </c>
    </row>
    <row r="51" spans="1:5" x14ac:dyDescent="0.35">
      <c r="A51" s="17" t="s">
        <v>179</v>
      </c>
      <c r="B51" s="2" t="s">
        <v>28</v>
      </c>
      <c r="C51" s="9">
        <v>45493</v>
      </c>
      <c r="D51" s="2" t="b">
        <v>0</v>
      </c>
      <c r="E51" s="29">
        <v>29.29</v>
      </c>
    </row>
    <row r="52" spans="1:5" x14ac:dyDescent="0.35">
      <c r="A52" s="17" t="s">
        <v>180</v>
      </c>
      <c r="B52" s="2" t="s">
        <v>28</v>
      </c>
      <c r="C52" s="9">
        <v>45492</v>
      </c>
      <c r="D52" s="2" t="b">
        <v>0</v>
      </c>
      <c r="E52" s="29">
        <v>14.01</v>
      </c>
    </row>
    <row r="53" spans="1:5" x14ac:dyDescent="0.35">
      <c r="A53" s="17" t="s">
        <v>181</v>
      </c>
      <c r="B53" s="2" t="s">
        <v>28</v>
      </c>
      <c r="C53" s="9">
        <v>45491</v>
      </c>
      <c r="D53" s="2" t="b">
        <v>0</v>
      </c>
      <c r="E53" s="29">
        <v>10.4</v>
      </c>
    </row>
    <row r="54" spans="1:5" x14ac:dyDescent="0.35">
      <c r="A54" s="17" t="s">
        <v>182</v>
      </c>
      <c r="B54" s="2" t="s">
        <v>28</v>
      </c>
      <c r="C54" s="9">
        <v>45490</v>
      </c>
      <c r="D54" s="2" t="b">
        <v>0</v>
      </c>
      <c r="E54" s="29">
        <v>25.4</v>
      </c>
    </row>
    <row r="55" spans="1:5" x14ac:dyDescent="0.35">
      <c r="A55" s="17" t="s">
        <v>183</v>
      </c>
      <c r="B55" s="2" t="s">
        <v>28</v>
      </c>
      <c r="C55" s="9">
        <v>45489</v>
      </c>
      <c r="D55" s="2" t="b">
        <v>0</v>
      </c>
      <c r="E55" s="29">
        <v>20.18</v>
      </c>
    </row>
    <row r="56" spans="1:5" x14ac:dyDescent="0.35">
      <c r="A56" s="17" t="s">
        <v>184</v>
      </c>
      <c r="B56" s="2" t="s">
        <v>28</v>
      </c>
      <c r="C56" s="9">
        <v>45487</v>
      </c>
      <c r="D56" s="2" t="b">
        <v>0</v>
      </c>
      <c r="E56" s="29">
        <v>16.3</v>
      </c>
    </row>
    <row r="57" spans="1:5" x14ac:dyDescent="0.35">
      <c r="A57" s="17" t="s">
        <v>185</v>
      </c>
      <c r="B57" s="2" t="s">
        <v>28</v>
      </c>
      <c r="C57" s="9">
        <v>45481</v>
      </c>
      <c r="D57" s="2" t="b">
        <v>0</v>
      </c>
      <c r="E57" s="29">
        <v>5.85</v>
      </c>
    </row>
    <row r="58" spans="1:5" ht="15" thickBot="1" x14ac:dyDescent="0.4">
      <c r="A58" s="27" t="s">
        <v>186</v>
      </c>
      <c r="B58" s="7" t="s">
        <v>28</v>
      </c>
      <c r="C58" s="6">
        <v>45474</v>
      </c>
      <c r="D58" s="7" t="b">
        <v>0</v>
      </c>
      <c r="E58" s="26">
        <v>14.4</v>
      </c>
    </row>
    <row r="59" spans="1:5" s="40" customFormat="1" x14ac:dyDescent="0.35">
      <c r="A59" s="48" t="s">
        <v>964</v>
      </c>
      <c r="C59" s="41"/>
      <c r="E59" s="4">
        <f>SUM(E44:E58)</f>
        <v>320.75</v>
      </c>
    </row>
    <row r="60" spans="1:5" s="40" customFormat="1" ht="15" thickBot="1" x14ac:dyDescent="0.4">
      <c r="C60" s="41"/>
      <c r="E60" s="4"/>
    </row>
    <row r="61" spans="1:5" x14ac:dyDescent="0.35">
      <c r="A61" s="22" t="s">
        <v>187</v>
      </c>
      <c r="B61" s="21" t="s">
        <v>32</v>
      </c>
      <c r="C61" s="18">
        <v>45503</v>
      </c>
      <c r="D61" s="21" t="b">
        <v>0</v>
      </c>
      <c r="E61" s="11">
        <v>16.3</v>
      </c>
    </row>
    <row r="62" spans="1:5" x14ac:dyDescent="0.35">
      <c r="A62" s="17" t="s">
        <v>188</v>
      </c>
      <c r="B62" s="2" t="s">
        <v>32</v>
      </c>
      <c r="C62" s="9">
        <v>45501</v>
      </c>
      <c r="D62" s="2" t="b">
        <v>0</v>
      </c>
      <c r="E62" s="29">
        <v>74.650000000000006</v>
      </c>
    </row>
    <row r="63" spans="1:5" x14ac:dyDescent="0.35">
      <c r="A63" s="17" t="s">
        <v>189</v>
      </c>
      <c r="B63" s="2" t="s">
        <v>32</v>
      </c>
      <c r="C63" s="9">
        <v>45501</v>
      </c>
      <c r="D63" s="2" t="b">
        <v>0</v>
      </c>
      <c r="E63" s="29">
        <v>43.3</v>
      </c>
    </row>
    <row r="64" spans="1:5" x14ac:dyDescent="0.35">
      <c r="A64" s="17" t="s">
        <v>190</v>
      </c>
      <c r="B64" s="2" t="s">
        <v>32</v>
      </c>
      <c r="C64" s="9">
        <v>45500</v>
      </c>
      <c r="D64" s="2" t="b">
        <v>0</v>
      </c>
      <c r="E64" s="29">
        <v>26.64</v>
      </c>
    </row>
    <row r="65" spans="1:5" x14ac:dyDescent="0.35">
      <c r="A65" s="17" t="s">
        <v>191</v>
      </c>
      <c r="B65" s="2" t="s">
        <v>32</v>
      </c>
      <c r="C65" s="9">
        <v>45497</v>
      </c>
      <c r="D65" s="2" t="b">
        <v>0</v>
      </c>
      <c r="E65" s="29">
        <v>31.1</v>
      </c>
    </row>
    <row r="66" spans="1:5" x14ac:dyDescent="0.35">
      <c r="A66" s="17" t="s">
        <v>192</v>
      </c>
      <c r="B66" s="2" t="s">
        <v>32</v>
      </c>
      <c r="C66" s="9">
        <v>45497</v>
      </c>
      <c r="D66" s="2" t="b">
        <v>0</v>
      </c>
      <c r="E66" s="29">
        <v>23.79</v>
      </c>
    </row>
    <row r="67" spans="1:5" x14ac:dyDescent="0.35">
      <c r="A67" s="17" t="s">
        <v>193</v>
      </c>
      <c r="B67" s="2" t="s">
        <v>32</v>
      </c>
      <c r="C67" s="9">
        <v>45494</v>
      </c>
      <c r="D67" s="2" t="b">
        <v>0</v>
      </c>
      <c r="E67" s="29">
        <v>32.6</v>
      </c>
    </row>
    <row r="68" spans="1:5" x14ac:dyDescent="0.35">
      <c r="A68" s="17" t="s">
        <v>194</v>
      </c>
      <c r="B68" s="2" t="s">
        <v>32</v>
      </c>
      <c r="C68" s="9">
        <v>45494</v>
      </c>
      <c r="D68" s="2" t="b">
        <v>0</v>
      </c>
      <c r="E68" s="29">
        <v>30.72</v>
      </c>
    </row>
    <row r="69" spans="1:5" x14ac:dyDescent="0.35">
      <c r="A69" s="17" t="s">
        <v>195</v>
      </c>
      <c r="B69" s="2" t="s">
        <v>32</v>
      </c>
      <c r="C69" s="9">
        <v>45493</v>
      </c>
      <c r="D69" s="2" t="b">
        <v>0</v>
      </c>
      <c r="E69" s="29">
        <v>27.66</v>
      </c>
    </row>
    <row r="70" spans="1:5" x14ac:dyDescent="0.35">
      <c r="A70" s="17" t="s">
        <v>196</v>
      </c>
      <c r="B70" s="2" t="s">
        <v>32</v>
      </c>
      <c r="C70" s="9">
        <v>45493</v>
      </c>
      <c r="D70" s="2" t="b">
        <v>0</v>
      </c>
      <c r="E70" s="29">
        <v>24.45</v>
      </c>
    </row>
    <row r="71" spans="1:5" x14ac:dyDescent="0.35">
      <c r="A71" s="17" t="s">
        <v>197</v>
      </c>
      <c r="B71" s="2" t="s">
        <v>32</v>
      </c>
      <c r="C71" s="9">
        <v>45493</v>
      </c>
      <c r="D71" s="2" t="b">
        <v>0</v>
      </c>
      <c r="E71" s="29">
        <v>17.53</v>
      </c>
    </row>
    <row r="72" spans="1:5" x14ac:dyDescent="0.35">
      <c r="A72" s="17" t="s">
        <v>198</v>
      </c>
      <c r="B72" s="2" t="s">
        <v>32</v>
      </c>
      <c r="C72" s="9">
        <v>45492</v>
      </c>
      <c r="D72" s="2" t="b">
        <v>0</v>
      </c>
      <c r="E72" s="29">
        <v>16.3</v>
      </c>
    </row>
    <row r="73" spans="1:5" x14ac:dyDescent="0.35">
      <c r="A73" s="17" t="s">
        <v>199</v>
      </c>
      <c r="B73" s="2" t="s">
        <v>32</v>
      </c>
      <c r="C73" s="9">
        <v>45491</v>
      </c>
      <c r="D73" s="2" t="b">
        <v>0</v>
      </c>
      <c r="E73" s="29">
        <v>16.149999999999999</v>
      </c>
    </row>
    <row r="74" spans="1:5" x14ac:dyDescent="0.35">
      <c r="A74" s="17" t="s">
        <v>200</v>
      </c>
      <c r="B74" s="2" t="s">
        <v>32</v>
      </c>
      <c r="C74" s="9">
        <v>45491</v>
      </c>
      <c r="D74" s="2" t="b">
        <v>0</v>
      </c>
      <c r="E74" s="29">
        <v>42.41</v>
      </c>
    </row>
    <row r="75" spans="1:5" x14ac:dyDescent="0.35">
      <c r="A75" s="17" t="s">
        <v>201</v>
      </c>
      <c r="B75" s="2" t="s">
        <v>32</v>
      </c>
      <c r="C75" s="9">
        <v>45490</v>
      </c>
      <c r="D75" s="2" t="b">
        <v>0</v>
      </c>
      <c r="E75" s="29">
        <v>25.3</v>
      </c>
    </row>
    <row r="76" spans="1:5" x14ac:dyDescent="0.35">
      <c r="A76" s="17" t="s">
        <v>202</v>
      </c>
      <c r="B76" s="2" t="s">
        <v>32</v>
      </c>
      <c r="C76" s="9">
        <v>45489</v>
      </c>
      <c r="D76" s="2" t="b">
        <v>0</v>
      </c>
      <c r="E76" s="29">
        <v>23.7</v>
      </c>
    </row>
    <row r="77" spans="1:5" x14ac:dyDescent="0.35">
      <c r="A77" s="17" t="s">
        <v>203</v>
      </c>
      <c r="B77" s="2" t="s">
        <v>32</v>
      </c>
      <c r="C77" s="9">
        <v>45488</v>
      </c>
      <c r="D77" s="2" t="b">
        <v>0</v>
      </c>
      <c r="E77" s="29">
        <v>25.4</v>
      </c>
    </row>
    <row r="78" spans="1:5" x14ac:dyDescent="0.35">
      <c r="A78" s="17" t="s">
        <v>204</v>
      </c>
      <c r="B78" s="2" t="s">
        <v>32</v>
      </c>
      <c r="C78" s="9">
        <v>45487</v>
      </c>
      <c r="D78" s="2" t="b">
        <v>0</v>
      </c>
      <c r="E78" s="29">
        <v>45.62</v>
      </c>
    </row>
    <row r="79" spans="1:5" x14ac:dyDescent="0.35">
      <c r="A79" s="17" t="s">
        <v>205</v>
      </c>
      <c r="B79" s="2" t="s">
        <v>32</v>
      </c>
      <c r="C79" s="9">
        <v>45487</v>
      </c>
      <c r="D79" s="2" t="b">
        <v>0</v>
      </c>
      <c r="E79" s="29">
        <v>26.32</v>
      </c>
    </row>
    <row r="80" spans="1:5" x14ac:dyDescent="0.35">
      <c r="A80" s="17" t="s">
        <v>206</v>
      </c>
      <c r="B80" s="2" t="s">
        <v>32</v>
      </c>
      <c r="C80" s="9">
        <v>45486</v>
      </c>
      <c r="D80" s="2" t="b">
        <v>0</v>
      </c>
      <c r="E80" s="29">
        <v>26.77</v>
      </c>
    </row>
    <row r="81" spans="1:5" x14ac:dyDescent="0.35">
      <c r="A81" s="17" t="s">
        <v>207</v>
      </c>
      <c r="B81" s="2" t="s">
        <v>32</v>
      </c>
      <c r="C81" s="9">
        <v>45485</v>
      </c>
      <c r="D81" s="2" t="b">
        <v>0</v>
      </c>
      <c r="E81" s="29">
        <v>14</v>
      </c>
    </row>
    <row r="82" spans="1:5" x14ac:dyDescent="0.35">
      <c r="A82" s="17" t="s">
        <v>208</v>
      </c>
      <c r="B82" s="2" t="s">
        <v>32</v>
      </c>
      <c r="C82" s="9">
        <v>45483</v>
      </c>
      <c r="D82" s="2" t="b">
        <v>0</v>
      </c>
      <c r="E82" s="29">
        <v>22.15</v>
      </c>
    </row>
    <row r="83" spans="1:5" x14ac:dyDescent="0.35">
      <c r="A83" s="17" t="s">
        <v>209</v>
      </c>
      <c r="B83" s="2" t="s">
        <v>32</v>
      </c>
      <c r="C83" s="9">
        <v>45483</v>
      </c>
      <c r="D83" s="2" t="b">
        <v>0</v>
      </c>
      <c r="E83" s="29">
        <v>21.44</v>
      </c>
    </row>
    <row r="84" spans="1:5" x14ac:dyDescent="0.35">
      <c r="A84" s="17" t="s">
        <v>210</v>
      </c>
      <c r="B84" s="2" t="s">
        <v>32</v>
      </c>
      <c r="C84" s="9">
        <v>45482</v>
      </c>
      <c r="D84" s="2" t="b">
        <v>0</v>
      </c>
      <c r="E84" s="29">
        <v>25.82</v>
      </c>
    </row>
    <row r="85" spans="1:5" x14ac:dyDescent="0.35">
      <c r="A85" s="17" t="s">
        <v>211</v>
      </c>
      <c r="B85" s="2" t="s">
        <v>32</v>
      </c>
      <c r="C85" s="9">
        <v>45479</v>
      </c>
      <c r="D85" s="2" t="b">
        <v>0</v>
      </c>
      <c r="E85" s="29">
        <v>18.260000000000002</v>
      </c>
    </row>
    <row r="86" spans="1:5" x14ac:dyDescent="0.35">
      <c r="A86" s="17" t="s">
        <v>212</v>
      </c>
      <c r="B86" s="2" t="s">
        <v>32</v>
      </c>
      <c r="C86" s="9">
        <v>45477</v>
      </c>
      <c r="D86" s="2" t="b">
        <v>0</v>
      </c>
      <c r="E86" s="29">
        <v>98.17</v>
      </c>
    </row>
    <row r="87" spans="1:5" x14ac:dyDescent="0.35">
      <c r="A87" s="17" t="s">
        <v>213</v>
      </c>
      <c r="B87" s="2" t="s">
        <v>32</v>
      </c>
      <c r="C87" s="9">
        <v>45475</v>
      </c>
      <c r="D87" s="2" t="b">
        <v>0</v>
      </c>
      <c r="E87" s="29">
        <v>21.76</v>
      </c>
    </row>
    <row r="88" spans="1:5" x14ac:dyDescent="0.35">
      <c r="A88" s="17" t="s">
        <v>214</v>
      </c>
      <c r="B88" s="2" t="s">
        <v>32</v>
      </c>
      <c r="C88" s="9">
        <v>45475</v>
      </c>
      <c r="D88" s="2" t="b">
        <v>0</v>
      </c>
      <c r="E88" s="29">
        <v>8.15</v>
      </c>
    </row>
    <row r="89" spans="1:5" ht="15" thickBot="1" x14ac:dyDescent="0.4">
      <c r="A89" s="27" t="s">
        <v>215</v>
      </c>
      <c r="B89" s="7" t="s">
        <v>32</v>
      </c>
      <c r="C89" s="6">
        <v>45474</v>
      </c>
      <c r="D89" s="7" t="b">
        <v>0</v>
      </c>
      <c r="E89" s="26">
        <v>34.89</v>
      </c>
    </row>
    <row r="90" spans="1:5" s="40" customFormat="1" x14ac:dyDescent="0.35">
      <c r="A90" s="48" t="s">
        <v>964</v>
      </c>
      <c r="C90" s="41"/>
      <c r="E90" s="4">
        <f>SUM(E61:E89)</f>
        <v>861.35</v>
      </c>
    </row>
    <row r="91" spans="1:5" s="40" customFormat="1" ht="15" thickBot="1" x14ac:dyDescent="0.4">
      <c r="C91" s="41"/>
      <c r="E91" s="4"/>
    </row>
    <row r="92" spans="1:5" x14ac:dyDescent="0.35">
      <c r="A92" s="22" t="s">
        <v>216</v>
      </c>
      <c r="B92" s="21" t="s">
        <v>43</v>
      </c>
      <c r="C92" s="18">
        <v>45502</v>
      </c>
      <c r="D92" s="21" t="b">
        <v>0</v>
      </c>
      <c r="E92" s="11">
        <v>17.55</v>
      </c>
    </row>
    <row r="93" spans="1:5" x14ac:dyDescent="0.35">
      <c r="A93" s="17" t="s">
        <v>217</v>
      </c>
      <c r="B93" s="2" t="s">
        <v>43</v>
      </c>
      <c r="C93" s="9">
        <v>45501</v>
      </c>
      <c r="D93" s="2" t="b">
        <v>0</v>
      </c>
      <c r="E93" s="29">
        <v>25</v>
      </c>
    </row>
    <row r="94" spans="1:5" x14ac:dyDescent="0.35">
      <c r="A94" s="17" t="s">
        <v>218</v>
      </c>
      <c r="B94" s="2" t="s">
        <v>43</v>
      </c>
      <c r="C94" s="9">
        <v>45498</v>
      </c>
      <c r="D94" s="2" t="b">
        <v>0</v>
      </c>
      <c r="E94" s="29">
        <v>45.73</v>
      </c>
    </row>
    <row r="95" spans="1:5" x14ac:dyDescent="0.35">
      <c r="A95" s="17" t="s">
        <v>219</v>
      </c>
      <c r="B95" s="2" t="s">
        <v>43</v>
      </c>
      <c r="C95" s="9">
        <v>45498</v>
      </c>
      <c r="D95" s="2" t="b">
        <v>0</v>
      </c>
      <c r="E95" s="29">
        <v>16.03</v>
      </c>
    </row>
    <row r="96" spans="1:5" x14ac:dyDescent="0.35">
      <c r="A96" s="17" t="s">
        <v>220</v>
      </c>
      <c r="B96" s="2" t="s">
        <v>43</v>
      </c>
      <c r="C96" s="9">
        <v>45493</v>
      </c>
      <c r="D96" s="2" t="b">
        <v>0</v>
      </c>
      <c r="E96" s="29">
        <v>15.1</v>
      </c>
    </row>
    <row r="97" spans="1:5" x14ac:dyDescent="0.35">
      <c r="A97" s="17" t="s">
        <v>221</v>
      </c>
      <c r="B97" s="2" t="s">
        <v>43</v>
      </c>
      <c r="C97" s="9">
        <v>45489</v>
      </c>
      <c r="D97" s="2" t="b">
        <v>0</v>
      </c>
      <c r="E97" s="29">
        <v>49.97</v>
      </c>
    </row>
    <row r="98" spans="1:5" x14ac:dyDescent="0.35">
      <c r="A98" s="17" t="s">
        <v>222</v>
      </c>
      <c r="B98" s="2" t="s">
        <v>43</v>
      </c>
      <c r="C98" s="9">
        <v>45483</v>
      </c>
      <c r="D98" s="2" t="b">
        <v>0</v>
      </c>
      <c r="E98" s="29">
        <v>18.190000000000001</v>
      </c>
    </row>
    <row r="99" spans="1:5" x14ac:dyDescent="0.35">
      <c r="A99" s="17" t="s">
        <v>223</v>
      </c>
      <c r="B99" s="2" t="s">
        <v>43</v>
      </c>
      <c r="C99" s="9">
        <v>45483</v>
      </c>
      <c r="D99" s="2" t="b">
        <v>0</v>
      </c>
      <c r="E99" s="29">
        <v>47.24</v>
      </c>
    </row>
    <row r="100" spans="1:5" x14ac:dyDescent="0.35">
      <c r="A100" s="17" t="s">
        <v>224</v>
      </c>
      <c r="B100" s="2" t="s">
        <v>43</v>
      </c>
      <c r="C100" s="9">
        <v>45481</v>
      </c>
      <c r="D100" s="2" t="b">
        <v>0</v>
      </c>
      <c r="E100" s="29">
        <v>35.35</v>
      </c>
    </row>
    <row r="101" spans="1:5" x14ac:dyDescent="0.35">
      <c r="A101" s="17" t="s">
        <v>225</v>
      </c>
      <c r="B101" s="2" t="s">
        <v>43</v>
      </c>
      <c r="C101" s="9">
        <v>45481</v>
      </c>
      <c r="D101" s="2" t="b">
        <v>0</v>
      </c>
      <c r="E101" s="29">
        <v>27.29</v>
      </c>
    </row>
    <row r="102" spans="1:5" x14ac:dyDescent="0.35">
      <c r="A102" s="17" t="s">
        <v>226</v>
      </c>
      <c r="B102" s="2" t="s">
        <v>43</v>
      </c>
      <c r="C102" s="9">
        <v>45480</v>
      </c>
      <c r="D102" s="2" t="b">
        <v>0</v>
      </c>
      <c r="E102" s="29">
        <v>28.46</v>
      </c>
    </row>
    <row r="103" spans="1:5" x14ac:dyDescent="0.35">
      <c r="A103" s="17" t="s">
        <v>227</v>
      </c>
      <c r="B103" s="2" t="s">
        <v>43</v>
      </c>
      <c r="C103" s="9">
        <v>45479</v>
      </c>
      <c r="D103" s="2" t="b">
        <v>0</v>
      </c>
      <c r="E103" s="29">
        <v>15.59</v>
      </c>
    </row>
    <row r="104" spans="1:5" ht="15" thickBot="1" x14ac:dyDescent="0.4">
      <c r="A104" s="27" t="s">
        <v>228</v>
      </c>
      <c r="B104" s="7" t="s">
        <v>43</v>
      </c>
      <c r="C104" s="6">
        <v>45475</v>
      </c>
      <c r="D104" s="7" t="b">
        <v>0</v>
      </c>
      <c r="E104" s="26">
        <v>48.95</v>
      </c>
    </row>
    <row r="105" spans="1:5" s="40" customFormat="1" x14ac:dyDescent="0.35">
      <c r="A105" s="48" t="s">
        <v>964</v>
      </c>
      <c r="C105" s="41"/>
      <c r="E105" s="4">
        <f>SUM(E92:E104)</f>
        <v>390.45</v>
      </c>
    </row>
    <row r="106" spans="1:5" s="40" customFormat="1" ht="15" thickBot="1" x14ac:dyDescent="0.4">
      <c r="C106" s="41"/>
      <c r="E106" s="4"/>
    </row>
    <row r="107" spans="1:5" ht="15" thickBot="1" x14ac:dyDescent="0.4">
      <c r="A107" s="31" t="s">
        <v>229</v>
      </c>
      <c r="B107" s="23" t="s">
        <v>144</v>
      </c>
      <c r="C107" s="16">
        <v>45474</v>
      </c>
      <c r="D107" s="23" t="b">
        <v>0</v>
      </c>
      <c r="E107" s="28">
        <v>19.850000000000001</v>
      </c>
    </row>
    <row r="108" spans="1:5" s="40" customFormat="1" x14ac:dyDescent="0.35">
      <c r="A108" s="3" t="s">
        <v>964</v>
      </c>
      <c r="C108" s="41"/>
      <c r="E108" s="4">
        <f>SUM(E107)</f>
        <v>19.850000000000001</v>
      </c>
    </row>
    <row r="109" spans="1:5" s="40" customFormat="1" ht="15" thickBot="1" x14ac:dyDescent="0.4">
      <c r="C109" s="41"/>
      <c r="E109" s="4"/>
    </row>
    <row r="110" spans="1:5" x14ac:dyDescent="0.35">
      <c r="A110" s="22" t="s">
        <v>230</v>
      </c>
      <c r="B110" s="21" t="s">
        <v>104</v>
      </c>
      <c r="C110" s="18">
        <v>45502</v>
      </c>
      <c r="D110" s="21" t="b">
        <v>0</v>
      </c>
      <c r="E110" s="11">
        <v>16.25</v>
      </c>
    </row>
    <row r="111" spans="1:5" ht="15" thickBot="1" x14ac:dyDescent="0.4">
      <c r="A111" s="27" t="s">
        <v>231</v>
      </c>
      <c r="B111" s="7" t="s">
        <v>104</v>
      </c>
      <c r="C111" s="6">
        <v>45481</v>
      </c>
      <c r="D111" s="7" t="b">
        <v>0</v>
      </c>
      <c r="E111" s="26">
        <v>26.37</v>
      </c>
    </row>
    <row r="112" spans="1:5" x14ac:dyDescent="0.35">
      <c r="A112" s="3" t="s">
        <v>964</v>
      </c>
      <c r="E112" s="1">
        <f>SUM(E110:E111)</f>
        <v>42.620000000000005</v>
      </c>
    </row>
    <row r="115" spans="1:5" x14ac:dyDescent="0.35">
      <c r="A115" t="s">
        <v>968</v>
      </c>
      <c r="E115" s="1">
        <f>SUM(E112,E108,E105,E90,E59,E42,E28,E25,E22,E10)</f>
        <v>2316.8899999999994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93"/>
  <sheetViews>
    <sheetView topLeftCell="A161" zoomScale="80" zoomScaleNormal="80" workbookViewId="0">
      <selection activeCell="E193" sqref="E193"/>
    </sheetView>
  </sheetViews>
  <sheetFormatPr defaultRowHeight="14.5" x14ac:dyDescent="0.35"/>
  <cols>
    <col min="1" max="1" width="29.26953125" customWidth="1"/>
    <col min="2" max="2" width="32.54296875" customWidth="1"/>
    <col min="3" max="3" width="18.54296875" customWidth="1"/>
    <col min="5" max="5" width="13.453125" customWidth="1"/>
  </cols>
  <sheetData>
    <row r="6" spans="1:5" ht="15" thickBot="1" x14ac:dyDescent="0.4"/>
    <row r="7" spans="1:5" ht="15" thickBot="1" x14ac:dyDescent="0.4">
      <c r="A7" s="31" t="s">
        <v>0</v>
      </c>
      <c r="B7" s="23" t="s">
        <v>1</v>
      </c>
      <c r="C7" s="23" t="s">
        <v>2</v>
      </c>
      <c r="D7" s="23" t="s">
        <v>5</v>
      </c>
      <c r="E7" s="46" t="s">
        <v>6</v>
      </c>
    </row>
    <row r="8" spans="1:5" x14ac:dyDescent="0.35">
      <c r="A8" s="22" t="s">
        <v>232</v>
      </c>
      <c r="B8" s="21" t="s">
        <v>8</v>
      </c>
      <c r="C8" s="18">
        <v>45535</v>
      </c>
      <c r="D8" s="21" t="b">
        <v>0</v>
      </c>
      <c r="E8" s="11">
        <v>16.3</v>
      </c>
    </row>
    <row r="9" spans="1:5" x14ac:dyDescent="0.35">
      <c r="A9" s="17" t="s">
        <v>233</v>
      </c>
      <c r="B9" s="2" t="s">
        <v>8</v>
      </c>
      <c r="C9" s="9">
        <v>45531</v>
      </c>
      <c r="D9" s="2" t="b">
        <v>0</v>
      </c>
      <c r="E9" s="29">
        <v>21</v>
      </c>
    </row>
    <row r="10" spans="1:5" x14ac:dyDescent="0.35">
      <c r="A10" s="17" t="s">
        <v>234</v>
      </c>
      <c r="B10" s="2" t="s">
        <v>8</v>
      </c>
      <c r="C10" s="9">
        <v>45528</v>
      </c>
      <c r="D10" s="2" t="b">
        <v>0</v>
      </c>
      <c r="E10" s="29">
        <v>16.3</v>
      </c>
    </row>
    <row r="11" spans="1:5" x14ac:dyDescent="0.35">
      <c r="A11" s="17" t="s">
        <v>235</v>
      </c>
      <c r="B11" s="2" t="s">
        <v>8</v>
      </c>
      <c r="C11" s="9">
        <v>45526</v>
      </c>
      <c r="D11" s="2" t="b">
        <v>0</v>
      </c>
      <c r="E11" s="29">
        <v>44.14</v>
      </c>
    </row>
    <row r="12" spans="1:5" x14ac:dyDescent="0.35">
      <c r="A12" s="17" t="s">
        <v>236</v>
      </c>
      <c r="B12" s="2" t="s">
        <v>8</v>
      </c>
      <c r="C12" s="9">
        <v>45525</v>
      </c>
      <c r="D12" s="2" t="b">
        <v>0</v>
      </c>
      <c r="E12" s="29">
        <v>11.95</v>
      </c>
    </row>
    <row r="13" spans="1:5" ht="15" thickBot="1" x14ac:dyDescent="0.4">
      <c r="A13" s="27" t="s">
        <v>237</v>
      </c>
      <c r="B13" s="7" t="s">
        <v>8</v>
      </c>
      <c r="C13" s="6">
        <v>45508</v>
      </c>
      <c r="D13" s="7" t="b">
        <v>0</v>
      </c>
      <c r="E13" s="26">
        <v>9.1</v>
      </c>
    </row>
    <row r="14" spans="1:5" s="40" customFormat="1" x14ac:dyDescent="0.35">
      <c r="A14" s="48" t="s">
        <v>964</v>
      </c>
      <c r="C14" s="41"/>
      <c r="E14" s="4">
        <f>SUM(E8:E13)</f>
        <v>118.78999999999999</v>
      </c>
    </row>
    <row r="15" spans="1:5" s="40" customFormat="1" ht="15" thickBot="1" x14ac:dyDescent="0.4">
      <c r="C15" s="41"/>
      <c r="E15" s="4"/>
    </row>
    <row r="16" spans="1:5" x14ac:dyDescent="0.35">
      <c r="A16" s="22" t="s">
        <v>238</v>
      </c>
      <c r="B16" s="21" t="s">
        <v>10</v>
      </c>
      <c r="C16" s="18">
        <v>45506</v>
      </c>
      <c r="D16" s="21" t="b">
        <v>1</v>
      </c>
      <c r="E16" s="11">
        <v>33.79</v>
      </c>
    </row>
    <row r="17" spans="1:5" x14ac:dyDescent="0.35">
      <c r="A17" s="17" t="s">
        <v>239</v>
      </c>
      <c r="B17" s="2" t="s">
        <v>10</v>
      </c>
      <c r="C17" s="9">
        <v>45531</v>
      </c>
      <c r="D17" s="2" t="b">
        <v>0</v>
      </c>
      <c r="E17" s="29">
        <v>11.05</v>
      </c>
    </row>
    <row r="18" spans="1:5" x14ac:dyDescent="0.35">
      <c r="A18" s="17" t="s">
        <v>240</v>
      </c>
      <c r="B18" s="2" t="s">
        <v>10</v>
      </c>
      <c r="C18" s="9">
        <v>45531</v>
      </c>
      <c r="D18" s="2" t="b">
        <v>0</v>
      </c>
      <c r="E18" s="29">
        <v>32.29</v>
      </c>
    </row>
    <row r="19" spans="1:5" x14ac:dyDescent="0.35">
      <c r="A19" s="17" t="s">
        <v>241</v>
      </c>
      <c r="B19" s="2" t="s">
        <v>10</v>
      </c>
      <c r="C19" s="9">
        <v>45528</v>
      </c>
      <c r="D19" s="2" t="b">
        <v>0</v>
      </c>
      <c r="E19" s="29">
        <v>14.29</v>
      </c>
    </row>
    <row r="20" spans="1:5" x14ac:dyDescent="0.35">
      <c r="A20" s="17" t="s">
        <v>242</v>
      </c>
      <c r="B20" s="2" t="s">
        <v>10</v>
      </c>
      <c r="C20" s="9">
        <v>45523</v>
      </c>
      <c r="D20" s="2" t="b">
        <v>0</v>
      </c>
      <c r="E20" s="29">
        <v>24.69</v>
      </c>
    </row>
    <row r="21" spans="1:5" x14ac:dyDescent="0.35">
      <c r="A21" s="17" t="s">
        <v>243</v>
      </c>
      <c r="B21" s="2" t="s">
        <v>10</v>
      </c>
      <c r="C21" s="9">
        <v>45521</v>
      </c>
      <c r="D21" s="2" t="b">
        <v>0</v>
      </c>
      <c r="E21" s="29">
        <v>30.81</v>
      </c>
    </row>
    <row r="22" spans="1:5" x14ac:dyDescent="0.35">
      <c r="A22" s="17" t="s">
        <v>244</v>
      </c>
      <c r="B22" s="2" t="s">
        <v>10</v>
      </c>
      <c r="C22" s="9">
        <v>45521</v>
      </c>
      <c r="D22" s="2" t="b">
        <v>0</v>
      </c>
      <c r="E22" s="29">
        <v>5.58</v>
      </c>
    </row>
    <row r="23" spans="1:5" x14ac:dyDescent="0.35">
      <c r="A23" s="17" t="s">
        <v>245</v>
      </c>
      <c r="B23" s="2" t="s">
        <v>10</v>
      </c>
      <c r="C23" s="9">
        <v>45521</v>
      </c>
      <c r="D23" s="2" t="b">
        <v>0</v>
      </c>
      <c r="E23" s="29">
        <v>41.58</v>
      </c>
    </row>
    <row r="24" spans="1:5" x14ac:dyDescent="0.35">
      <c r="A24" s="17" t="s">
        <v>246</v>
      </c>
      <c r="B24" s="2" t="s">
        <v>10</v>
      </c>
      <c r="C24" s="9">
        <v>45512</v>
      </c>
      <c r="D24" s="2" t="b">
        <v>0</v>
      </c>
      <c r="E24" s="29">
        <v>15.95</v>
      </c>
    </row>
    <row r="25" spans="1:5" x14ac:dyDescent="0.35">
      <c r="A25" s="17" t="s">
        <v>247</v>
      </c>
      <c r="B25" s="2" t="s">
        <v>10</v>
      </c>
      <c r="C25" s="9">
        <v>45511</v>
      </c>
      <c r="D25" s="2" t="b">
        <v>0</v>
      </c>
      <c r="E25" s="29">
        <v>22.6</v>
      </c>
    </row>
    <row r="26" spans="1:5" x14ac:dyDescent="0.35">
      <c r="A26" s="17" t="s">
        <v>248</v>
      </c>
      <c r="B26" s="2" t="s">
        <v>10</v>
      </c>
      <c r="C26" s="9">
        <v>45508</v>
      </c>
      <c r="D26" s="2" t="b">
        <v>0</v>
      </c>
      <c r="E26" s="29">
        <v>20</v>
      </c>
    </row>
    <row r="27" spans="1:5" ht="15" thickBot="1" x14ac:dyDescent="0.4">
      <c r="A27" s="27" t="s">
        <v>249</v>
      </c>
      <c r="B27" s="7" t="s">
        <v>10</v>
      </c>
      <c r="C27" s="6">
        <v>45506</v>
      </c>
      <c r="D27" s="7" t="b">
        <v>0</v>
      </c>
      <c r="E27" s="26">
        <v>44.9</v>
      </c>
    </row>
    <row r="28" spans="1:5" s="40" customFormat="1" x14ac:dyDescent="0.35">
      <c r="A28" s="48" t="s">
        <v>964</v>
      </c>
      <c r="C28" s="41"/>
      <c r="E28" s="4">
        <f>SUM(E16:E27)</f>
        <v>297.52999999999997</v>
      </c>
    </row>
    <row r="29" spans="1:5" s="40" customFormat="1" ht="15" thickBot="1" x14ac:dyDescent="0.4">
      <c r="C29" s="41"/>
      <c r="E29" s="4"/>
    </row>
    <row r="30" spans="1:5" x14ac:dyDescent="0.35">
      <c r="A30" s="22" t="s">
        <v>250</v>
      </c>
      <c r="B30" s="21" t="s">
        <v>12</v>
      </c>
      <c r="C30" s="18">
        <v>45527</v>
      </c>
      <c r="D30" s="21" t="b">
        <v>0</v>
      </c>
      <c r="E30" s="11">
        <v>33.79</v>
      </c>
    </row>
    <row r="31" spans="1:5" x14ac:dyDescent="0.35">
      <c r="A31" s="17" t="s">
        <v>251</v>
      </c>
      <c r="B31" s="2" t="s">
        <v>12</v>
      </c>
      <c r="C31" s="9">
        <v>45517</v>
      </c>
      <c r="D31" s="2" t="b">
        <v>0</v>
      </c>
      <c r="E31" s="29">
        <v>25.99</v>
      </c>
    </row>
    <row r="32" spans="1:5" x14ac:dyDescent="0.35">
      <c r="A32" s="17" t="s">
        <v>252</v>
      </c>
      <c r="B32" s="2" t="s">
        <v>12</v>
      </c>
      <c r="C32" s="9">
        <v>45517</v>
      </c>
      <c r="D32" s="2" t="b">
        <v>0</v>
      </c>
      <c r="E32" s="29">
        <v>66.650000000000006</v>
      </c>
    </row>
    <row r="33" spans="1:5" x14ac:dyDescent="0.35">
      <c r="A33" s="17" t="s">
        <v>253</v>
      </c>
      <c r="B33" s="2" t="s">
        <v>12</v>
      </c>
      <c r="C33" s="9">
        <v>45509</v>
      </c>
      <c r="D33" s="2" t="b">
        <v>0</v>
      </c>
      <c r="E33" s="29">
        <v>56.15</v>
      </c>
    </row>
    <row r="34" spans="1:5" ht="15" thickBot="1" x14ac:dyDescent="0.4">
      <c r="A34" s="27" t="s">
        <v>254</v>
      </c>
      <c r="B34" s="7" t="s">
        <v>12</v>
      </c>
      <c r="C34" s="6">
        <v>45507</v>
      </c>
      <c r="D34" s="7" t="b">
        <v>0</v>
      </c>
      <c r="E34" s="26">
        <v>15.81</v>
      </c>
    </row>
    <row r="35" spans="1:5" s="40" customFormat="1" x14ac:dyDescent="0.35">
      <c r="A35" s="48" t="s">
        <v>964</v>
      </c>
      <c r="B35" s="2"/>
      <c r="C35" s="9"/>
      <c r="D35" s="2"/>
      <c r="E35" s="5">
        <f>SUM(E30:E34)</f>
        <v>198.39000000000001</v>
      </c>
    </row>
    <row r="36" spans="1:5" s="40" customFormat="1" ht="15" thickBot="1" x14ac:dyDescent="0.4">
      <c r="C36" s="41"/>
      <c r="E36" s="4"/>
    </row>
    <row r="37" spans="1:5" x14ac:dyDescent="0.35">
      <c r="A37" s="22" t="s">
        <v>255</v>
      </c>
      <c r="B37" s="21" t="s">
        <v>17</v>
      </c>
      <c r="C37" s="18">
        <v>45534</v>
      </c>
      <c r="D37" s="21" t="b">
        <v>0</v>
      </c>
      <c r="E37" s="11">
        <v>5.59</v>
      </c>
    </row>
    <row r="38" spans="1:5" ht="15" thickBot="1" x14ac:dyDescent="0.4">
      <c r="A38" s="27" t="s">
        <v>256</v>
      </c>
      <c r="B38" s="7" t="s">
        <v>17</v>
      </c>
      <c r="C38" s="6">
        <v>45526</v>
      </c>
      <c r="D38" s="7" t="b">
        <v>0</v>
      </c>
      <c r="E38" s="26">
        <v>22.15</v>
      </c>
    </row>
    <row r="39" spans="1:5" s="40" customFormat="1" x14ac:dyDescent="0.35">
      <c r="A39" s="3" t="s">
        <v>964</v>
      </c>
      <c r="C39" s="41"/>
      <c r="E39" s="4">
        <f>SUM(E37:E38)</f>
        <v>27.74</v>
      </c>
    </row>
    <row r="40" spans="1:5" s="40" customFormat="1" ht="15" thickBot="1" x14ac:dyDescent="0.4">
      <c r="C40" s="41"/>
      <c r="E40" s="4"/>
    </row>
    <row r="41" spans="1:5" x14ac:dyDescent="0.35">
      <c r="A41" s="22" t="s">
        <v>257</v>
      </c>
      <c r="B41" s="21" t="s">
        <v>21</v>
      </c>
      <c r="C41" s="18">
        <v>45535</v>
      </c>
      <c r="D41" s="21" t="b">
        <v>0</v>
      </c>
      <c r="E41" s="11">
        <v>67.89</v>
      </c>
    </row>
    <row r="42" spans="1:5" x14ac:dyDescent="0.35">
      <c r="A42" s="17" t="s">
        <v>258</v>
      </c>
      <c r="B42" s="2" t="s">
        <v>21</v>
      </c>
      <c r="C42" s="9">
        <v>45531</v>
      </c>
      <c r="D42" s="2" t="b">
        <v>0</v>
      </c>
      <c r="E42" s="29">
        <v>35.1</v>
      </c>
    </row>
    <row r="43" spans="1:5" x14ac:dyDescent="0.35">
      <c r="A43" s="17" t="s">
        <v>259</v>
      </c>
      <c r="B43" s="2" t="s">
        <v>21</v>
      </c>
      <c r="C43" s="9">
        <v>45526</v>
      </c>
      <c r="D43" s="2" t="b">
        <v>0</v>
      </c>
      <c r="E43" s="29">
        <v>109.15</v>
      </c>
    </row>
    <row r="44" spans="1:5" x14ac:dyDescent="0.35">
      <c r="A44" s="17" t="s">
        <v>260</v>
      </c>
      <c r="B44" s="2" t="s">
        <v>21</v>
      </c>
      <c r="C44" s="9">
        <v>45513</v>
      </c>
      <c r="D44" s="2" t="b">
        <v>0</v>
      </c>
      <c r="E44" s="29">
        <v>81.94</v>
      </c>
    </row>
    <row r="45" spans="1:5" x14ac:dyDescent="0.35">
      <c r="A45" s="17" t="s">
        <v>261</v>
      </c>
      <c r="B45" s="2" t="s">
        <v>21</v>
      </c>
      <c r="C45" s="9">
        <v>45513</v>
      </c>
      <c r="D45" s="2" t="b">
        <v>0</v>
      </c>
      <c r="E45" s="29">
        <v>15.9</v>
      </c>
    </row>
    <row r="46" spans="1:5" ht="15" thickBot="1" x14ac:dyDescent="0.4">
      <c r="A46" s="27" t="s">
        <v>262</v>
      </c>
      <c r="B46" s="7" t="s">
        <v>21</v>
      </c>
      <c r="C46" s="6">
        <v>45512</v>
      </c>
      <c r="D46" s="7" t="b">
        <v>0</v>
      </c>
      <c r="E46" s="26">
        <v>31.28</v>
      </c>
    </row>
    <row r="47" spans="1:5" s="40" customFormat="1" x14ac:dyDescent="0.35">
      <c r="A47" s="48" t="s">
        <v>964</v>
      </c>
      <c r="C47" s="41"/>
      <c r="E47" s="4">
        <f>SUM(E41:E46)</f>
        <v>341.26</v>
      </c>
    </row>
    <row r="48" spans="1:5" s="40" customFormat="1" ht="15" thickBot="1" x14ac:dyDescent="0.4">
      <c r="C48" s="41"/>
      <c r="E48" s="4"/>
    </row>
    <row r="49" spans="1:5" x14ac:dyDescent="0.35">
      <c r="A49" s="22" t="s">
        <v>263</v>
      </c>
      <c r="B49" s="21" t="s">
        <v>28</v>
      </c>
      <c r="C49" s="18">
        <v>45534</v>
      </c>
      <c r="D49" s="21" t="b">
        <v>1</v>
      </c>
      <c r="E49" s="11">
        <v>31.76</v>
      </c>
    </row>
    <row r="50" spans="1:5" x14ac:dyDescent="0.35">
      <c r="A50" s="17" t="s">
        <v>264</v>
      </c>
      <c r="B50" s="2" t="s">
        <v>28</v>
      </c>
      <c r="C50" s="9">
        <v>45535</v>
      </c>
      <c r="D50" s="2" t="b">
        <v>0</v>
      </c>
      <c r="E50" s="29">
        <v>16.3</v>
      </c>
    </row>
    <row r="51" spans="1:5" x14ac:dyDescent="0.35">
      <c r="A51" s="17" t="s">
        <v>265</v>
      </c>
      <c r="B51" s="2" t="s">
        <v>28</v>
      </c>
      <c r="C51" s="9">
        <v>45535</v>
      </c>
      <c r="D51" s="2" t="b">
        <v>0</v>
      </c>
      <c r="E51" s="29">
        <v>32.6</v>
      </c>
    </row>
    <row r="52" spans="1:5" x14ac:dyDescent="0.35">
      <c r="A52" s="17" t="s">
        <v>266</v>
      </c>
      <c r="B52" s="2" t="s">
        <v>28</v>
      </c>
      <c r="C52" s="9">
        <v>45534</v>
      </c>
      <c r="D52" s="2" t="b">
        <v>0</v>
      </c>
      <c r="E52" s="29">
        <v>27.46</v>
      </c>
    </row>
    <row r="53" spans="1:5" x14ac:dyDescent="0.35">
      <c r="A53" s="17" t="s">
        <v>267</v>
      </c>
      <c r="B53" s="2" t="s">
        <v>28</v>
      </c>
      <c r="C53" s="9">
        <v>45529</v>
      </c>
      <c r="D53" s="2" t="b">
        <v>0</v>
      </c>
      <c r="E53" s="29">
        <v>18.940000000000001</v>
      </c>
    </row>
    <row r="54" spans="1:5" x14ac:dyDescent="0.35">
      <c r="A54" s="17" t="s">
        <v>268</v>
      </c>
      <c r="B54" s="2" t="s">
        <v>28</v>
      </c>
      <c r="C54" s="9">
        <v>45526</v>
      </c>
      <c r="D54" s="2" t="b">
        <v>0</v>
      </c>
      <c r="E54" s="29">
        <v>10.8</v>
      </c>
    </row>
    <row r="55" spans="1:5" x14ac:dyDescent="0.35">
      <c r="A55" s="17" t="s">
        <v>269</v>
      </c>
      <c r="B55" s="2" t="s">
        <v>28</v>
      </c>
      <c r="C55" s="9">
        <v>45526</v>
      </c>
      <c r="D55" s="2" t="b">
        <v>0</v>
      </c>
      <c r="E55" s="29">
        <v>10.8</v>
      </c>
    </row>
    <row r="56" spans="1:5" x14ac:dyDescent="0.35">
      <c r="A56" s="17" t="s">
        <v>270</v>
      </c>
      <c r="B56" s="2" t="s">
        <v>28</v>
      </c>
      <c r="C56" s="9">
        <v>45523</v>
      </c>
      <c r="D56" s="2" t="b">
        <v>0</v>
      </c>
      <c r="E56" s="29">
        <v>16.649999999999999</v>
      </c>
    </row>
    <row r="57" spans="1:5" x14ac:dyDescent="0.35">
      <c r="A57" s="17" t="s">
        <v>271</v>
      </c>
      <c r="B57" s="2" t="s">
        <v>28</v>
      </c>
      <c r="C57" s="9">
        <v>45522</v>
      </c>
      <c r="D57" s="2" t="b">
        <v>0</v>
      </c>
      <c r="E57" s="29">
        <v>31.47</v>
      </c>
    </row>
    <row r="58" spans="1:5" x14ac:dyDescent="0.35">
      <c r="A58" s="17" t="s">
        <v>272</v>
      </c>
      <c r="B58" s="2" t="s">
        <v>28</v>
      </c>
      <c r="C58" s="9">
        <v>45521</v>
      </c>
      <c r="D58" s="2" t="b">
        <v>0</v>
      </c>
      <c r="E58" s="29">
        <v>15.91</v>
      </c>
    </row>
    <row r="59" spans="1:5" x14ac:dyDescent="0.35">
      <c r="A59" s="17" t="s">
        <v>273</v>
      </c>
      <c r="B59" s="2" t="s">
        <v>28</v>
      </c>
      <c r="C59" s="9">
        <v>45521</v>
      </c>
      <c r="D59" s="2" t="b">
        <v>0</v>
      </c>
      <c r="E59" s="29">
        <v>37.65</v>
      </c>
    </row>
    <row r="60" spans="1:5" x14ac:dyDescent="0.35">
      <c r="A60" s="17" t="s">
        <v>274</v>
      </c>
      <c r="B60" s="2" t="s">
        <v>28</v>
      </c>
      <c r="C60" s="9">
        <v>45521</v>
      </c>
      <c r="D60" s="2" t="b">
        <v>0</v>
      </c>
      <c r="E60" s="29">
        <v>16.3</v>
      </c>
    </row>
    <row r="61" spans="1:5" x14ac:dyDescent="0.35">
      <c r="A61" s="17" t="s">
        <v>275</v>
      </c>
      <c r="B61" s="2" t="s">
        <v>28</v>
      </c>
      <c r="C61" s="9">
        <v>45519</v>
      </c>
      <c r="D61" s="2" t="b">
        <v>0</v>
      </c>
      <c r="E61" s="29">
        <v>46.95</v>
      </c>
    </row>
    <row r="62" spans="1:5" x14ac:dyDescent="0.35">
      <c r="A62" s="17" t="s">
        <v>276</v>
      </c>
      <c r="B62" s="2" t="s">
        <v>28</v>
      </c>
      <c r="C62" s="9">
        <v>45519</v>
      </c>
      <c r="D62" s="2" t="b">
        <v>0</v>
      </c>
      <c r="E62" s="29">
        <v>12.34</v>
      </c>
    </row>
    <row r="63" spans="1:5" x14ac:dyDescent="0.35">
      <c r="A63" s="17" t="s">
        <v>277</v>
      </c>
      <c r="B63" s="2" t="s">
        <v>28</v>
      </c>
      <c r="C63" s="9">
        <v>45517</v>
      </c>
      <c r="D63" s="2" t="b">
        <v>0</v>
      </c>
      <c r="E63" s="29">
        <v>32.82</v>
      </c>
    </row>
    <row r="64" spans="1:5" x14ac:dyDescent="0.35">
      <c r="A64" s="17" t="s">
        <v>278</v>
      </c>
      <c r="B64" s="2" t="s">
        <v>28</v>
      </c>
      <c r="C64" s="9">
        <v>45517</v>
      </c>
      <c r="D64" s="2" t="b">
        <v>0</v>
      </c>
      <c r="E64" s="29">
        <v>9.07</v>
      </c>
    </row>
    <row r="65" spans="1:5" x14ac:dyDescent="0.35">
      <c r="A65" s="17" t="s">
        <v>279</v>
      </c>
      <c r="B65" s="2" t="s">
        <v>28</v>
      </c>
      <c r="C65" s="9">
        <v>45513</v>
      </c>
      <c r="D65" s="2" t="b">
        <v>0</v>
      </c>
      <c r="E65" s="29">
        <v>19.510000000000002</v>
      </c>
    </row>
    <row r="66" spans="1:5" x14ac:dyDescent="0.35">
      <c r="A66" s="17" t="s">
        <v>280</v>
      </c>
      <c r="B66" s="2" t="s">
        <v>28</v>
      </c>
      <c r="C66" s="9">
        <v>45511</v>
      </c>
      <c r="D66" s="2" t="b">
        <v>0</v>
      </c>
      <c r="E66" s="29">
        <v>22.15</v>
      </c>
    </row>
    <row r="67" spans="1:5" x14ac:dyDescent="0.35">
      <c r="A67" s="17" t="s">
        <v>281</v>
      </c>
      <c r="B67" s="2" t="s">
        <v>28</v>
      </c>
      <c r="C67" s="9">
        <v>45511</v>
      </c>
      <c r="D67" s="2" t="b">
        <v>0</v>
      </c>
      <c r="E67" s="29">
        <v>24.2</v>
      </c>
    </row>
    <row r="68" spans="1:5" x14ac:dyDescent="0.35">
      <c r="A68" s="17" t="s">
        <v>282</v>
      </c>
      <c r="B68" s="2" t="s">
        <v>28</v>
      </c>
      <c r="C68" s="9">
        <v>45510</v>
      </c>
      <c r="D68" s="2" t="b">
        <v>0</v>
      </c>
      <c r="E68" s="29">
        <v>9.7799999999999994</v>
      </c>
    </row>
    <row r="69" spans="1:5" x14ac:dyDescent="0.35">
      <c r="A69" s="17" t="s">
        <v>283</v>
      </c>
      <c r="B69" s="2" t="s">
        <v>28</v>
      </c>
      <c r="C69" s="9">
        <v>45510</v>
      </c>
      <c r="D69" s="2" t="b">
        <v>0</v>
      </c>
      <c r="E69" s="29">
        <v>73.819999999999993</v>
      </c>
    </row>
    <row r="70" spans="1:5" x14ac:dyDescent="0.35">
      <c r="A70" s="17" t="s">
        <v>284</v>
      </c>
      <c r="B70" s="2" t="s">
        <v>28</v>
      </c>
      <c r="C70" s="9">
        <v>45509</v>
      </c>
      <c r="D70" s="2" t="b">
        <v>0</v>
      </c>
      <c r="E70" s="29">
        <v>7.82</v>
      </c>
    </row>
    <row r="71" spans="1:5" x14ac:dyDescent="0.35">
      <c r="A71" s="17" t="s">
        <v>285</v>
      </c>
      <c r="B71" s="2" t="s">
        <v>28</v>
      </c>
      <c r="C71" s="9">
        <v>45508</v>
      </c>
      <c r="D71" s="2" t="b">
        <v>0</v>
      </c>
      <c r="E71" s="29">
        <v>27.04</v>
      </c>
    </row>
    <row r="72" spans="1:5" x14ac:dyDescent="0.35">
      <c r="A72" s="17" t="s">
        <v>286</v>
      </c>
      <c r="B72" s="2" t="s">
        <v>28</v>
      </c>
      <c r="C72" s="9">
        <v>45508</v>
      </c>
      <c r="D72" s="2" t="b">
        <v>0</v>
      </c>
      <c r="E72" s="29">
        <v>29.3</v>
      </c>
    </row>
    <row r="73" spans="1:5" x14ac:dyDescent="0.35">
      <c r="A73" s="17" t="s">
        <v>287</v>
      </c>
      <c r="B73" s="2" t="s">
        <v>28</v>
      </c>
      <c r="C73" s="9">
        <v>45507</v>
      </c>
      <c r="D73" s="2" t="b">
        <v>0</v>
      </c>
      <c r="E73" s="29">
        <v>46.19</v>
      </c>
    </row>
    <row r="74" spans="1:5" x14ac:dyDescent="0.35">
      <c r="A74" s="17" t="s">
        <v>288</v>
      </c>
      <c r="B74" s="2" t="s">
        <v>28</v>
      </c>
      <c r="C74" s="9">
        <v>45507</v>
      </c>
      <c r="D74" s="2" t="b">
        <v>0</v>
      </c>
      <c r="E74" s="29">
        <v>33.799999999999997</v>
      </c>
    </row>
    <row r="75" spans="1:5" ht="15" thickBot="1" x14ac:dyDescent="0.4">
      <c r="A75" s="27" t="s">
        <v>289</v>
      </c>
      <c r="B75" s="7" t="s">
        <v>28</v>
      </c>
      <c r="C75" s="6">
        <v>45505</v>
      </c>
      <c r="D75" s="7" t="b">
        <v>0</v>
      </c>
      <c r="E75" s="26">
        <v>10.8</v>
      </c>
    </row>
    <row r="76" spans="1:5" s="40" customFormat="1" x14ac:dyDescent="0.35">
      <c r="A76" s="48" t="s">
        <v>964</v>
      </c>
      <c r="C76" s="41"/>
      <c r="E76" s="4">
        <f>SUM(E49:E75)</f>
        <v>672.22999999999979</v>
      </c>
    </row>
    <row r="77" spans="1:5" s="40" customFormat="1" ht="15" thickBot="1" x14ac:dyDescent="0.4">
      <c r="C77" s="41"/>
      <c r="E77" s="4"/>
    </row>
    <row r="78" spans="1:5" x14ac:dyDescent="0.35">
      <c r="A78" s="22" t="s">
        <v>290</v>
      </c>
      <c r="B78" s="21" t="s">
        <v>32</v>
      </c>
      <c r="C78" s="18">
        <v>45535</v>
      </c>
      <c r="D78" s="21" t="b">
        <v>0</v>
      </c>
      <c r="E78" s="11">
        <v>32.6</v>
      </c>
    </row>
    <row r="79" spans="1:5" x14ac:dyDescent="0.35">
      <c r="A79" s="17" t="s">
        <v>291</v>
      </c>
      <c r="B79" s="2" t="s">
        <v>32</v>
      </c>
      <c r="C79" s="9">
        <v>45534</v>
      </c>
      <c r="D79" s="2" t="b">
        <v>0</v>
      </c>
      <c r="E79" s="29">
        <v>16.3</v>
      </c>
    </row>
    <row r="80" spans="1:5" x14ac:dyDescent="0.35">
      <c r="A80" s="17" t="s">
        <v>292</v>
      </c>
      <c r="B80" s="2" t="s">
        <v>32</v>
      </c>
      <c r="C80" s="9">
        <v>45534</v>
      </c>
      <c r="D80" s="2" t="b">
        <v>0</v>
      </c>
      <c r="E80" s="29">
        <v>8.76</v>
      </c>
    </row>
    <row r="81" spans="1:5" x14ac:dyDescent="0.35">
      <c r="A81" s="17" t="s">
        <v>293</v>
      </c>
      <c r="B81" s="2" t="s">
        <v>32</v>
      </c>
      <c r="C81" s="9">
        <v>45534</v>
      </c>
      <c r="D81" s="2" t="b">
        <v>0</v>
      </c>
      <c r="E81" s="29">
        <v>21.13</v>
      </c>
    </row>
    <row r="82" spans="1:5" x14ac:dyDescent="0.35">
      <c r="A82" s="17" t="s">
        <v>294</v>
      </c>
      <c r="B82" s="2" t="s">
        <v>32</v>
      </c>
      <c r="C82" s="9">
        <v>45534</v>
      </c>
      <c r="D82" s="2" t="b">
        <v>0</v>
      </c>
      <c r="E82" s="29">
        <v>21.76</v>
      </c>
    </row>
    <row r="83" spans="1:5" x14ac:dyDescent="0.35">
      <c r="A83" s="17" t="s">
        <v>295</v>
      </c>
      <c r="B83" s="2" t="s">
        <v>32</v>
      </c>
      <c r="C83" s="9">
        <v>45534</v>
      </c>
      <c r="D83" s="2" t="b">
        <v>0</v>
      </c>
      <c r="E83" s="29">
        <v>18.989999999999998</v>
      </c>
    </row>
    <row r="84" spans="1:5" x14ac:dyDescent="0.35">
      <c r="A84" s="17" t="s">
        <v>296</v>
      </c>
      <c r="B84" s="2" t="s">
        <v>32</v>
      </c>
      <c r="C84" s="9">
        <v>45534</v>
      </c>
      <c r="D84" s="2" t="b">
        <v>0</v>
      </c>
      <c r="E84" s="29">
        <v>47.5</v>
      </c>
    </row>
    <row r="85" spans="1:5" x14ac:dyDescent="0.35">
      <c r="A85" s="17" t="s">
        <v>297</v>
      </c>
      <c r="B85" s="2" t="s">
        <v>32</v>
      </c>
      <c r="C85" s="9">
        <v>45534</v>
      </c>
      <c r="D85" s="2" t="b">
        <v>0</v>
      </c>
      <c r="E85" s="29">
        <v>51.6</v>
      </c>
    </row>
    <row r="86" spans="1:5" x14ac:dyDescent="0.35">
      <c r="A86" s="17" t="s">
        <v>298</v>
      </c>
      <c r="B86" s="2" t="s">
        <v>32</v>
      </c>
      <c r="C86" s="9">
        <v>45534</v>
      </c>
      <c r="D86" s="2" t="b">
        <v>0</v>
      </c>
      <c r="E86" s="29">
        <v>21.97</v>
      </c>
    </row>
    <row r="87" spans="1:5" x14ac:dyDescent="0.35">
      <c r="A87" s="17" t="s">
        <v>299</v>
      </c>
      <c r="B87" s="2" t="s">
        <v>32</v>
      </c>
      <c r="C87" s="9">
        <v>45533</v>
      </c>
      <c r="D87" s="2" t="b">
        <v>0</v>
      </c>
      <c r="E87" s="29">
        <v>41.7</v>
      </c>
    </row>
    <row r="88" spans="1:5" x14ac:dyDescent="0.35">
      <c r="A88" s="17" t="s">
        <v>300</v>
      </c>
      <c r="B88" s="2" t="s">
        <v>32</v>
      </c>
      <c r="C88" s="9">
        <v>45532</v>
      </c>
      <c r="D88" s="2" t="b">
        <v>0</v>
      </c>
      <c r="E88" s="29">
        <v>32.6</v>
      </c>
    </row>
    <row r="89" spans="1:5" x14ac:dyDescent="0.35">
      <c r="A89" s="17" t="s">
        <v>301</v>
      </c>
      <c r="B89" s="2" t="s">
        <v>32</v>
      </c>
      <c r="C89" s="9">
        <v>45532</v>
      </c>
      <c r="D89" s="2" t="b">
        <v>0</v>
      </c>
      <c r="E89" s="29">
        <v>48.9</v>
      </c>
    </row>
    <row r="90" spans="1:5" x14ac:dyDescent="0.35">
      <c r="A90" s="17" t="s">
        <v>302</v>
      </c>
      <c r="B90" s="2" t="s">
        <v>32</v>
      </c>
      <c r="C90" s="9">
        <v>45532</v>
      </c>
      <c r="D90" s="2" t="b">
        <v>0</v>
      </c>
      <c r="E90" s="29">
        <v>24.12</v>
      </c>
    </row>
    <row r="91" spans="1:5" x14ac:dyDescent="0.35">
      <c r="A91" s="17" t="s">
        <v>303</v>
      </c>
      <c r="B91" s="2" t="s">
        <v>32</v>
      </c>
      <c r="C91" s="9">
        <v>45531</v>
      </c>
      <c r="D91" s="2" t="b">
        <v>0</v>
      </c>
      <c r="E91" s="29">
        <v>15.97</v>
      </c>
    </row>
    <row r="92" spans="1:5" x14ac:dyDescent="0.35">
      <c r="A92" s="17" t="s">
        <v>304</v>
      </c>
      <c r="B92" s="2" t="s">
        <v>32</v>
      </c>
      <c r="C92" s="9">
        <v>45531</v>
      </c>
      <c r="D92" s="2" t="b">
        <v>0</v>
      </c>
      <c r="E92" s="29">
        <v>21.46</v>
      </c>
    </row>
    <row r="93" spans="1:5" x14ac:dyDescent="0.35">
      <c r="A93" s="17" t="s">
        <v>305</v>
      </c>
      <c r="B93" s="2" t="s">
        <v>32</v>
      </c>
      <c r="C93" s="9">
        <v>45531</v>
      </c>
      <c r="D93" s="2" t="b">
        <v>0</v>
      </c>
      <c r="E93" s="29">
        <v>16.3</v>
      </c>
    </row>
    <row r="94" spans="1:5" x14ac:dyDescent="0.35">
      <c r="A94" s="17" t="s">
        <v>306</v>
      </c>
      <c r="B94" s="2" t="s">
        <v>32</v>
      </c>
      <c r="C94" s="9">
        <v>45531</v>
      </c>
      <c r="D94" s="2" t="b">
        <v>0</v>
      </c>
      <c r="E94" s="29">
        <v>32.6</v>
      </c>
    </row>
    <row r="95" spans="1:5" x14ac:dyDescent="0.35">
      <c r="A95" s="47" t="s">
        <v>307</v>
      </c>
      <c r="B95" s="2" t="s">
        <v>32</v>
      </c>
      <c r="C95" s="9">
        <v>45530</v>
      </c>
      <c r="D95" s="2" t="b">
        <v>0</v>
      </c>
      <c r="E95" s="29">
        <v>16.3</v>
      </c>
    </row>
    <row r="96" spans="1:5" x14ac:dyDescent="0.35">
      <c r="A96" s="17" t="s">
        <v>308</v>
      </c>
      <c r="B96" s="2" t="s">
        <v>32</v>
      </c>
      <c r="C96" s="9">
        <v>45530</v>
      </c>
      <c r="D96" s="2" t="b">
        <v>0</v>
      </c>
      <c r="E96" s="29">
        <v>18.8</v>
      </c>
    </row>
    <row r="97" spans="1:5" x14ac:dyDescent="0.35">
      <c r="A97" s="17" t="s">
        <v>309</v>
      </c>
      <c r="B97" s="2" t="s">
        <v>32</v>
      </c>
      <c r="C97" s="9">
        <v>45530</v>
      </c>
      <c r="D97" s="2" t="b">
        <v>0</v>
      </c>
      <c r="E97" s="29">
        <v>16.3</v>
      </c>
    </row>
    <row r="98" spans="1:5" x14ac:dyDescent="0.35">
      <c r="A98" s="17" t="s">
        <v>310</v>
      </c>
      <c r="B98" s="2" t="s">
        <v>32</v>
      </c>
      <c r="C98" s="9">
        <v>45529</v>
      </c>
      <c r="D98" s="2" t="b">
        <v>0</v>
      </c>
      <c r="E98" s="29">
        <v>13.94</v>
      </c>
    </row>
    <row r="99" spans="1:5" x14ac:dyDescent="0.35">
      <c r="A99" s="17" t="s">
        <v>311</v>
      </c>
      <c r="B99" s="2" t="s">
        <v>32</v>
      </c>
      <c r="C99" s="9">
        <v>45529</v>
      </c>
      <c r="D99" s="2" t="b">
        <v>0</v>
      </c>
      <c r="E99" s="29">
        <v>48.9</v>
      </c>
    </row>
    <row r="100" spans="1:5" x14ac:dyDescent="0.35">
      <c r="A100" s="17" t="s">
        <v>312</v>
      </c>
      <c r="B100" s="2" t="s">
        <v>32</v>
      </c>
      <c r="C100" s="9">
        <v>45528</v>
      </c>
      <c r="D100" s="2" t="b">
        <v>0</v>
      </c>
      <c r="E100" s="29">
        <v>136.16</v>
      </c>
    </row>
    <row r="101" spans="1:5" x14ac:dyDescent="0.35">
      <c r="A101" s="17" t="s">
        <v>313</v>
      </c>
      <c r="B101" s="2" t="s">
        <v>32</v>
      </c>
      <c r="C101" s="9">
        <v>45527</v>
      </c>
      <c r="D101" s="2" t="b">
        <v>0</v>
      </c>
      <c r="E101" s="29">
        <v>32.6</v>
      </c>
    </row>
    <row r="102" spans="1:5" x14ac:dyDescent="0.35">
      <c r="A102" s="17" t="s">
        <v>314</v>
      </c>
      <c r="B102" s="2" t="s">
        <v>32</v>
      </c>
      <c r="C102" s="9">
        <v>45527</v>
      </c>
      <c r="D102" s="2" t="b">
        <v>0</v>
      </c>
      <c r="E102" s="29">
        <v>32.15</v>
      </c>
    </row>
    <row r="103" spans="1:5" x14ac:dyDescent="0.35">
      <c r="A103" s="17" t="s">
        <v>315</v>
      </c>
      <c r="B103" s="2" t="s">
        <v>32</v>
      </c>
      <c r="C103" s="9">
        <v>45526</v>
      </c>
      <c r="D103" s="2" t="b">
        <v>0</v>
      </c>
      <c r="E103" s="29">
        <v>16.3</v>
      </c>
    </row>
    <row r="104" spans="1:5" x14ac:dyDescent="0.35">
      <c r="A104" s="17" t="s">
        <v>316</v>
      </c>
      <c r="B104" s="2" t="s">
        <v>32</v>
      </c>
      <c r="C104" s="9">
        <v>45526</v>
      </c>
      <c r="D104" s="2" t="b">
        <v>0</v>
      </c>
      <c r="E104" s="29">
        <v>26.1</v>
      </c>
    </row>
    <row r="105" spans="1:5" x14ac:dyDescent="0.35">
      <c r="A105" s="17" t="s">
        <v>317</v>
      </c>
      <c r="B105" s="2" t="s">
        <v>32</v>
      </c>
      <c r="C105" s="9">
        <v>45525</v>
      </c>
      <c r="D105" s="2" t="b">
        <v>0</v>
      </c>
      <c r="E105" s="29">
        <v>16.3</v>
      </c>
    </row>
    <row r="106" spans="1:5" x14ac:dyDescent="0.35">
      <c r="A106" s="17" t="s">
        <v>318</v>
      </c>
      <c r="B106" s="2" t="s">
        <v>32</v>
      </c>
      <c r="C106" s="9">
        <v>45525</v>
      </c>
      <c r="D106" s="2" t="b">
        <v>0</v>
      </c>
      <c r="E106" s="29">
        <v>22.8</v>
      </c>
    </row>
    <row r="107" spans="1:5" x14ac:dyDescent="0.35">
      <c r="A107" s="17" t="s">
        <v>319</v>
      </c>
      <c r="B107" s="2" t="s">
        <v>32</v>
      </c>
      <c r="C107" s="9">
        <v>45525</v>
      </c>
      <c r="D107" s="2" t="b">
        <v>0</v>
      </c>
      <c r="E107" s="29">
        <v>40.75</v>
      </c>
    </row>
    <row r="108" spans="1:5" x14ac:dyDescent="0.35">
      <c r="A108" s="17" t="s">
        <v>320</v>
      </c>
      <c r="B108" s="2" t="s">
        <v>32</v>
      </c>
      <c r="C108" s="9">
        <v>45525</v>
      </c>
      <c r="D108" s="2" t="b">
        <v>0</v>
      </c>
      <c r="E108" s="29">
        <v>38.299999999999997</v>
      </c>
    </row>
    <row r="109" spans="1:5" x14ac:dyDescent="0.35">
      <c r="A109" s="17" t="s">
        <v>321</v>
      </c>
      <c r="B109" s="2" t="s">
        <v>32</v>
      </c>
      <c r="C109" s="9">
        <v>45524</v>
      </c>
      <c r="D109" s="2" t="b">
        <v>0</v>
      </c>
      <c r="E109" s="29">
        <v>16.3</v>
      </c>
    </row>
    <row r="110" spans="1:5" x14ac:dyDescent="0.35">
      <c r="A110" s="17" t="s">
        <v>322</v>
      </c>
      <c r="B110" s="2" t="s">
        <v>32</v>
      </c>
      <c r="C110" s="9">
        <v>45524</v>
      </c>
      <c r="D110" s="2" t="b">
        <v>0</v>
      </c>
      <c r="E110" s="29">
        <v>16.3</v>
      </c>
    </row>
    <row r="111" spans="1:5" x14ac:dyDescent="0.35">
      <c r="A111" s="17" t="s">
        <v>323</v>
      </c>
      <c r="B111" s="2" t="s">
        <v>32</v>
      </c>
      <c r="C111" s="9">
        <v>45524</v>
      </c>
      <c r="D111" s="2" t="b">
        <v>0</v>
      </c>
      <c r="E111" s="29">
        <v>28.6</v>
      </c>
    </row>
    <row r="112" spans="1:5" x14ac:dyDescent="0.35">
      <c r="A112" s="17" t="s">
        <v>324</v>
      </c>
      <c r="B112" s="2" t="s">
        <v>32</v>
      </c>
      <c r="C112" s="9">
        <v>45524</v>
      </c>
      <c r="D112" s="2" t="b">
        <v>0</v>
      </c>
      <c r="E112" s="29">
        <v>32.6</v>
      </c>
    </row>
    <row r="113" spans="1:5" x14ac:dyDescent="0.35">
      <c r="A113" s="17" t="s">
        <v>325</v>
      </c>
      <c r="B113" s="2" t="s">
        <v>32</v>
      </c>
      <c r="C113" s="9">
        <v>45524</v>
      </c>
      <c r="D113" s="2" t="b">
        <v>0</v>
      </c>
      <c r="E113" s="29">
        <v>20.7</v>
      </c>
    </row>
    <row r="114" spans="1:5" x14ac:dyDescent="0.35">
      <c r="A114" s="17" t="s">
        <v>326</v>
      </c>
      <c r="B114" s="2" t="s">
        <v>32</v>
      </c>
      <c r="C114" s="9">
        <v>45524</v>
      </c>
      <c r="D114" s="2" t="b">
        <v>0</v>
      </c>
      <c r="E114" s="29">
        <v>32.6</v>
      </c>
    </row>
    <row r="115" spans="1:5" x14ac:dyDescent="0.35">
      <c r="A115" s="17" t="s">
        <v>327</v>
      </c>
      <c r="B115" s="2" t="s">
        <v>32</v>
      </c>
      <c r="C115" s="9">
        <v>45524</v>
      </c>
      <c r="D115" s="2" t="b">
        <v>0</v>
      </c>
      <c r="E115" s="29">
        <v>16.3</v>
      </c>
    </row>
    <row r="116" spans="1:5" x14ac:dyDescent="0.35">
      <c r="A116" s="17" t="s">
        <v>328</v>
      </c>
      <c r="B116" s="2" t="s">
        <v>32</v>
      </c>
      <c r="C116" s="9">
        <v>45523</v>
      </c>
      <c r="D116" s="2" t="b">
        <v>0</v>
      </c>
      <c r="E116" s="29">
        <v>18.8</v>
      </c>
    </row>
    <row r="117" spans="1:5" x14ac:dyDescent="0.35">
      <c r="A117" s="17" t="s">
        <v>329</v>
      </c>
      <c r="B117" s="2" t="s">
        <v>32</v>
      </c>
      <c r="C117" s="9">
        <v>45523</v>
      </c>
      <c r="D117" s="2" t="b">
        <v>0</v>
      </c>
      <c r="E117" s="29">
        <v>32.6</v>
      </c>
    </row>
    <row r="118" spans="1:5" x14ac:dyDescent="0.35">
      <c r="A118" s="17" t="s">
        <v>330</v>
      </c>
      <c r="B118" s="2" t="s">
        <v>32</v>
      </c>
      <c r="C118" s="9">
        <v>45523</v>
      </c>
      <c r="D118" s="2" t="b">
        <v>0</v>
      </c>
      <c r="E118" s="29">
        <v>32.6</v>
      </c>
    </row>
    <row r="119" spans="1:5" x14ac:dyDescent="0.35">
      <c r="A119" s="17" t="s">
        <v>331</v>
      </c>
      <c r="B119" s="2" t="s">
        <v>32</v>
      </c>
      <c r="C119" s="9">
        <v>45523</v>
      </c>
      <c r="D119" s="2" t="b">
        <v>0</v>
      </c>
      <c r="E119" s="29">
        <v>48.9</v>
      </c>
    </row>
    <row r="120" spans="1:5" x14ac:dyDescent="0.35">
      <c r="A120" s="17" t="s">
        <v>332</v>
      </c>
      <c r="B120" s="2" t="s">
        <v>32</v>
      </c>
      <c r="C120" s="9">
        <v>45523</v>
      </c>
      <c r="D120" s="2" t="b">
        <v>0</v>
      </c>
      <c r="E120" s="29">
        <v>32.6</v>
      </c>
    </row>
    <row r="121" spans="1:5" x14ac:dyDescent="0.35">
      <c r="A121" s="17" t="s">
        <v>333</v>
      </c>
      <c r="B121" s="2" t="s">
        <v>32</v>
      </c>
      <c r="C121" s="9">
        <v>45522</v>
      </c>
      <c r="D121" s="2" t="b">
        <v>0</v>
      </c>
      <c r="E121" s="29">
        <v>32.6</v>
      </c>
    </row>
    <row r="122" spans="1:5" x14ac:dyDescent="0.35">
      <c r="A122" s="17" t="s">
        <v>334</v>
      </c>
      <c r="B122" s="2" t="s">
        <v>32</v>
      </c>
      <c r="C122" s="9">
        <v>45522</v>
      </c>
      <c r="D122" s="2" t="b">
        <v>0</v>
      </c>
      <c r="E122" s="29">
        <v>8.4499999999999993</v>
      </c>
    </row>
    <row r="123" spans="1:5" x14ac:dyDescent="0.35">
      <c r="A123" s="17" t="s">
        <v>335</v>
      </c>
      <c r="B123" s="2" t="s">
        <v>32</v>
      </c>
      <c r="C123" s="9">
        <v>45522</v>
      </c>
      <c r="D123" s="2" t="b">
        <v>0</v>
      </c>
      <c r="E123" s="29">
        <v>14.9</v>
      </c>
    </row>
    <row r="124" spans="1:5" x14ac:dyDescent="0.35">
      <c r="A124" s="17" t="s">
        <v>336</v>
      </c>
      <c r="B124" s="2" t="s">
        <v>32</v>
      </c>
      <c r="C124" s="9">
        <v>45521</v>
      </c>
      <c r="D124" s="2" t="b">
        <v>0</v>
      </c>
      <c r="E124" s="29">
        <v>18.190000000000001</v>
      </c>
    </row>
    <row r="125" spans="1:5" x14ac:dyDescent="0.35">
      <c r="A125" s="17" t="s">
        <v>337</v>
      </c>
      <c r="B125" s="2" t="s">
        <v>32</v>
      </c>
      <c r="C125" s="9">
        <v>45520</v>
      </c>
      <c r="D125" s="2" t="b">
        <v>0</v>
      </c>
      <c r="E125" s="29">
        <v>16.3</v>
      </c>
    </row>
    <row r="126" spans="1:5" x14ac:dyDescent="0.35">
      <c r="A126" s="17" t="s">
        <v>338</v>
      </c>
      <c r="B126" s="2" t="s">
        <v>32</v>
      </c>
      <c r="C126" s="9">
        <v>45519</v>
      </c>
      <c r="D126" s="2" t="b">
        <v>0</v>
      </c>
      <c r="E126" s="29">
        <v>48.9</v>
      </c>
    </row>
    <row r="127" spans="1:5" x14ac:dyDescent="0.35">
      <c r="A127" s="17" t="s">
        <v>339</v>
      </c>
      <c r="B127" s="2" t="s">
        <v>32</v>
      </c>
      <c r="C127" s="9">
        <v>45519</v>
      </c>
      <c r="D127" s="2" t="b">
        <v>0</v>
      </c>
      <c r="E127" s="29">
        <v>26.3</v>
      </c>
    </row>
    <row r="128" spans="1:5" x14ac:dyDescent="0.35">
      <c r="A128" s="17" t="s">
        <v>340</v>
      </c>
      <c r="B128" s="2" t="s">
        <v>32</v>
      </c>
      <c r="C128" s="9">
        <v>45519</v>
      </c>
      <c r="D128" s="2" t="b">
        <v>0</v>
      </c>
      <c r="E128" s="29">
        <v>16.3</v>
      </c>
    </row>
    <row r="129" spans="1:5" x14ac:dyDescent="0.35">
      <c r="A129" s="17" t="s">
        <v>341</v>
      </c>
      <c r="B129" s="2" t="s">
        <v>32</v>
      </c>
      <c r="C129" s="9">
        <v>45519</v>
      </c>
      <c r="D129" s="2" t="b">
        <v>0</v>
      </c>
      <c r="E129" s="29">
        <v>32.6</v>
      </c>
    </row>
    <row r="130" spans="1:5" x14ac:dyDescent="0.35">
      <c r="A130" s="17" t="s">
        <v>342</v>
      </c>
      <c r="B130" s="2" t="s">
        <v>32</v>
      </c>
      <c r="C130" s="9">
        <v>45518</v>
      </c>
      <c r="D130" s="2" t="b">
        <v>0</v>
      </c>
      <c r="E130" s="29">
        <v>20.8</v>
      </c>
    </row>
    <row r="131" spans="1:5" x14ac:dyDescent="0.35">
      <c r="A131" s="17" t="s">
        <v>343</v>
      </c>
      <c r="B131" s="2" t="s">
        <v>32</v>
      </c>
      <c r="C131" s="9">
        <v>45517</v>
      </c>
      <c r="D131" s="2" t="b">
        <v>0</v>
      </c>
      <c r="E131" s="29">
        <v>40.75</v>
      </c>
    </row>
    <row r="132" spans="1:5" x14ac:dyDescent="0.35">
      <c r="A132" s="17" t="s">
        <v>344</v>
      </c>
      <c r="B132" s="2" t="s">
        <v>32</v>
      </c>
      <c r="C132" s="9">
        <v>45517</v>
      </c>
      <c r="D132" s="2" t="b">
        <v>0</v>
      </c>
      <c r="E132" s="29">
        <v>16.3</v>
      </c>
    </row>
    <row r="133" spans="1:5" x14ac:dyDescent="0.35">
      <c r="A133" s="17" t="s">
        <v>345</v>
      </c>
      <c r="B133" s="2" t="s">
        <v>32</v>
      </c>
      <c r="C133" s="9">
        <v>45516</v>
      </c>
      <c r="D133" s="2" t="b">
        <v>0</v>
      </c>
      <c r="E133" s="29">
        <v>32.6</v>
      </c>
    </row>
    <row r="134" spans="1:5" x14ac:dyDescent="0.35">
      <c r="A134" s="17" t="s">
        <v>346</v>
      </c>
      <c r="B134" s="2" t="s">
        <v>32</v>
      </c>
      <c r="C134" s="9">
        <v>45515</v>
      </c>
      <c r="D134" s="2" t="b">
        <v>0</v>
      </c>
      <c r="E134" s="29">
        <v>32.6</v>
      </c>
    </row>
    <row r="135" spans="1:5" x14ac:dyDescent="0.35">
      <c r="A135" s="17" t="s">
        <v>347</v>
      </c>
      <c r="B135" s="2" t="s">
        <v>32</v>
      </c>
      <c r="C135" s="9">
        <v>45515</v>
      </c>
      <c r="D135" s="2" t="b">
        <v>0</v>
      </c>
      <c r="E135" s="29">
        <v>16.39</v>
      </c>
    </row>
    <row r="136" spans="1:5" x14ac:dyDescent="0.35">
      <c r="A136" s="17" t="s">
        <v>348</v>
      </c>
      <c r="B136" s="2" t="s">
        <v>32</v>
      </c>
      <c r="C136" s="9">
        <v>45515</v>
      </c>
      <c r="D136" s="2" t="b">
        <v>0</v>
      </c>
      <c r="E136" s="29">
        <v>16.39</v>
      </c>
    </row>
    <row r="137" spans="1:5" x14ac:dyDescent="0.35">
      <c r="A137" s="17" t="s">
        <v>349</v>
      </c>
      <c r="B137" s="2" t="s">
        <v>32</v>
      </c>
      <c r="C137" s="9">
        <v>45514</v>
      </c>
      <c r="D137" s="2" t="b">
        <v>0</v>
      </c>
      <c r="E137" s="29">
        <v>16.3</v>
      </c>
    </row>
    <row r="138" spans="1:5" x14ac:dyDescent="0.35">
      <c r="A138" s="17" t="s">
        <v>350</v>
      </c>
      <c r="B138" s="2" t="s">
        <v>32</v>
      </c>
      <c r="C138" s="9">
        <v>45513</v>
      </c>
      <c r="D138" s="2" t="b">
        <v>0</v>
      </c>
      <c r="E138" s="29">
        <v>16.3</v>
      </c>
    </row>
    <row r="139" spans="1:5" x14ac:dyDescent="0.35">
      <c r="A139" s="17" t="s">
        <v>351</v>
      </c>
      <c r="B139" s="2" t="s">
        <v>32</v>
      </c>
      <c r="C139" s="9">
        <v>45513</v>
      </c>
      <c r="D139" s="2" t="b">
        <v>0</v>
      </c>
      <c r="E139" s="29">
        <v>16.3</v>
      </c>
    </row>
    <row r="140" spans="1:5" x14ac:dyDescent="0.35">
      <c r="A140" s="17" t="s">
        <v>352</v>
      </c>
      <c r="B140" s="2" t="s">
        <v>32</v>
      </c>
      <c r="C140" s="9">
        <v>45513</v>
      </c>
      <c r="D140" s="2" t="b">
        <v>0</v>
      </c>
      <c r="E140" s="29">
        <v>34.65</v>
      </c>
    </row>
    <row r="141" spans="1:5" x14ac:dyDescent="0.35">
      <c r="A141" s="17" t="s">
        <v>353</v>
      </c>
      <c r="B141" s="2" t="s">
        <v>32</v>
      </c>
      <c r="C141" s="9">
        <v>45513</v>
      </c>
      <c r="D141" s="2" t="b">
        <v>0</v>
      </c>
      <c r="E141" s="29">
        <v>18</v>
      </c>
    </row>
    <row r="142" spans="1:5" x14ac:dyDescent="0.35">
      <c r="A142" s="17" t="s">
        <v>354</v>
      </c>
      <c r="B142" s="2" t="s">
        <v>32</v>
      </c>
      <c r="C142" s="9">
        <v>45513</v>
      </c>
      <c r="D142" s="2" t="b">
        <v>0</v>
      </c>
      <c r="E142" s="29">
        <v>16.3</v>
      </c>
    </row>
    <row r="143" spans="1:5" x14ac:dyDescent="0.35">
      <c r="A143" s="17" t="s">
        <v>355</v>
      </c>
      <c r="B143" s="2" t="s">
        <v>32</v>
      </c>
      <c r="C143" s="9">
        <v>45512</v>
      </c>
      <c r="D143" s="2" t="b">
        <v>0</v>
      </c>
      <c r="E143" s="29">
        <v>16.3</v>
      </c>
    </row>
    <row r="144" spans="1:5" x14ac:dyDescent="0.35">
      <c r="A144" s="17" t="s">
        <v>356</v>
      </c>
      <c r="B144" s="2" t="s">
        <v>32</v>
      </c>
      <c r="C144" s="9">
        <v>45512</v>
      </c>
      <c r="D144" s="2" t="b">
        <v>0</v>
      </c>
      <c r="E144" s="29">
        <v>8.4499999999999993</v>
      </c>
    </row>
    <row r="145" spans="1:5" x14ac:dyDescent="0.35">
      <c r="A145" s="17" t="s">
        <v>357</v>
      </c>
      <c r="B145" s="2" t="s">
        <v>32</v>
      </c>
      <c r="C145" s="9">
        <v>45512</v>
      </c>
      <c r="D145" s="2" t="b">
        <v>0</v>
      </c>
      <c r="E145" s="29">
        <v>16.3</v>
      </c>
    </row>
    <row r="146" spans="1:5" x14ac:dyDescent="0.35">
      <c r="A146" s="17" t="s">
        <v>358</v>
      </c>
      <c r="B146" s="2" t="s">
        <v>32</v>
      </c>
      <c r="C146" s="9">
        <v>45510</v>
      </c>
      <c r="D146" s="2" t="b">
        <v>0</v>
      </c>
      <c r="E146" s="29">
        <v>17.25</v>
      </c>
    </row>
    <row r="147" spans="1:5" x14ac:dyDescent="0.35">
      <c r="A147" s="17" t="s">
        <v>359</v>
      </c>
      <c r="B147" s="2" t="s">
        <v>32</v>
      </c>
      <c r="C147" s="9">
        <v>45510</v>
      </c>
      <c r="D147" s="2" t="b">
        <v>0</v>
      </c>
      <c r="E147" s="29">
        <v>18.8</v>
      </c>
    </row>
    <row r="148" spans="1:5" x14ac:dyDescent="0.35">
      <c r="A148" s="17" t="s">
        <v>360</v>
      </c>
      <c r="B148" s="2" t="s">
        <v>32</v>
      </c>
      <c r="C148" s="9">
        <v>45510</v>
      </c>
      <c r="D148" s="2" t="b">
        <v>0</v>
      </c>
      <c r="E148" s="29">
        <v>30.24</v>
      </c>
    </row>
    <row r="149" spans="1:5" x14ac:dyDescent="0.35">
      <c r="A149" s="17" t="s">
        <v>361</v>
      </c>
      <c r="B149" s="2" t="s">
        <v>32</v>
      </c>
      <c r="C149" s="9">
        <v>45509</v>
      </c>
      <c r="D149" s="2" t="b">
        <v>0</v>
      </c>
      <c r="E149" s="29">
        <v>54.69</v>
      </c>
    </row>
    <row r="150" spans="1:5" x14ac:dyDescent="0.35">
      <c r="A150" s="17" t="s">
        <v>362</v>
      </c>
      <c r="B150" s="2" t="s">
        <v>32</v>
      </c>
      <c r="C150" s="9">
        <v>45509</v>
      </c>
      <c r="D150" s="2" t="b">
        <v>0</v>
      </c>
      <c r="E150" s="29">
        <v>44.22</v>
      </c>
    </row>
    <row r="151" spans="1:5" x14ac:dyDescent="0.35">
      <c r="A151" s="17" t="s">
        <v>363</v>
      </c>
      <c r="B151" s="2" t="s">
        <v>32</v>
      </c>
      <c r="C151" s="9">
        <v>45509</v>
      </c>
      <c r="D151" s="2" t="b">
        <v>0</v>
      </c>
      <c r="E151" s="29">
        <v>32.6</v>
      </c>
    </row>
    <row r="152" spans="1:5" x14ac:dyDescent="0.35">
      <c r="A152" s="17" t="s">
        <v>364</v>
      </c>
      <c r="B152" s="2" t="s">
        <v>32</v>
      </c>
      <c r="C152" s="9">
        <v>45509</v>
      </c>
      <c r="D152" s="2" t="b">
        <v>0</v>
      </c>
      <c r="E152" s="29">
        <v>32.44</v>
      </c>
    </row>
    <row r="153" spans="1:5" x14ac:dyDescent="0.35">
      <c r="A153" s="17" t="s">
        <v>365</v>
      </c>
      <c r="B153" s="2" t="s">
        <v>32</v>
      </c>
      <c r="C153" s="9">
        <v>45509</v>
      </c>
      <c r="D153" s="2" t="b">
        <v>0</v>
      </c>
      <c r="E153" s="29">
        <v>16.3</v>
      </c>
    </row>
    <row r="154" spans="1:5" x14ac:dyDescent="0.35">
      <c r="A154" s="17" t="s">
        <v>366</v>
      </c>
      <c r="B154" s="2" t="s">
        <v>32</v>
      </c>
      <c r="C154" s="9">
        <v>45508</v>
      </c>
      <c r="D154" s="2" t="b">
        <v>0</v>
      </c>
      <c r="E154" s="29">
        <v>32.6</v>
      </c>
    </row>
    <row r="155" spans="1:5" x14ac:dyDescent="0.35">
      <c r="A155" s="17" t="s">
        <v>367</v>
      </c>
      <c r="B155" s="2" t="s">
        <v>32</v>
      </c>
      <c r="C155" s="9">
        <v>45508</v>
      </c>
      <c r="D155" s="2" t="b">
        <v>0</v>
      </c>
      <c r="E155" s="29">
        <v>48.44</v>
      </c>
    </row>
    <row r="156" spans="1:5" x14ac:dyDescent="0.35">
      <c r="A156" s="17" t="s">
        <v>368</v>
      </c>
      <c r="B156" s="2" t="s">
        <v>32</v>
      </c>
      <c r="C156" s="9">
        <v>45508</v>
      </c>
      <c r="D156" s="2" t="b">
        <v>0</v>
      </c>
      <c r="E156" s="29">
        <v>65.2</v>
      </c>
    </row>
    <row r="157" spans="1:5" x14ac:dyDescent="0.35">
      <c r="A157" s="17" t="s">
        <v>369</v>
      </c>
      <c r="B157" s="2" t="s">
        <v>32</v>
      </c>
      <c r="C157" s="9">
        <v>45508</v>
      </c>
      <c r="D157" s="2" t="b">
        <v>0</v>
      </c>
      <c r="E157" s="29">
        <v>32.6</v>
      </c>
    </row>
    <row r="158" spans="1:5" x14ac:dyDescent="0.35">
      <c r="A158" s="17" t="s">
        <v>370</v>
      </c>
      <c r="B158" s="2" t="s">
        <v>32</v>
      </c>
      <c r="C158" s="9">
        <v>45508</v>
      </c>
      <c r="D158" s="2" t="b">
        <v>0</v>
      </c>
      <c r="E158" s="29">
        <v>18.8</v>
      </c>
    </row>
    <row r="159" spans="1:5" x14ac:dyDescent="0.35">
      <c r="A159" s="17" t="s">
        <v>371</v>
      </c>
      <c r="B159" s="2" t="s">
        <v>32</v>
      </c>
      <c r="C159" s="9">
        <v>45507</v>
      </c>
      <c r="D159" s="2" t="b">
        <v>0</v>
      </c>
      <c r="E159" s="29">
        <v>28.85</v>
      </c>
    </row>
    <row r="160" spans="1:5" x14ac:dyDescent="0.35">
      <c r="A160" s="17" t="s">
        <v>372</v>
      </c>
      <c r="B160" s="2" t="s">
        <v>32</v>
      </c>
      <c r="C160" s="9">
        <v>45506</v>
      </c>
      <c r="D160" s="2" t="b">
        <v>0</v>
      </c>
      <c r="E160" s="29">
        <v>22.7</v>
      </c>
    </row>
    <row r="161" spans="1:5" x14ac:dyDescent="0.35">
      <c r="A161" s="17" t="s">
        <v>373</v>
      </c>
      <c r="B161" s="2" t="s">
        <v>32</v>
      </c>
      <c r="C161" s="9">
        <v>45505</v>
      </c>
      <c r="D161" s="2" t="b">
        <v>0</v>
      </c>
      <c r="E161" s="29">
        <v>37.19</v>
      </c>
    </row>
    <row r="162" spans="1:5" ht="15" thickBot="1" x14ac:dyDescent="0.4">
      <c r="A162" s="27" t="s">
        <v>374</v>
      </c>
      <c r="B162" s="7" t="s">
        <v>32</v>
      </c>
      <c r="C162" s="6">
        <v>45505</v>
      </c>
      <c r="D162" s="7" t="b">
        <v>0</v>
      </c>
      <c r="E162" s="26">
        <v>34.299999999999997</v>
      </c>
    </row>
    <row r="163" spans="1:5" s="40" customFormat="1" x14ac:dyDescent="0.35">
      <c r="A163" s="48" t="s">
        <v>964</v>
      </c>
      <c r="C163" s="41"/>
      <c r="E163" s="4">
        <f>SUM(E78:E162)</f>
        <v>2395.349999999999</v>
      </c>
    </row>
    <row r="164" spans="1:5" s="40" customFormat="1" ht="15" thickBot="1" x14ac:dyDescent="0.4">
      <c r="C164" s="41"/>
      <c r="E164" s="4"/>
    </row>
    <row r="165" spans="1:5" x14ac:dyDescent="0.35">
      <c r="A165" s="22" t="s">
        <v>375</v>
      </c>
      <c r="B165" s="21" t="s">
        <v>43</v>
      </c>
      <c r="C165" s="18">
        <v>45529</v>
      </c>
      <c r="D165" s="21" t="b">
        <v>1</v>
      </c>
      <c r="E165" s="11">
        <v>48.59</v>
      </c>
    </row>
    <row r="166" spans="1:5" x14ac:dyDescent="0.35">
      <c r="A166" s="17" t="s">
        <v>376</v>
      </c>
      <c r="B166" s="2" t="s">
        <v>43</v>
      </c>
      <c r="C166" s="9">
        <v>45535</v>
      </c>
      <c r="D166" s="2" t="b">
        <v>0</v>
      </c>
      <c r="E166" s="29">
        <v>16.18</v>
      </c>
    </row>
    <row r="167" spans="1:5" x14ac:dyDescent="0.35">
      <c r="A167" s="17" t="s">
        <v>377</v>
      </c>
      <c r="B167" s="2" t="s">
        <v>43</v>
      </c>
      <c r="C167" s="9">
        <v>45532</v>
      </c>
      <c r="D167" s="2" t="b">
        <v>0</v>
      </c>
      <c r="E167" s="29">
        <v>14</v>
      </c>
    </row>
    <row r="168" spans="1:5" x14ac:dyDescent="0.35">
      <c r="A168" s="17" t="s">
        <v>378</v>
      </c>
      <c r="B168" s="2" t="s">
        <v>43</v>
      </c>
      <c r="C168" s="9">
        <v>45526</v>
      </c>
      <c r="D168" s="2" t="b">
        <v>0</v>
      </c>
      <c r="E168" s="29">
        <v>21.18</v>
      </c>
    </row>
    <row r="169" spans="1:5" x14ac:dyDescent="0.35">
      <c r="A169" s="17" t="s">
        <v>379</v>
      </c>
      <c r="B169" s="2" t="s">
        <v>43</v>
      </c>
      <c r="C169" s="9">
        <v>45524</v>
      </c>
      <c r="D169" s="2" t="b">
        <v>0</v>
      </c>
      <c r="E169" s="29">
        <v>59.78</v>
      </c>
    </row>
    <row r="170" spans="1:5" x14ac:dyDescent="0.35">
      <c r="A170" s="17" t="s">
        <v>380</v>
      </c>
      <c r="B170" s="2" t="s">
        <v>43</v>
      </c>
      <c r="C170" s="9">
        <v>45518</v>
      </c>
      <c r="D170" s="2" t="b">
        <v>0</v>
      </c>
      <c r="E170" s="29">
        <v>46.89</v>
      </c>
    </row>
    <row r="171" spans="1:5" x14ac:dyDescent="0.35">
      <c r="A171" s="17" t="s">
        <v>381</v>
      </c>
      <c r="B171" s="2" t="s">
        <v>43</v>
      </c>
      <c r="C171" s="9">
        <v>45518</v>
      </c>
      <c r="D171" s="2" t="b">
        <v>0</v>
      </c>
      <c r="E171" s="29">
        <v>42.62</v>
      </c>
    </row>
    <row r="172" spans="1:5" x14ac:dyDescent="0.35">
      <c r="A172" s="17" t="s">
        <v>382</v>
      </c>
      <c r="B172" s="2" t="s">
        <v>43</v>
      </c>
      <c r="C172" s="9">
        <v>45517</v>
      </c>
      <c r="D172" s="2" t="b">
        <v>0</v>
      </c>
      <c r="E172" s="29">
        <v>34.15</v>
      </c>
    </row>
    <row r="173" spans="1:5" x14ac:dyDescent="0.35">
      <c r="A173" s="17" t="s">
        <v>383</v>
      </c>
      <c r="B173" s="2" t="s">
        <v>43</v>
      </c>
      <c r="C173" s="9">
        <v>45515</v>
      </c>
      <c r="D173" s="2" t="b">
        <v>0</v>
      </c>
      <c r="E173" s="29">
        <v>40.6</v>
      </c>
    </row>
    <row r="174" spans="1:5" x14ac:dyDescent="0.35">
      <c r="A174" s="17" t="s">
        <v>384</v>
      </c>
      <c r="B174" s="2" t="s">
        <v>43</v>
      </c>
      <c r="C174" s="9">
        <v>45515</v>
      </c>
      <c r="D174" s="2" t="b">
        <v>0</v>
      </c>
      <c r="E174" s="29">
        <v>27.53</v>
      </c>
    </row>
    <row r="175" spans="1:5" ht="15" thickBot="1" x14ac:dyDescent="0.4">
      <c r="A175" s="27" t="s">
        <v>385</v>
      </c>
      <c r="B175" s="7" t="s">
        <v>43</v>
      </c>
      <c r="C175" s="6">
        <v>45514</v>
      </c>
      <c r="D175" s="7" t="b">
        <v>0</v>
      </c>
      <c r="E175" s="26">
        <v>23.55</v>
      </c>
    </row>
    <row r="176" spans="1:5" s="40" customFormat="1" x14ac:dyDescent="0.35">
      <c r="A176" s="48" t="s">
        <v>964</v>
      </c>
      <c r="C176" s="41"/>
      <c r="E176" s="4">
        <f>SUM(E165:E175)</f>
        <v>375.07</v>
      </c>
    </row>
    <row r="177" spans="1:5" s="40" customFormat="1" ht="15" thickBot="1" x14ac:dyDescent="0.4">
      <c r="C177" s="41"/>
      <c r="E177" s="4"/>
    </row>
    <row r="178" spans="1:5" x14ac:dyDescent="0.35">
      <c r="A178" s="22" t="s">
        <v>386</v>
      </c>
      <c r="B178" s="21" t="s">
        <v>104</v>
      </c>
      <c r="C178" s="18">
        <v>45532</v>
      </c>
      <c r="D178" s="21" t="b">
        <v>0</v>
      </c>
      <c r="E178" s="11">
        <v>16.579999999999998</v>
      </c>
    </row>
    <row r="179" spans="1:5" x14ac:dyDescent="0.35">
      <c r="A179" s="17" t="s">
        <v>387</v>
      </c>
      <c r="B179" s="2" t="s">
        <v>104</v>
      </c>
      <c r="C179" s="9">
        <v>45529</v>
      </c>
      <c r="D179" s="2" t="b">
        <v>0</v>
      </c>
      <c r="E179" s="29">
        <v>13</v>
      </c>
    </row>
    <row r="180" spans="1:5" x14ac:dyDescent="0.35">
      <c r="A180" s="17" t="s">
        <v>388</v>
      </c>
      <c r="B180" s="2" t="s">
        <v>104</v>
      </c>
      <c r="C180" s="9">
        <v>45529</v>
      </c>
      <c r="D180" s="2" t="b">
        <v>0</v>
      </c>
      <c r="E180" s="29">
        <v>24.85</v>
      </c>
    </row>
    <row r="181" spans="1:5" x14ac:dyDescent="0.35">
      <c r="A181" s="17" t="s">
        <v>389</v>
      </c>
      <c r="B181" s="2" t="s">
        <v>104</v>
      </c>
      <c r="C181" s="9">
        <v>45520</v>
      </c>
      <c r="D181" s="2" t="b">
        <v>0</v>
      </c>
      <c r="E181" s="29">
        <v>40.04</v>
      </c>
    </row>
    <row r="182" spans="1:5" x14ac:dyDescent="0.35">
      <c r="A182" s="17" t="s">
        <v>390</v>
      </c>
      <c r="B182" s="2" t="s">
        <v>104</v>
      </c>
      <c r="C182" s="9">
        <v>45513</v>
      </c>
      <c r="D182" s="2" t="b">
        <v>0</v>
      </c>
      <c r="E182" s="29">
        <v>25.99</v>
      </c>
    </row>
    <row r="183" spans="1:5" ht="15" thickBot="1" x14ac:dyDescent="0.4">
      <c r="A183" s="27" t="s">
        <v>391</v>
      </c>
      <c r="B183" s="7" t="s">
        <v>104</v>
      </c>
      <c r="C183" s="6">
        <v>45509</v>
      </c>
      <c r="D183" s="7" t="b">
        <v>0</v>
      </c>
      <c r="E183" s="26">
        <v>13</v>
      </c>
    </row>
    <row r="184" spans="1:5" s="40" customFormat="1" x14ac:dyDescent="0.35">
      <c r="A184" s="48" t="s">
        <v>964</v>
      </c>
      <c r="C184" s="41"/>
      <c r="E184" s="4">
        <f>SUM(E178:E183)</f>
        <v>133.45999999999998</v>
      </c>
    </row>
    <row r="185" spans="1:5" s="40" customFormat="1" ht="15" thickBot="1" x14ac:dyDescent="0.4">
      <c r="C185" s="41"/>
      <c r="E185" s="4"/>
    </row>
    <row r="186" spans="1:5" x14ac:dyDescent="0.35">
      <c r="A186" s="22" t="s">
        <v>392</v>
      </c>
      <c r="B186" s="21" t="s">
        <v>393</v>
      </c>
      <c r="C186" s="18">
        <v>45519</v>
      </c>
      <c r="D186" s="21" t="b">
        <v>0</v>
      </c>
      <c r="E186" s="11">
        <v>39.18</v>
      </c>
    </row>
    <row r="187" spans="1:5" x14ac:dyDescent="0.35">
      <c r="A187" s="17" t="s">
        <v>394</v>
      </c>
      <c r="B187" s="2" t="s">
        <v>393</v>
      </c>
      <c r="C187" s="9">
        <v>45512</v>
      </c>
      <c r="D187" s="2" t="b">
        <v>0</v>
      </c>
      <c r="E187" s="29">
        <v>36.43</v>
      </c>
    </row>
    <row r="188" spans="1:5" ht="15" thickBot="1" x14ac:dyDescent="0.4">
      <c r="A188" s="27" t="s">
        <v>395</v>
      </c>
      <c r="B188" s="7" t="s">
        <v>393</v>
      </c>
      <c r="C188" s="6">
        <v>45512</v>
      </c>
      <c r="D188" s="7" t="b">
        <v>0</v>
      </c>
      <c r="E188" s="26">
        <v>17.809999999999999</v>
      </c>
    </row>
    <row r="189" spans="1:5" x14ac:dyDescent="0.35">
      <c r="A189" s="3" t="s">
        <v>964</v>
      </c>
      <c r="E189" s="1">
        <f>SUM(E186:E188)</f>
        <v>93.42</v>
      </c>
    </row>
    <row r="193" spans="1:5" x14ac:dyDescent="0.35">
      <c r="A193" t="s">
        <v>969</v>
      </c>
      <c r="E193" s="1">
        <f>SUM(E189,E184,E176,E163,E76,E47,E39,E35,E28,E14)</f>
        <v>4653.2399999999989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73"/>
  <sheetViews>
    <sheetView topLeftCell="A135" zoomScale="70" zoomScaleNormal="70" workbookViewId="0">
      <selection activeCell="E173" sqref="E173"/>
    </sheetView>
  </sheetViews>
  <sheetFormatPr defaultRowHeight="14.5" x14ac:dyDescent="0.35"/>
  <cols>
    <col min="1" max="1" width="26.81640625" customWidth="1"/>
    <col min="2" max="2" width="27.36328125" customWidth="1"/>
    <col min="3" max="3" width="24.453125" customWidth="1"/>
    <col min="5" max="5" width="12.453125" customWidth="1"/>
  </cols>
  <sheetData>
    <row r="6" spans="1:5" ht="15" thickBot="1" x14ac:dyDescent="0.4"/>
    <row r="7" spans="1:5" ht="15" thickBot="1" x14ac:dyDescent="0.4">
      <c r="A7" s="50" t="s">
        <v>0</v>
      </c>
      <c r="B7" s="51" t="s">
        <v>1</v>
      </c>
      <c r="C7" s="51" t="s">
        <v>2</v>
      </c>
      <c r="D7" s="51" t="s">
        <v>5</v>
      </c>
      <c r="E7" s="52" t="s">
        <v>6</v>
      </c>
    </row>
    <row r="8" spans="1:5" x14ac:dyDescent="0.35">
      <c r="A8" s="22" t="s">
        <v>396</v>
      </c>
      <c r="B8" s="21" t="s">
        <v>8</v>
      </c>
      <c r="C8" s="18">
        <v>45559</v>
      </c>
      <c r="D8" s="21" t="b">
        <v>0</v>
      </c>
      <c r="E8" s="11">
        <v>19.55</v>
      </c>
    </row>
    <row r="9" spans="1:5" x14ac:dyDescent="0.35">
      <c r="A9" s="17" t="s">
        <v>397</v>
      </c>
      <c r="B9" s="2" t="s">
        <v>8</v>
      </c>
      <c r="C9" s="9">
        <v>45553</v>
      </c>
      <c r="D9" s="2" t="b">
        <v>0</v>
      </c>
      <c r="E9" s="29">
        <v>18.8</v>
      </c>
    </row>
    <row r="10" spans="1:5" ht="15" thickBot="1" x14ac:dyDescent="0.4">
      <c r="A10" s="27" t="s">
        <v>398</v>
      </c>
      <c r="B10" s="7" t="s">
        <v>8</v>
      </c>
      <c r="C10" s="6">
        <v>45539</v>
      </c>
      <c r="D10" s="7" t="b">
        <v>0</v>
      </c>
      <c r="E10" s="26">
        <v>20.079999999999998</v>
      </c>
    </row>
    <row r="11" spans="1:5" s="40" customFormat="1" x14ac:dyDescent="0.35">
      <c r="A11" s="3" t="s">
        <v>964</v>
      </c>
      <c r="C11" s="41"/>
      <c r="E11" s="4">
        <f>SUM(E8:E10)</f>
        <v>58.43</v>
      </c>
    </row>
    <row r="12" spans="1:5" s="40" customFormat="1" ht="15" thickBot="1" x14ac:dyDescent="0.4">
      <c r="C12" s="41"/>
      <c r="E12" s="4"/>
    </row>
    <row r="13" spans="1:5" x14ac:dyDescent="0.35">
      <c r="A13" s="22" t="s">
        <v>399</v>
      </c>
      <c r="B13" s="21" t="s">
        <v>10</v>
      </c>
      <c r="C13" s="18">
        <v>45565</v>
      </c>
      <c r="D13" s="21" t="b">
        <v>0</v>
      </c>
      <c r="E13" s="11">
        <v>40.75</v>
      </c>
    </row>
    <row r="14" spans="1:5" x14ac:dyDescent="0.35">
      <c r="A14" s="17" t="s">
        <v>400</v>
      </c>
      <c r="B14" s="2" t="s">
        <v>10</v>
      </c>
      <c r="C14" s="9">
        <v>45557</v>
      </c>
      <c r="D14" s="2" t="b">
        <v>0</v>
      </c>
      <c r="E14" s="29">
        <v>27.07</v>
      </c>
    </row>
    <row r="15" spans="1:5" x14ac:dyDescent="0.35">
      <c r="A15" s="17" t="s">
        <v>401</v>
      </c>
      <c r="B15" s="2" t="s">
        <v>10</v>
      </c>
      <c r="C15" s="9">
        <v>45557</v>
      </c>
      <c r="D15" s="2" t="b">
        <v>0</v>
      </c>
      <c r="E15" s="29">
        <v>7.1</v>
      </c>
    </row>
    <row r="16" spans="1:5" x14ac:dyDescent="0.35">
      <c r="A16" s="17" t="s">
        <v>402</v>
      </c>
      <c r="B16" s="2" t="s">
        <v>10</v>
      </c>
      <c r="C16" s="9">
        <v>45557</v>
      </c>
      <c r="D16" s="2" t="b">
        <v>0</v>
      </c>
      <c r="E16" s="29">
        <v>24.5</v>
      </c>
    </row>
    <row r="17" spans="1:5" x14ac:dyDescent="0.35">
      <c r="A17" s="17" t="s">
        <v>403</v>
      </c>
      <c r="B17" s="2" t="s">
        <v>10</v>
      </c>
      <c r="C17" s="9">
        <v>45550</v>
      </c>
      <c r="D17" s="2" t="b">
        <v>0</v>
      </c>
      <c r="E17" s="29">
        <v>16.3</v>
      </c>
    </row>
    <row r="18" spans="1:5" x14ac:dyDescent="0.35">
      <c r="A18" s="17" t="s">
        <v>404</v>
      </c>
      <c r="B18" s="2" t="s">
        <v>10</v>
      </c>
      <c r="C18" s="9">
        <v>45549</v>
      </c>
      <c r="D18" s="2" t="b">
        <v>0</v>
      </c>
      <c r="E18" s="29">
        <v>24.3</v>
      </c>
    </row>
    <row r="19" spans="1:5" x14ac:dyDescent="0.35">
      <c r="A19" s="17" t="s">
        <v>405</v>
      </c>
      <c r="B19" s="2" t="s">
        <v>10</v>
      </c>
      <c r="C19" s="9">
        <v>45548</v>
      </c>
      <c r="D19" s="2" t="b">
        <v>0</v>
      </c>
      <c r="E19" s="29">
        <v>36.6</v>
      </c>
    </row>
    <row r="20" spans="1:5" x14ac:dyDescent="0.35">
      <c r="A20" s="17" t="s">
        <v>406</v>
      </c>
      <c r="B20" s="2" t="s">
        <v>10</v>
      </c>
      <c r="C20" s="9">
        <v>45541</v>
      </c>
      <c r="D20" s="2" t="b">
        <v>0</v>
      </c>
      <c r="E20" s="29">
        <v>24.8</v>
      </c>
    </row>
    <row r="21" spans="1:5" ht="15" thickBot="1" x14ac:dyDescent="0.4">
      <c r="A21" s="27" t="s">
        <v>407</v>
      </c>
      <c r="B21" s="7" t="s">
        <v>10</v>
      </c>
      <c r="C21" s="6">
        <v>45541</v>
      </c>
      <c r="D21" s="7" t="b">
        <v>0</v>
      </c>
      <c r="E21" s="26">
        <v>37.6</v>
      </c>
    </row>
    <row r="22" spans="1:5" s="40" customFormat="1" x14ac:dyDescent="0.35">
      <c r="A22" s="48" t="s">
        <v>964</v>
      </c>
      <c r="C22" s="41"/>
      <c r="E22" s="4">
        <f>SUM(E13:E21)</f>
        <v>239.01999999999998</v>
      </c>
    </row>
    <row r="23" spans="1:5" s="40" customFormat="1" ht="15" thickBot="1" x14ac:dyDescent="0.4">
      <c r="C23" s="41"/>
      <c r="E23" s="4"/>
    </row>
    <row r="24" spans="1:5" x14ac:dyDescent="0.35">
      <c r="A24" s="22" t="s">
        <v>408</v>
      </c>
      <c r="B24" s="21" t="s">
        <v>17</v>
      </c>
      <c r="C24" s="18">
        <v>45563</v>
      </c>
      <c r="D24" s="21" t="b">
        <v>0</v>
      </c>
      <c r="E24" s="11">
        <v>58.73</v>
      </c>
    </row>
    <row r="25" spans="1:5" x14ac:dyDescent="0.35">
      <c r="A25" s="17" t="s">
        <v>409</v>
      </c>
      <c r="B25" s="2" t="s">
        <v>17</v>
      </c>
      <c r="C25" s="9">
        <v>45561</v>
      </c>
      <c r="D25" s="2" t="b">
        <v>0</v>
      </c>
      <c r="E25" s="29">
        <v>13</v>
      </c>
    </row>
    <row r="26" spans="1:5" x14ac:dyDescent="0.35">
      <c r="A26" s="17" t="s">
        <v>410</v>
      </c>
      <c r="B26" s="2" t="s">
        <v>17</v>
      </c>
      <c r="C26" s="9">
        <v>45554</v>
      </c>
      <c r="D26" s="2" t="b">
        <v>0</v>
      </c>
      <c r="E26" s="29">
        <v>17.25</v>
      </c>
    </row>
    <row r="27" spans="1:5" ht="15" thickBot="1" x14ac:dyDescent="0.4">
      <c r="A27" s="27" t="s">
        <v>411</v>
      </c>
      <c r="B27" s="7" t="s">
        <v>17</v>
      </c>
      <c r="C27" s="6">
        <v>45544</v>
      </c>
      <c r="D27" s="7" t="b">
        <v>0</v>
      </c>
      <c r="E27" s="26">
        <v>35.39</v>
      </c>
    </row>
    <row r="28" spans="1:5" s="40" customFormat="1" x14ac:dyDescent="0.35">
      <c r="A28" s="3" t="s">
        <v>964</v>
      </c>
      <c r="C28" s="41"/>
      <c r="E28" s="4">
        <f>SUM(E24:E27)</f>
        <v>124.36999999999999</v>
      </c>
    </row>
    <row r="29" spans="1:5" s="40" customFormat="1" ht="15" thickBot="1" x14ac:dyDescent="0.4">
      <c r="C29" s="41"/>
      <c r="E29" s="4"/>
    </row>
    <row r="30" spans="1:5" ht="15" thickBot="1" x14ac:dyDescent="0.4">
      <c r="A30" s="31" t="s">
        <v>412</v>
      </c>
      <c r="B30" s="23" t="s">
        <v>51</v>
      </c>
      <c r="C30" s="16">
        <v>45540</v>
      </c>
      <c r="D30" s="23" t="b">
        <v>0</v>
      </c>
      <c r="E30" s="28">
        <v>27</v>
      </c>
    </row>
    <row r="31" spans="1:5" s="40" customFormat="1" x14ac:dyDescent="0.35">
      <c r="A31" s="3" t="s">
        <v>964</v>
      </c>
      <c r="C31" s="41"/>
      <c r="E31" s="4">
        <f>SUM(E30)</f>
        <v>27</v>
      </c>
    </row>
    <row r="32" spans="1:5" s="40" customFormat="1" ht="15" thickBot="1" x14ac:dyDescent="0.4">
      <c r="C32" s="41"/>
      <c r="E32" s="4"/>
    </row>
    <row r="33" spans="1:5" x14ac:dyDescent="0.35">
      <c r="A33" s="22" t="s">
        <v>413</v>
      </c>
      <c r="B33" s="21" t="s">
        <v>21</v>
      </c>
      <c r="C33" s="18">
        <v>45556</v>
      </c>
      <c r="D33" s="21" t="b">
        <v>0</v>
      </c>
      <c r="E33" s="11">
        <v>31.2</v>
      </c>
    </row>
    <row r="34" spans="1:5" x14ac:dyDescent="0.35">
      <c r="A34" s="17" t="s">
        <v>414</v>
      </c>
      <c r="B34" s="2" t="s">
        <v>21</v>
      </c>
      <c r="C34" s="9">
        <v>45552</v>
      </c>
      <c r="D34" s="2" t="b">
        <v>0</v>
      </c>
      <c r="E34" s="29">
        <v>26.02</v>
      </c>
    </row>
    <row r="35" spans="1:5" x14ac:dyDescent="0.35">
      <c r="A35" s="17" t="s">
        <v>415</v>
      </c>
      <c r="B35" s="2" t="s">
        <v>21</v>
      </c>
      <c r="C35" s="9">
        <v>45543</v>
      </c>
      <c r="D35" s="2" t="b">
        <v>0</v>
      </c>
      <c r="E35" s="29">
        <v>23.59</v>
      </c>
    </row>
    <row r="36" spans="1:5" x14ac:dyDescent="0.35">
      <c r="A36" s="17" t="s">
        <v>416</v>
      </c>
      <c r="B36" s="2" t="s">
        <v>21</v>
      </c>
      <c r="C36" s="9">
        <v>45540</v>
      </c>
      <c r="D36" s="2" t="b">
        <v>0</v>
      </c>
      <c r="E36" s="29">
        <v>96.18</v>
      </c>
    </row>
    <row r="37" spans="1:5" x14ac:dyDescent="0.35">
      <c r="A37" s="17" t="s">
        <v>417</v>
      </c>
      <c r="B37" s="2" t="s">
        <v>21</v>
      </c>
      <c r="C37" s="9">
        <v>45539</v>
      </c>
      <c r="D37" s="2" t="b">
        <v>0</v>
      </c>
      <c r="E37" s="29">
        <v>62.24</v>
      </c>
    </row>
    <row r="38" spans="1:5" x14ac:dyDescent="0.35">
      <c r="A38" s="17" t="s">
        <v>418</v>
      </c>
      <c r="B38" s="2" t="s">
        <v>21</v>
      </c>
      <c r="C38" s="9">
        <v>45537</v>
      </c>
      <c r="D38" s="2" t="b">
        <v>0</v>
      </c>
      <c r="E38" s="29">
        <v>44.55</v>
      </c>
    </row>
    <row r="39" spans="1:5" x14ac:dyDescent="0.35">
      <c r="A39" s="17" t="s">
        <v>419</v>
      </c>
      <c r="B39" s="2" t="s">
        <v>21</v>
      </c>
      <c r="C39" s="9">
        <v>45537</v>
      </c>
      <c r="D39" s="2" t="b">
        <v>0</v>
      </c>
      <c r="E39" s="29">
        <v>33.42</v>
      </c>
    </row>
    <row r="40" spans="1:5" ht="15" thickBot="1" x14ac:dyDescent="0.4">
      <c r="A40" s="27" t="s">
        <v>420</v>
      </c>
      <c r="B40" s="7" t="s">
        <v>21</v>
      </c>
      <c r="C40" s="6">
        <v>45536</v>
      </c>
      <c r="D40" s="7" t="b">
        <v>0</v>
      </c>
      <c r="E40" s="26">
        <v>31.28</v>
      </c>
    </row>
    <row r="41" spans="1:5" s="40" customFormat="1" x14ac:dyDescent="0.35">
      <c r="A41" s="48" t="s">
        <v>964</v>
      </c>
      <c r="C41" s="41"/>
      <c r="E41" s="4">
        <f>SUM(E33:E40)</f>
        <v>348.48</v>
      </c>
    </row>
    <row r="42" spans="1:5" s="40" customFormat="1" ht="15" thickBot="1" x14ac:dyDescent="0.4">
      <c r="C42" s="41"/>
      <c r="E42" s="4"/>
    </row>
    <row r="43" spans="1:5" ht="15" customHeight="1" x14ac:dyDescent="0.35">
      <c r="A43" s="22" t="s">
        <v>421</v>
      </c>
      <c r="B43" s="21" t="s">
        <v>28</v>
      </c>
      <c r="C43" s="18">
        <v>45564</v>
      </c>
      <c r="D43" s="21" t="b">
        <v>0</v>
      </c>
      <c r="E43" s="11">
        <v>18.53</v>
      </c>
    </row>
    <row r="44" spans="1:5" x14ac:dyDescent="0.35">
      <c r="A44" s="17" t="s">
        <v>422</v>
      </c>
      <c r="B44" s="2" t="s">
        <v>28</v>
      </c>
      <c r="C44" s="9">
        <v>45555</v>
      </c>
      <c r="D44" s="2" t="b">
        <v>0</v>
      </c>
      <c r="E44" s="29">
        <v>10.8</v>
      </c>
    </row>
    <row r="45" spans="1:5" x14ac:dyDescent="0.35">
      <c r="A45" s="17" t="s">
        <v>423</v>
      </c>
      <c r="B45" s="2" t="s">
        <v>28</v>
      </c>
      <c r="C45" s="9">
        <v>45546</v>
      </c>
      <c r="D45" s="2" t="b">
        <v>0</v>
      </c>
      <c r="E45" s="29">
        <v>15.3</v>
      </c>
    </row>
    <row r="46" spans="1:5" x14ac:dyDescent="0.35">
      <c r="A46" s="17" t="s">
        <v>424</v>
      </c>
      <c r="B46" s="2" t="s">
        <v>28</v>
      </c>
      <c r="C46" s="9">
        <v>45540</v>
      </c>
      <c r="D46" s="2" t="b">
        <v>0</v>
      </c>
      <c r="E46" s="29">
        <v>7.15</v>
      </c>
    </row>
    <row r="47" spans="1:5" ht="15" thickBot="1" x14ac:dyDescent="0.4">
      <c r="A47" s="27" t="s">
        <v>425</v>
      </c>
      <c r="B47" s="7" t="s">
        <v>28</v>
      </c>
      <c r="C47" s="6">
        <v>45536</v>
      </c>
      <c r="D47" s="7" t="b">
        <v>0</v>
      </c>
      <c r="E47" s="26">
        <v>14.25</v>
      </c>
    </row>
    <row r="48" spans="1:5" s="40" customFormat="1" x14ac:dyDescent="0.35">
      <c r="A48" s="48" t="s">
        <v>964</v>
      </c>
      <c r="C48" s="41"/>
      <c r="E48" s="4">
        <f>SUM(E43:E47)</f>
        <v>66.03</v>
      </c>
    </row>
    <row r="49" spans="1:5" s="40" customFormat="1" ht="15" thickBot="1" x14ac:dyDescent="0.4">
      <c r="C49" s="41"/>
      <c r="E49" s="4"/>
    </row>
    <row r="50" spans="1:5" x14ac:dyDescent="0.35">
      <c r="A50" s="22" t="s">
        <v>426</v>
      </c>
      <c r="B50" s="21" t="s">
        <v>32</v>
      </c>
      <c r="C50" s="18">
        <v>45564</v>
      </c>
      <c r="D50" s="21" t="b">
        <v>0</v>
      </c>
      <c r="E50" s="11">
        <v>16.3</v>
      </c>
    </row>
    <row r="51" spans="1:5" x14ac:dyDescent="0.35">
      <c r="A51" s="17" t="s">
        <v>427</v>
      </c>
      <c r="B51" s="2" t="s">
        <v>32</v>
      </c>
      <c r="C51" s="9">
        <v>45564</v>
      </c>
      <c r="D51" s="2" t="b">
        <v>0</v>
      </c>
      <c r="E51" s="29">
        <v>27</v>
      </c>
    </row>
    <row r="52" spans="1:5" x14ac:dyDescent="0.35">
      <c r="A52" s="47" t="s">
        <v>428</v>
      </c>
      <c r="B52" s="2" t="s">
        <v>32</v>
      </c>
      <c r="C52" s="9">
        <v>45564</v>
      </c>
      <c r="D52" s="2" t="b">
        <v>0</v>
      </c>
      <c r="E52" s="29">
        <v>16.3</v>
      </c>
    </row>
    <row r="53" spans="1:5" x14ac:dyDescent="0.35">
      <c r="A53" s="17" t="s">
        <v>429</v>
      </c>
      <c r="B53" s="2" t="s">
        <v>32</v>
      </c>
      <c r="C53" s="9">
        <v>45564</v>
      </c>
      <c r="D53" s="2" t="b">
        <v>0</v>
      </c>
      <c r="E53" s="29">
        <v>16.3</v>
      </c>
    </row>
    <row r="54" spans="1:5" x14ac:dyDescent="0.35">
      <c r="A54" s="17" t="s">
        <v>430</v>
      </c>
      <c r="B54" s="2" t="s">
        <v>32</v>
      </c>
      <c r="C54" s="9">
        <v>45564</v>
      </c>
      <c r="D54" s="2" t="b">
        <v>0</v>
      </c>
      <c r="E54" s="29">
        <v>25.3</v>
      </c>
    </row>
    <row r="55" spans="1:5" x14ac:dyDescent="0.35">
      <c r="A55" s="17" t="s">
        <v>431</v>
      </c>
      <c r="B55" s="2" t="s">
        <v>32</v>
      </c>
      <c r="C55" s="9">
        <v>45564</v>
      </c>
      <c r="D55" s="2" t="b">
        <v>0</v>
      </c>
      <c r="E55" s="29">
        <v>18.8</v>
      </c>
    </row>
    <row r="56" spans="1:5" x14ac:dyDescent="0.35">
      <c r="A56" s="17" t="s">
        <v>432</v>
      </c>
      <c r="B56" s="2" t="s">
        <v>32</v>
      </c>
      <c r="C56" s="9">
        <v>45563</v>
      </c>
      <c r="D56" s="2" t="b">
        <v>0</v>
      </c>
      <c r="E56" s="29">
        <v>18.8</v>
      </c>
    </row>
    <row r="57" spans="1:5" x14ac:dyDescent="0.35">
      <c r="A57" s="17" t="s">
        <v>433</v>
      </c>
      <c r="B57" s="2" t="s">
        <v>32</v>
      </c>
      <c r="C57" s="9">
        <v>45563</v>
      </c>
      <c r="D57" s="2" t="b">
        <v>0</v>
      </c>
      <c r="E57" s="29">
        <v>18.2</v>
      </c>
    </row>
    <row r="58" spans="1:5" x14ac:dyDescent="0.35">
      <c r="A58" s="17" t="s">
        <v>434</v>
      </c>
      <c r="B58" s="2" t="s">
        <v>32</v>
      </c>
      <c r="C58" s="9">
        <v>45563</v>
      </c>
      <c r="D58" s="2" t="b">
        <v>0</v>
      </c>
      <c r="E58" s="29">
        <v>33.799999999999997</v>
      </c>
    </row>
    <row r="59" spans="1:5" x14ac:dyDescent="0.35">
      <c r="A59" s="17" t="s">
        <v>435</v>
      </c>
      <c r="B59" s="2" t="s">
        <v>32</v>
      </c>
      <c r="C59" s="9">
        <v>45562</v>
      </c>
      <c r="D59" s="2" t="b">
        <v>0</v>
      </c>
      <c r="E59" s="29">
        <v>24.2</v>
      </c>
    </row>
    <row r="60" spans="1:5" x14ac:dyDescent="0.35">
      <c r="A60" s="17" t="s">
        <v>436</v>
      </c>
      <c r="B60" s="2" t="s">
        <v>32</v>
      </c>
      <c r="C60" s="9">
        <v>45562</v>
      </c>
      <c r="D60" s="2" t="b">
        <v>0</v>
      </c>
      <c r="E60" s="29">
        <v>48.19</v>
      </c>
    </row>
    <row r="61" spans="1:5" x14ac:dyDescent="0.35">
      <c r="A61" s="17" t="s">
        <v>437</v>
      </c>
      <c r="B61" s="2" t="s">
        <v>32</v>
      </c>
      <c r="C61" s="9">
        <v>45562</v>
      </c>
      <c r="D61" s="2" t="b">
        <v>0</v>
      </c>
      <c r="E61" s="29">
        <v>48.9</v>
      </c>
    </row>
    <row r="62" spans="1:5" x14ac:dyDescent="0.35">
      <c r="A62" s="17" t="s">
        <v>438</v>
      </c>
      <c r="B62" s="2" t="s">
        <v>32</v>
      </c>
      <c r="C62" s="9">
        <v>45561</v>
      </c>
      <c r="D62" s="2" t="b">
        <v>0</v>
      </c>
      <c r="E62" s="29">
        <v>12.66</v>
      </c>
    </row>
    <row r="63" spans="1:5" x14ac:dyDescent="0.35">
      <c r="A63" s="17" t="s">
        <v>439</v>
      </c>
      <c r="B63" s="2" t="s">
        <v>32</v>
      </c>
      <c r="C63" s="9">
        <v>45561</v>
      </c>
      <c r="D63" s="2" t="b">
        <v>0</v>
      </c>
      <c r="E63" s="29">
        <v>32.6</v>
      </c>
    </row>
    <row r="64" spans="1:5" x14ac:dyDescent="0.35">
      <c r="A64" s="17" t="s">
        <v>440</v>
      </c>
      <c r="B64" s="2" t="s">
        <v>32</v>
      </c>
      <c r="C64" s="9">
        <v>45558</v>
      </c>
      <c r="D64" s="2" t="b">
        <v>0</v>
      </c>
      <c r="E64" s="29">
        <v>32.6</v>
      </c>
    </row>
    <row r="65" spans="1:5" x14ac:dyDescent="0.35">
      <c r="A65" s="17" t="s">
        <v>441</v>
      </c>
      <c r="B65" s="2" t="s">
        <v>32</v>
      </c>
      <c r="C65" s="9">
        <v>45557</v>
      </c>
      <c r="D65" s="2" t="b">
        <v>0</v>
      </c>
      <c r="E65" s="29">
        <v>8.15</v>
      </c>
    </row>
    <row r="66" spans="1:5" x14ac:dyDescent="0.35">
      <c r="A66" s="17" t="s">
        <v>442</v>
      </c>
      <c r="B66" s="2" t="s">
        <v>32</v>
      </c>
      <c r="C66" s="9">
        <v>45557</v>
      </c>
      <c r="D66" s="2" t="b">
        <v>0</v>
      </c>
      <c r="E66" s="29">
        <v>65.069999999999993</v>
      </c>
    </row>
    <row r="67" spans="1:5" x14ac:dyDescent="0.35">
      <c r="A67" s="17" t="s">
        <v>443</v>
      </c>
      <c r="B67" s="2" t="s">
        <v>32</v>
      </c>
      <c r="C67" s="9">
        <v>45557</v>
      </c>
      <c r="D67" s="2" t="b">
        <v>0</v>
      </c>
      <c r="E67" s="29">
        <v>19.350000000000001</v>
      </c>
    </row>
    <row r="68" spans="1:5" x14ac:dyDescent="0.35">
      <c r="A68" s="17" t="s">
        <v>444</v>
      </c>
      <c r="B68" s="2" t="s">
        <v>32</v>
      </c>
      <c r="C68" s="9">
        <v>45557</v>
      </c>
      <c r="D68" s="2" t="b">
        <v>0</v>
      </c>
      <c r="E68" s="29">
        <v>16.3</v>
      </c>
    </row>
    <row r="69" spans="1:5" x14ac:dyDescent="0.35">
      <c r="A69" s="17" t="s">
        <v>445</v>
      </c>
      <c r="B69" s="2" t="s">
        <v>32</v>
      </c>
      <c r="C69" s="9">
        <v>45557</v>
      </c>
      <c r="D69" s="2" t="b">
        <v>0</v>
      </c>
      <c r="E69" s="29">
        <v>32.6</v>
      </c>
    </row>
    <row r="70" spans="1:5" x14ac:dyDescent="0.35">
      <c r="A70" s="17" t="s">
        <v>446</v>
      </c>
      <c r="B70" s="2" t="s">
        <v>32</v>
      </c>
      <c r="C70" s="9">
        <v>45556</v>
      </c>
      <c r="D70" s="2" t="b">
        <v>0</v>
      </c>
      <c r="E70" s="29">
        <v>16.3</v>
      </c>
    </row>
    <row r="71" spans="1:5" x14ac:dyDescent="0.35">
      <c r="A71" s="17" t="s">
        <v>447</v>
      </c>
      <c r="B71" s="2" t="s">
        <v>32</v>
      </c>
      <c r="C71" s="9">
        <v>45555</v>
      </c>
      <c r="D71" s="2" t="b">
        <v>0</v>
      </c>
      <c r="E71" s="29">
        <v>34.4</v>
      </c>
    </row>
    <row r="72" spans="1:5" x14ac:dyDescent="0.35">
      <c r="A72" s="17" t="s">
        <v>448</v>
      </c>
      <c r="B72" s="2" t="s">
        <v>32</v>
      </c>
      <c r="C72" s="9">
        <v>45555</v>
      </c>
      <c r="D72" s="2" t="b">
        <v>0</v>
      </c>
      <c r="E72" s="29">
        <v>63.28</v>
      </c>
    </row>
    <row r="73" spans="1:5" x14ac:dyDescent="0.35">
      <c r="A73" s="17" t="s">
        <v>449</v>
      </c>
      <c r="B73" s="2" t="s">
        <v>32</v>
      </c>
      <c r="C73" s="9">
        <v>45554</v>
      </c>
      <c r="D73" s="2" t="b">
        <v>0</v>
      </c>
      <c r="E73" s="29">
        <v>25.62</v>
      </c>
    </row>
    <row r="74" spans="1:5" x14ac:dyDescent="0.35">
      <c r="A74" s="17" t="s">
        <v>450</v>
      </c>
      <c r="B74" s="2" t="s">
        <v>32</v>
      </c>
      <c r="C74" s="9">
        <v>45554</v>
      </c>
      <c r="D74" s="2" t="b">
        <v>0</v>
      </c>
      <c r="E74" s="29">
        <v>16.3</v>
      </c>
    </row>
    <row r="75" spans="1:5" x14ac:dyDescent="0.35">
      <c r="A75" s="17" t="s">
        <v>451</v>
      </c>
      <c r="B75" s="2" t="s">
        <v>32</v>
      </c>
      <c r="C75" s="9">
        <v>45554</v>
      </c>
      <c r="D75" s="2" t="b">
        <v>0</v>
      </c>
      <c r="E75" s="29">
        <v>16.3</v>
      </c>
    </row>
    <row r="76" spans="1:5" x14ac:dyDescent="0.35">
      <c r="A76" s="17" t="s">
        <v>452</v>
      </c>
      <c r="B76" s="2" t="s">
        <v>32</v>
      </c>
      <c r="C76" s="9">
        <v>45552</v>
      </c>
      <c r="D76" s="2" t="b">
        <v>0</v>
      </c>
      <c r="E76" s="29">
        <v>16.3</v>
      </c>
    </row>
    <row r="77" spans="1:5" x14ac:dyDescent="0.35">
      <c r="A77" s="17" t="s">
        <v>453</v>
      </c>
      <c r="B77" s="2" t="s">
        <v>32</v>
      </c>
      <c r="C77" s="9">
        <v>45552</v>
      </c>
      <c r="D77" s="2" t="b">
        <v>0</v>
      </c>
      <c r="E77" s="29">
        <v>23.8</v>
      </c>
    </row>
    <row r="78" spans="1:5" x14ac:dyDescent="0.35">
      <c r="A78" s="17" t="s">
        <v>454</v>
      </c>
      <c r="B78" s="2" t="s">
        <v>32</v>
      </c>
      <c r="C78" s="9">
        <v>45552</v>
      </c>
      <c r="D78" s="2" t="b">
        <v>0</v>
      </c>
      <c r="E78" s="29">
        <v>3.25</v>
      </c>
    </row>
    <row r="79" spans="1:5" x14ac:dyDescent="0.35">
      <c r="A79" s="17" t="s">
        <v>455</v>
      </c>
      <c r="B79" s="2" t="s">
        <v>32</v>
      </c>
      <c r="C79" s="9">
        <v>45550</v>
      </c>
      <c r="D79" s="2" t="b">
        <v>0</v>
      </c>
      <c r="E79" s="29">
        <v>16.3</v>
      </c>
    </row>
    <row r="80" spans="1:5" x14ac:dyDescent="0.35">
      <c r="A80" s="17" t="s">
        <v>456</v>
      </c>
      <c r="B80" s="2" t="s">
        <v>32</v>
      </c>
      <c r="C80" s="9">
        <v>45550</v>
      </c>
      <c r="D80" s="2" t="b">
        <v>0</v>
      </c>
      <c r="E80" s="29">
        <v>16.3</v>
      </c>
    </row>
    <row r="81" spans="1:5" x14ac:dyDescent="0.35">
      <c r="A81" s="17" t="s">
        <v>457</v>
      </c>
      <c r="B81" s="2" t="s">
        <v>32</v>
      </c>
      <c r="C81" s="9">
        <v>45549</v>
      </c>
      <c r="D81" s="2" t="b">
        <v>0</v>
      </c>
      <c r="E81" s="29">
        <v>31.9</v>
      </c>
    </row>
    <row r="82" spans="1:5" x14ac:dyDescent="0.35">
      <c r="A82" s="17" t="s">
        <v>458</v>
      </c>
      <c r="B82" s="2" t="s">
        <v>32</v>
      </c>
      <c r="C82" s="9">
        <v>45549</v>
      </c>
      <c r="D82" s="2" t="b">
        <v>0</v>
      </c>
      <c r="E82" s="29">
        <v>16.3</v>
      </c>
    </row>
    <row r="83" spans="1:5" x14ac:dyDescent="0.35">
      <c r="A83" s="17" t="s">
        <v>459</v>
      </c>
      <c r="B83" s="2" t="s">
        <v>32</v>
      </c>
      <c r="C83" s="9">
        <v>45548</v>
      </c>
      <c r="D83" s="2" t="b">
        <v>0</v>
      </c>
      <c r="E83" s="29">
        <v>21.57</v>
      </c>
    </row>
    <row r="84" spans="1:5" x14ac:dyDescent="0.35">
      <c r="A84" s="17" t="s">
        <v>460</v>
      </c>
      <c r="B84" s="2" t="s">
        <v>32</v>
      </c>
      <c r="C84" s="9">
        <v>45548</v>
      </c>
      <c r="D84" s="2" t="b">
        <v>0</v>
      </c>
      <c r="E84" s="29">
        <v>16.3</v>
      </c>
    </row>
    <row r="85" spans="1:5" x14ac:dyDescent="0.35">
      <c r="A85" s="17" t="s">
        <v>461</v>
      </c>
      <c r="B85" s="2" t="s">
        <v>32</v>
      </c>
      <c r="C85" s="9">
        <v>45548</v>
      </c>
      <c r="D85" s="2" t="b">
        <v>0</v>
      </c>
      <c r="E85" s="29">
        <v>31.59</v>
      </c>
    </row>
    <row r="86" spans="1:5" x14ac:dyDescent="0.35">
      <c r="A86" s="17" t="s">
        <v>462</v>
      </c>
      <c r="B86" s="2" t="s">
        <v>32</v>
      </c>
      <c r="C86" s="9">
        <v>45547</v>
      </c>
      <c r="D86" s="2" t="b">
        <v>0</v>
      </c>
      <c r="E86" s="29">
        <v>32.6</v>
      </c>
    </row>
    <row r="87" spans="1:5" x14ac:dyDescent="0.35">
      <c r="A87" s="17" t="s">
        <v>463</v>
      </c>
      <c r="B87" s="2" t="s">
        <v>32</v>
      </c>
      <c r="C87" s="9">
        <v>45547</v>
      </c>
      <c r="D87" s="2" t="b">
        <v>0</v>
      </c>
      <c r="E87" s="29">
        <v>35.1</v>
      </c>
    </row>
    <row r="88" spans="1:5" x14ac:dyDescent="0.35">
      <c r="A88" s="17" t="s">
        <v>464</v>
      </c>
      <c r="B88" s="2" t="s">
        <v>32</v>
      </c>
      <c r="C88" s="9">
        <v>45547</v>
      </c>
      <c r="D88" s="2" t="b">
        <v>0</v>
      </c>
      <c r="E88" s="29">
        <v>34.340000000000003</v>
      </c>
    </row>
    <row r="89" spans="1:5" x14ac:dyDescent="0.35">
      <c r="A89" s="17" t="s">
        <v>465</v>
      </c>
      <c r="B89" s="2" t="s">
        <v>32</v>
      </c>
      <c r="C89" s="9">
        <v>45547</v>
      </c>
      <c r="D89" s="2" t="b">
        <v>0</v>
      </c>
      <c r="E89" s="29">
        <v>35.04</v>
      </c>
    </row>
    <row r="90" spans="1:5" x14ac:dyDescent="0.35">
      <c r="A90" s="17" t="s">
        <v>466</v>
      </c>
      <c r="B90" s="2" t="s">
        <v>32</v>
      </c>
      <c r="C90" s="9">
        <v>45547</v>
      </c>
      <c r="D90" s="2" t="b">
        <v>0</v>
      </c>
      <c r="E90" s="29">
        <v>32.6</v>
      </c>
    </row>
    <row r="91" spans="1:5" x14ac:dyDescent="0.35">
      <c r="A91" s="17" t="s">
        <v>467</v>
      </c>
      <c r="B91" s="2" t="s">
        <v>32</v>
      </c>
      <c r="C91" s="9">
        <v>45546</v>
      </c>
      <c r="D91" s="2" t="b">
        <v>0</v>
      </c>
      <c r="E91" s="29">
        <v>21.2</v>
      </c>
    </row>
    <row r="92" spans="1:5" x14ac:dyDescent="0.35">
      <c r="A92" s="17" t="s">
        <v>468</v>
      </c>
      <c r="B92" s="2" t="s">
        <v>32</v>
      </c>
      <c r="C92" s="9">
        <v>45546</v>
      </c>
      <c r="D92" s="2" t="b">
        <v>0</v>
      </c>
      <c r="E92" s="29">
        <v>27.2</v>
      </c>
    </row>
    <row r="93" spans="1:5" x14ac:dyDescent="0.35">
      <c r="A93" s="17" t="s">
        <v>469</v>
      </c>
      <c r="B93" s="2" t="s">
        <v>32</v>
      </c>
      <c r="C93" s="9">
        <v>45545</v>
      </c>
      <c r="D93" s="2" t="b">
        <v>0</v>
      </c>
      <c r="E93" s="29">
        <v>18</v>
      </c>
    </row>
    <row r="94" spans="1:5" x14ac:dyDescent="0.35">
      <c r="A94" s="17" t="s">
        <v>470</v>
      </c>
      <c r="B94" s="2" t="s">
        <v>32</v>
      </c>
      <c r="C94" s="9">
        <v>45545</v>
      </c>
      <c r="D94" s="2" t="b">
        <v>0</v>
      </c>
      <c r="E94" s="29">
        <v>41.6</v>
      </c>
    </row>
    <row r="95" spans="1:5" x14ac:dyDescent="0.35">
      <c r="A95" s="17" t="s">
        <v>471</v>
      </c>
      <c r="B95" s="2" t="s">
        <v>32</v>
      </c>
      <c r="C95" s="9">
        <v>45545</v>
      </c>
      <c r="D95" s="2" t="b">
        <v>0</v>
      </c>
      <c r="E95" s="29">
        <v>19.52</v>
      </c>
    </row>
    <row r="96" spans="1:5" x14ac:dyDescent="0.35">
      <c r="A96" s="17" t="s">
        <v>472</v>
      </c>
      <c r="B96" s="2" t="s">
        <v>32</v>
      </c>
      <c r="C96" s="9">
        <v>45544</v>
      </c>
      <c r="D96" s="2" t="b">
        <v>0</v>
      </c>
      <c r="E96" s="29">
        <v>108.9</v>
      </c>
    </row>
    <row r="97" spans="1:5" x14ac:dyDescent="0.35">
      <c r="A97" s="17" t="s">
        <v>473</v>
      </c>
      <c r="B97" s="2" t="s">
        <v>32</v>
      </c>
      <c r="C97" s="9">
        <v>45544</v>
      </c>
      <c r="D97" s="2" t="b">
        <v>0</v>
      </c>
      <c r="E97" s="29">
        <v>31.1</v>
      </c>
    </row>
    <row r="98" spans="1:5" x14ac:dyDescent="0.35">
      <c r="A98" s="17" t="s">
        <v>474</v>
      </c>
      <c r="B98" s="2" t="s">
        <v>32</v>
      </c>
      <c r="C98" s="9">
        <v>45543</v>
      </c>
      <c r="D98" s="2" t="b">
        <v>0</v>
      </c>
      <c r="E98" s="29">
        <v>32.6</v>
      </c>
    </row>
    <row r="99" spans="1:5" x14ac:dyDescent="0.35">
      <c r="A99" s="17" t="s">
        <v>475</v>
      </c>
      <c r="B99" s="2" t="s">
        <v>32</v>
      </c>
      <c r="C99" s="9">
        <v>45543</v>
      </c>
      <c r="D99" s="2" t="b">
        <v>0</v>
      </c>
      <c r="E99" s="29">
        <v>16.3</v>
      </c>
    </row>
    <row r="100" spans="1:5" x14ac:dyDescent="0.35">
      <c r="A100" s="17" t="s">
        <v>476</v>
      </c>
      <c r="B100" s="2" t="s">
        <v>32</v>
      </c>
      <c r="C100" s="9">
        <v>45543</v>
      </c>
      <c r="D100" s="2" t="b">
        <v>0</v>
      </c>
      <c r="E100" s="29">
        <v>48.9</v>
      </c>
    </row>
    <row r="101" spans="1:5" x14ac:dyDescent="0.35">
      <c r="A101" s="17" t="s">
        <v>477</v>
      </c>
      <c r="B101" s="2" t="s">
        <v>32</v>
      </c>
      <c r="C101" s="9">
        <v>45541</v>
      </c>
      <c r="D101" s="2" t="b">
        <v>0</v>
      </c>
      <c r="E101" s="29">
        <v>22.09</v>
      </c>
    </row>
    <row r="102" spans="1:5" x14ac:dyDescent="0.35">
      <c r="A102" s="17" t="s">
        <v>478</v>
      </c>
      <c r="B102" s="2" t="s">
        <v>32</v>
      </c>
      <c r="C102" s="9">
        <v>45541</v>
      </c>
      <c r="D102" s="2" t="b">
        <v>0</v>
      </c>
      <c r="E102" s="29">
        <v>31</v>
      </c>
    </row>
    <row r="103" spans="1:5" x14ac:dyDescent="0.35">
      <c r="A103" s="17" t="s">
        <v>479</v>
      </c>
      <c r="B103" s="2" t="s">
        <v>32</v>
      </c>
      <c r="C103" s="9">
        <v>45540</v>
      </c>
      <c r="D103" s="2" t="b">
        <v>0</v>
      </c>
      <c r="E103" s="29">
        <v>16.3</v>
      </c>
    </row>
    <row r="104" spans="1:5" x14ac:dyDescent="0.35">
      <c r="A104" s="17" t="s">
        <v>480</v>
      </c>
      <c r="B104" s="2" t="s">
        <v>32</v>
      </c>
      <c r="C104" s="9">
        <v>45539</v>
      </c>
      <c r="D104" s="2" t="b">
        <v>0</v>
      </c>
      <c r="E104" s="29">
        <v>10.35</v>
      </c>
    </row>
    <row r="105" spans="1:5" x14ac:dyDescent="0.35">
      <c r="A105" s="17" t="s">
        <v>481</v>
      </c>
      <c r="B105" s="2" t="s">
        <v>32</v>
      </c>
      <c r="C105" s="9">
        <v>45538</v>
      </c>
      <c r="D105" s="2" t="b">
        <v>0</v>
      </c>
      <c r="E105" s="29">
        <v>21.3</v>
      </c>
    </row>
    <row r="106" spans="1:5" x14ac:dyDescent="0.35">
      <c r="A106" s="17" t="s">
        <v>482</v>
      </c>
      <c r="B106" s="2" t="s">
        <v>32</v>
      </c>
      <c r="C106" s="9">
        <v>45538</v>
      </c>
      <c r="D106" s="2" t="b">
        <v>0</v>
      </c>
      <c r="E106" s="29">
        <v>47.75</v>
      </c>
    </row>
    <row r="107" spans="1:5" x14ac:dyDescent="0.35">
      <c r="A107" s="17" t="s">
        <v>483</v>
      </c>
      <c r="B107" s="2" t="s">
        <v>32</v>
      </c>
      <c r="C107" s="9">
        <v>45538</v>
      </c>
      <c r="D107" s="2" t="b">
        <v>0</v>
      </c>
      <c r="E107" s="29">
        <v>0.5</v>
      </c>
    </row>
    <row r="108" spans="1:5" x14ac:dyDescent="0.35">
      <c r="A108" s="17" t="s">
        <v>484</v>
      </c>
      <c r="B108" s="2" t="s">
        <v>32</v>
      </c>
      <c r="C108" s="9">
        <v>45538</v>
      </c>
      <c r="D108" s="2" t="b">
        <v>0</v>
      </c>
      <c r="E108" s="29">
        <v>23.95</v>
      </c>
    </row>
    <row r="109" spans="1:5" x14ac:dyDescent="0.35">
      <c r="A109" s="17" t="s">
        <v>485</v>
      </c>
      <c r="B109" s="2" t="s">
        <v>32</v>
      </c>
      <c r="C109" s="9">
        <v>45537</v>
      </c>
      <c r="D109" s="2" t="b">
        <v>0</v>
      </c>
      <c r="E109" s="29">
        <v>35.1</v>
      </c>
    </row>
    <row r="110" spans="1:5" x14ac:dyDescent="0.35">
      <c r="A110" s="17" t="s">
        <v>486</v>
      </c>
      <c r="B110" s="2" t="s">
        <v>32</v>
      </c>
      <c r="C110" s="9">
        <v>45537</v>
      </c>
      <c r="D110" s="2" t="b">
        <v>0</v>
      </c>
      <c r="E110" s="29">
        <v>64.099999999999994</v>
      </c>
    </row>
    <row r="111" spans="1:5" x14ac:dyDescent="0.35">
      <c r="A111" s="17" t="s">
        <v>487</v>
      </c>
      <c r="B111" s="2" t="s">
        <v>32</v>
      </c>
      <c r="C111" s="9">
        <v>45537</v>
      </c>
      <c r="D111" s="2" t="b">
        <v>0</v>
      </c>
      <c r="E111" s="29">
        <v>16.3</v>
      </c>
    </row>
    <row r="112" spans="1:5" x14ac:dyDescent="0.35">
      <c r="A112" s="17" t="s">
        <v>488</v>
      </c>
      <c r="B112" s="2" t="s">
        <v>32</v>
      </c>
      <c r="C112" s="9">
        <v>45536</v>
      </c>
      <c r="D112" s="2" t="b">
        <v>0</v>
      </c>
      <c r="E112" s="29">
        <v>32.6</v>
      </c>
    </row>
    <row r="113" spans="1:5" x14ac:dyDescent="0.35">
      <c r="A113" s="17" t="s">
        <v>489</v>
      </c>
      <c r="B113" s="2" t="s">
        <v>32</v>
      </c>
      <c r="C113" s="9">
        <v>45536</v>
      </c>
      <c r="D113" s="2" t="b">
        <v>0</v>
      </c>
      <c r="E113" s="29">
        <v>8.15</v>
      </c>
    </row>
    <row r="114" spans="1:5" x14ac:dyDescent="0.35">
      <c r="A114" s="17" t="s">
        <v>490</v>
      </c>
      <c r="B114" s="2" t="s">
        <v>32</v>
      </c>
      <c r="C114" s="9">
        <v>45536</v>
      </c>
      <c r="D114" s="2" t="b">
        <v>0</v>
      </c>
      <c r="E114" s="29">
        <v>24.68</v>
      </c>
    </row>
    <row r="115" spans="1:5" x14ac:dyDescent="0.35">
      <c r="A115" s="17" t="s">
        <v>491</v>
      </c>
      <c r="B115" s="2" t="s">
        <v>32</v>
      </c>
      <c r="C115" s="9">
        <v>45536</v>
      </c>
      <c r="D115" s="2" t="b">
        <v>0</v>
      </c>
      <c r="E115" s="29">
        <v>16.3</v>
      </c>
    </row>
    <row r="116" spans="1:5" x14ac:dyDescent="0.35">
      <c r="A116" s="17" t="s">
        <v>492</v>
      </c>
      <c r="B116" s="2" t="s">
        <v>32</v>
      </c>
      <c r="C116" s="9">
        <v>45536</v>
      </c>
      <c r="D116" s="2" t="b">
        <v>0</v>
      </c>
      <c r="E116" s="29">
        <v>65.2</v>
      </c>
    </row>
    <row r="117" spans="1:5" ht="15" thickBot="1" x14ac:dyDescent="0.4">
      <c r="A117" s="27" t="s">
        <v>493</v>
      </c>
      <c r="B117" s="7" t="s">
        <v>32</v>
      </c>
      <c r="C117" s="6">
        <v>45536</v>
      </c>
      <c r="D117" s="7" t="b">
        <v>0</v>
      </c>
      <c r="E117" s="26">
        <v>16.3</v>
      </c>
    </row>
    <row r="118" spans="1:5" s="40" customFormat="1" x14ac:dyDescent="0.35">
      <c r="A118" s="48" t="s">
        <v>964</v>
      </c>
      <c r="C118" s="41"/>
      <c r="E118" s="4">
        <f>SUM(E50:E117)</f>
        <v>1884.1999999999991</v>
      </c>
    </row>
    <row r="119" spans="1:5" s="40" customFormat="1" ht="15" thickBot="1" x14ac:dyDescent="0.4">
      <c r="C119" s="41"/>
      <c r="E119" s="4"/>
    </row>
    <row r="120" spans="1:5" x14ac:dyDescent="0.35">
      <c r="A120" s="22" t="s">
        <v>494</v>
      </c>
      <c r="B120" s="21" t="s">
        <v>43</v>
      </c>
      <c r="C120" s="18">
        <v>45564</v>
      </c>
      <c r="D120" s="21" t="b">
        <v>0</v>
      </c>
      <c r="E120" s="11">
        <v>53.39</v>
      </c>
    </row>
    <row r="121" spans="1:5" x14ac:dyDescent="0.35">
      <c r="A121" s="17" t="s">
        <v>495</v>
      </c>
      <c r="B121" s="2" t="s">
        <v>43</v>
      </c>
      <c r="C121" s="9">
        <v>45563</v>
      </c>
      <c r="D121" s="2" t="b">
        <v>0</v>
      </c>
      <c r="E121" s="29">
        <v>39.18</v>
      </c>
    </row>
    <row r="122" spans="1:5" x14ac:dyDescent="0.35">
      <c r="A122" s="17" t="s">
        <v>496</v>
      </c>
      <c r="B122" s="2" t="s">
        <v>43</v>
      </c>
      <c r="C122" s="9">
        <v>45560</v>
      </c>
      <c r="D122" s="2" t="b">
        <v>0</v>
      </c>
      <c r="E122" s="29">
        <v>38.340000000000003</v>
      </c>
    </row>
    <row r="123" spans="1:5" x14ac:dyDescent="0.35">
      <c r="A123" s="17" t="s">
        <v>497</v>
      </c>
      <c r="B123" s="2" t="s">
        <v>43</v>
      </c>
      <c r="C123" s="9">
        <v>45543</v>
      </c>
      <c r="D123" s="2" t="b">
        <v>0</v>
      </c>
      <c r="E123" s="29">
        <v>47.54</v>
      </c>
    </row>
    <row r="124" spans="1:5" x14ac:dyDescent="0.35">
      <c r="A124" s="17" t="s">
        <v>498</v>
      </c>
      <c r="B124" s="2" t="s">
        <v>43</v>
      </c>
      <c r="C124" s="9">
        <v>45543</v>
      </c>
      <c r="D124" s="2" t="b">
        <v>0</v>
      </c>
      <c r="E124" s="29">
        <v>20.8</v>
      </c>
    </row>
    <row r="125" spans="1:5" ht="15" thickBot="1" x14ac:dyDescent="0.4">
      <c r="A125" s="27" t="s">
        <v>499</v>
      </c>
      <c r="B125" s="7" t="s">
        <v>43</v>
      </c>
      <c r="C125" s="6">
        <v>45542</v>
      </c>
      <c r="D125" s="7" t="b">
        <v>0</v>
      </c>
      <c r="E125" s="26">
        <v>18.190000000000001</v>
      </c>
    </row>
    <row r="126" spans="1:5" s="40" customFormat="1" x14ac:dyDescent="0.35">
      <c r="A126" s="48" t="s">
        <v>964</v>
      </c>
      <c r="C126" s="41"/>
      <c r="E126" s="4">
        <f>SUM(E120:E125)</f>
        <v>217.44</v>
      </c>
    </row>
    <row r="127" spans="1:5" s="40" customFormat="1" ht="15" thickBot="1" x14ac:dyDescent="0.4">
      <c r="C127" s="41"/>
      <c r="E127" s="4"/>
    </row>
    <row r="128" spans="1:5" x14ac:dyDescent="0.35">
      <c r="A128" s="22" t="s">
        <v>500</v>
      </c>
      <c r="B128" s="21" t="s">
        <v>144</v>
      </c>
      <c r="C128" s="18">
        <v>45556</v>
      </c>
      <c r="D128" s="21" t="b">
        <v>0</v>
      </c>
      <c r="E128" s="11">
        <v>27.4</v>
      </c>
    </row>
    <row r="129" spans="1:5" ht="15" thickBot="1" x14ac:dyDescent="0.4">
      <c r="A129" s="27" t="s">
        <v>501</v>
      </c>
      <c r="B129" s="7" t="s">
        <v>144</v>
      </c>
      <c r="C129" s="6">
        <v>45537</v>
      </c>
      <c r="D129" s="7" t="b">
        <v>0</v>
      </c>
      <c r="E129" s="26">
        <v>19.510000000000002</v>
      </c>
    </row>
    <row r="130" spans="1:5" s="40" customFormat="1" x14ac:dyDescent="0.35">
      <c r="A130" s="3" t="s">
        <v>964</v>
      </c>
      <c r="C130" s="41"/>
      <c r="E130" s="4">
        <f>SUM(E128:E129)</f>
        <v>46.91</v>
      </c>
    </row>
    <row r="131" spans="1:5" s="40" customFormat="1" ht="15" thickBot="1" x14ac:dyDescent="0.4">
      <c r="C131" s="41"/>
      <c r="E131" s="4"/>
    </row>
    <row r="132" spans="1:5" x14ac:dyDescent="0.35">
      <c r="A132" s="22" t="s">
        <v>502</v>
      </c>
      <c r="B132" s="21" t="s">
        <v>104</v>
      </c>
      <c r="C132" s="18">
        <v>45565</v>
      </c>
      <c r="D132" s="21" t="b">
        <v>0</v>
      </c>
      <c r="E132" s="11">
        <v>26</v>
      </c>
    </row>
    <row r="133" spans="1:5" x14ac:dyDescent="0.35">
      <c r="A133" s="17" t="s">
        <v>503</v>
      </c>
      <c r="B133" s="2" t="s">
        <v>104</v>
      </c>
      <c r="C133" s="9">
        <v>45564</v>
      </c>
      <c r="D133" s="2" t="b">
        <v>0</v>
      </c>
      <c r="E133" s="29">
        <v>31.5</v>
      </c>
    </row>
    <row r="134" spans="1:5" x14ac:dyDescent="0.35">
      <c r="A134" s="17" t="s">
        <v>504</v>
      </c>
      <c r="B134" s="2" t="s">
        <v>104</v>
      </c>
      <c r="C134" s="9">
        <v>45549</v>
      </c>
      <c r="D134" s="2" t="b">
        <v>0</v>
      </c>
      <c r="E134" s="29">
        <v>40.25</v>
      </c>
    </row>
    <row r="135" spans="1:5" x14ac:dyDescent="0.35">
      <c r="A135" s="17" t="s">
        <v>505</v>
      </c>
      <c r="B135" s="2" t="s">
        <v>104</v>
      </c>
      <c r="C135" s="9">
        <v>45541</v>
      </c>
      <c r="D135" s="2" t="b">
        <v>0</v>
      </c>
      <c r="E135" s="29">
        <v>13.13</v>
      </c>
    </row>
    <row r="136" spans="1:5" ht="15" thickBot="1" x14ac:dyDescent="0.4">
      <c r="A136" s="27" t="s">
        <v>506</v>
      </c>
      <c r="B136" s="7" t="s">
        <v>104</v>
      </c>
      <c r="C136" s="6">
        <v>45540</v>
      </c>
      <c r="D136" s="7" t="b">
        <v>0</v>
      </c>
      <c r="E136" s="26">
        <v>24.85</v>
      </c>
    </row>
    <row r="137" spans="1:5" s="40" customFormat="1" x14ac:dyDescent="0.35">
      <c r="A137" s="48" t="s">
        <v>964</v>
      </c>
      <c r="C137" s="41"/>
      <c r="E137" s="4">
        <f>SUM(E132:E136)</f>
        <v>135.72999999999999</v>
      </c>
    </row>
    <row r="138" spans="1:5" s="40" customFormat="1" ht="15" thickBot="1" x14ac:dyDescent="0.4">
      <c r="C138" s="41"/>
      <c r="E138" s="4"/>
    </row>
    <row r="139" spans="1:5" x14ac:dyDescent="0.35">
      <c r="A139" s="22" t="s">
        <v>507</v>
      </c>
      <c r="B139" s="21" t="s">
        <v>508</v>
      </c>
      <c r="C139" s="18">
        <v>45565</v>
      </c>
      <c r="D139" s="21" t="b">
        <v>0</v>
      </c>
      <c r="E139" s="11">
        <v>16.760000000000002</v>
      </c>
    </row>
    <row r="140" spans="1:5" x14ac:dyDescent="0.35">
      <c r="A140" s="17" t="s">
        <v>509</v>
      </c>
      <c r="B140" s="2" t="s">
        <v>508</v>
      </c>
      <c r="C140" s="9">
        <v>45564</v>
      </c>
      <c r="D140" s="2" t="b">
        <v>0</v>
      </c>
      <c r="E140" s="29">
        <v>16.89</v>
      </c>
    </row>
    <row r="141" spans="1:5" x14ac:dyDescent="0.35">
      <c r="A141" s="17" t="s">
        <v>510</v>
      </c>
      <c r="B141" s="2" t="s">
        <v>508</v>
      </c>
      <c r="C141" s="9">
        <v>45564</v>
      </c>
      <c r="D141" s="2" t="b">
        <v>0</v>
      </c>
      <c r="E141" s="29">
        <v>40.380000000000003</v>
      </c>
    </row>
    <row r="142" spans="1:5" x14ac:dyDescent="0.35">
      <c r="A142" s="17" t="s">
        <v>511</v>
      </c>
      <c r="B142" s="2" t="s">
        <v>508</v>
      </c>
      <c r="C142" s="9">
        <v>45563</v>
      </c>
      <c r="D142" s="2" t="b">
        <v>0</v>
      </c>
      <c r="E142" s="29">
        <v>18.34</v>
      </c>
    </row>
    <row r="143" spans="1:5" x14ac:dyDescent="0.35">
      <c r="A143" s="17" t="s">
        <v>512</v>
      </c>
      <c r="B143" s="2" t="s">
        <v>508</v>
      </c>
      <c r="C143" s="9">
        <v>45563</v>
      </c>
      <c r="D143" s="2" t="b">
        <v>0</v>
      </c>
      <c r="E143" s="29">
        <v>20.190000000000001</v>
      </c>
    </row>
    <row r="144" spans="1:5" x14ac:dyDescent="0.35">
      <c r="A144" s="17" t="s">
        <v>513</v>
      </c>
      <c r="B144" s="2" t="s">
        <v>508</v>
      </c>
      <c r="C144" s="9">
        <v>45563</v>
      </c>
      <c r="D144" s="2" t="b">
        <v>0</v>
      </c>
      <c r="E144" s="29">
        <v>20.190000000000001</v>
      </c>
    </row>
    <row r="145" spans="1:5" x14ac:dyDescent="0.35">
      <c r="A145" s="17" t="s">
        <v>514</v>
      </c>
      <c r="B145" s="2" t="s">
        <v>508</v>
      </c>
      <c r="C145" s="9">
        <v>45561</v>
      </c>
      <c r="D145" s="2" t="b">
        <v>0</v>
      </c>
      <c r="E145" s="29">
        <v>23.69</v>
      </c>
    </row>
    <row r="146" spans="1:5" x14ac:dyDescent="0.35">
      <c r="A146" s="17" t="s">
        <v>515</v>
      </c>
      <c r="B146" s="2" t="s">
        <v>508</v>
      </c>
      <c r="C146" s="9">
        <v>45561</v>
      </c>
      <c r="D146" s="2" t="b">
        <v>0</v>
      </c>
      <c r="E146" s="29">
        <v>21.95</v>
      </c>
    </row>
    <row r="147" spans="1:5" x14ac:dyDescent="0.35">
      <c r="A147" s="17" t="s">
        <v>516</v>
      </c>
      <c r="B147" s="2" t="s">
        <v>508</v>
      </c>
      <c r="C147" s="9">
        <v>45560</v>
      </c>
      <c r="D147" s="2" t="b">
        <v>0</v>
      </c>
      <c r="E147" s="29">
        <v>19.059999999999999</v>
      </c>
    </row>
    <row r="148" spans="1:5" x14ac:dyDescent="0.35">
      <c r="A148" s="17" t="s">
        <v>517</v>
      </c>
      <c r="B148" s="2" t="s">
        <v>508</v>
      </c>
      <c r="C148" s="9">
        <v>45559</v>
      </c>
      <c r="D148" s="2" t="b">
        <v>0</v>
      </c>
      <c r="E148" s="29">
        <v>21.95</v>
      </c>
    </row>
    <row r="149" spans="1:5" x14ac:dyDescent="0.35">
      <c r="A149" s="17" t="s">
        <v>518</v>
      </c>
      <c r="B149" s="2" t="s">
        <v>508</v>
      </c>
      <c r="C149" s="9">
        <v>45558</v>
      </c>
      <c r="D149" s="2" t="b">
        <v>0</v>
      </c>
      <c r="E149" s="29">
        <v>25.99</v>
      </c>
    </row>
    <row r="150" spans="1:5" x14ac:dyDescent="0.35">
      <c r="A150" s="17" t="s">
        <v>519</v>
      </c>
      <c r="B150" s="2" t="s">
        <v>508</v>
      </c>
      <c r="C150" s="9">
        <v>45558</v>
      </c>
      <c r="D150" s="2" t="b">
        <v>0</v>
      </c>
      <c r="E150" s="29">
        <v>13</v>
      </c>
    </row>
    <row r="151" spans="1:5" x14ac:dyDescent="0.35">
      <c r="A151" s="17" t="s">
        <v>520</v>
      </c>
      <c r="B151" s="2" t="s">
        <v>508</v>
      </c>
      <c r="C151" s="9">
        <v>45557</v>
      </c>
      <c r="D151" s="2" t="b">
        <v>0</v>
      </c>
      <c r="E151" s="29">
        <v>40.79</v>
      </c>
    </row>
    <row r="152" spans="1:5" x14ac:dyDescent="0.35">
      <c r="A152" s="17" t="s">
        <v>521</v>
      </c>
      <c r="B152" s="2" t="s">
        <v>508</v>
      </c>
      <c r="C152" s="9">
        <v>45555</v>
      </c>
      <c r="D152" s="2" t="b">
        <v>0</v>
      </c>
      <c r="E152" s="29">
        <v>28.59</v>
      </c>
    </row>
    <row r="153" spans="1:5" x14ac:dyDescent="0.35">
      <c r="A153" s="17" t="s">
        <v>522</v>
      </c>
      <c r="B153" s="2" t="s">
        <v>508</v>
      </c>
      <c r="C153" s="9">
        <v>45555</v>
      </c>
      <c r="D153" s="2" t="b">
        <v>0</v>
      </c>
      <c r="E153" s="29">
        <v>29.24</v>
      </c>
    </row>
    <row r="154" spans="1:5" x14ac:dyDescent="0.35">
      <c r="A154" s="17" t="s">
        <v>523</v>
      </c>
      <c r="B154" s="2" t="s">
        <v>508</v>
      </c>
      <c r="C154" s="9">
        <v>45554</v>
      </c>
      <c r="D154" s="2" t="b">
        <v>0</v>
      </c>
      <c r="E154" s="29">
        <v>24.69</v>
      </c>
    </row>
    <row r="155" spans="1:5" x14ac:dyDescent="0.35">
      <c r="A155" s="17" t="s">
        <v>524</v>
      </c>
      <c r="B155" s="2" t="s">
        <v>508</v>
      </c>
      <c r="C155" s="9">
        <v>45552</v>
      </c>
      <c r="D155" s="2" t="b">
        <v>0</v>
      </c>
      <c r="E155" s="29">
        <v>16.89</v>
      </c>
    </row>
    <row r="156" spans="1:5" x14ac:dyDescent="0.35">
      <c r="A156" s="17" t="s">
        <v>525</v>
      </c>
      <c r="B156" s="2" t="s">
        <v>508</v>
      </c>
      <c r="C156" s="9">
        <v>45551</v>
      </c>
      <c r="D156" s="2" t="b">
        <v>0</v>
      </c>
      <c r="E156" s="29">
        <v>11.7</v>
      </c>
    </row>
    <row r="157" spans="1:5" x14ac:dyDescent="0.35">
      <c r="A157" s="17" t="s">
        <v>526</v>
      </c>
      <c r="B157" s="2" t="s">
        <v>508</v>
      </c>
      <c r="C157" s="9">
        <v>45550</v>
      </c>
      <c r="D157" s="2" t="b">
        <v>0</v>
      </c>
      <c r="E157" s="29">
        <v>17</v>
      </c>
    </row>
    <row r="158" spans="1:5" x14ac:dyDescent="0.35">
      <c r="A158" s="17" t="s">
        <v>527</v>
      </c>
      <c r="B158" s="2" t="s">
        <v>508</v>
      </c>
      <c r="C158" s="9">
        <v>45550</v>
      </c>
      <c r="D158" s="2" t="b">
        <v>0</v>
      </c>
      <c r="E158" s="29">
        <v>0.5</v>
      </c>
    </row>
    <row r="159" spans="1:5" x14ac:dyDescent="0.35">
      <c r="A159" s="17" t="s">
        <v>528</v>
      </c>
      <c r="B159" s="2" t="s">
        <v>508</v>
      </c>
      <c r="C159" s="9">
        <v>45550</v>
      </c>
      <c r="D159" s="2" t="b">
        <v>0</v>
      </c>
      <c r="E159" s="29">
        <v>25.08</v>
      </c>
    </row>
    <row r="160" spans="1:5" x14ac:dyDescent="0.35">
      <c r="A160" s="17" t="s">
        <v>529</v>
      </c>
      <c r="B160" s="2" t="s">
        <v>508</v>
      </c>
      <c r="C160" s="9">
        <v>45549</v>
      </c>
      <c r="D160" s="2" t="b">
        <v>0</v>
      </c>
      <c r="E160" s="29">
        <v>36.5</v>
      </c>
    </row>
    <row r="161" spans="1:5" x14ac:dyDescent="0.35">
      <c r="A161" s="47" t="s">
        <v>530</v>
      </c>
      <c r="B161" s="2" t="s">
        <v>508</v>
      </c>
      <c r="C161" s="9">
        <v>45549</v>
      </c>
      <c r="D161" s="2" t="b">
        <v>0</v>
      </c>
      <c r="E161" s="29">
        <v>26.08</v>
      </c>
    </row>
    <row r="162" spans="1:5" x14ac:dyDescent="0.35">
      <c r="A162" s="17" t="s">
        <v>531</v>
      </c>
      <c r="B162" s="2" t="s">
        <v>508</v>
      </c>
      <c r="C162" s="9">
        <v>45548</v>
      </c>
      <c r="D162" s="2" t="b">
        <v>0</v>
      </c>
      <c r="E162" s="29">
        <v>19.91</v>
      </c>
    </row>
    <row r="163" spans="1:5" x14ac:dyDescent="0.35">
      <c r="A163" s="17" t="s">
        <v>532</v>
      </c>
      <c r="B163" s="2" t="s">
        <v>508</v>
      </c>
      <c r="C163" s="9">
        <v>45546</v>
      </c>
      <c r="D163" s="2" t="b">
        <v>0</v>
      </c>
      <c r="E163" s="29">
        <v>43.65</v>
      </c>
    </row>
    <row r="164" spans="1:5" ht="15" thickBot="1" x14ac:dyDescent="0.4">
      <c r="A164" s="27" t="s">
        <v>533</v>
      </c>
      <c r="B164" s="7" t="s">
        <v>508</v>
      </c>
      <c r="C164" s="6">
        <v>45546</v>
      </c>
      <c r="D164" s="7" t="b">
        <v>0</v>
      </c>
      <c r="E164" s="26">
        <v>15.59</v>
      </c>
    </row>
    <row r="165" spans="1:5" s="40" customFormat="1" x14ac:dyDescent="0.35">
      <c r="A165" s="48" t="s">
        <v>964</v>
      </c>
      <c r="C165" s="41"/>
      <c r="E165" s="4">
        <f>SUM(E139:E164)</f>
        <v>594.59999999999991</v>
      </c>
    </row>
    <row r="166" spans="1:5" s="40" customFormat="1" ht="15" thickBot="1" x14ac:dyDescent="0.4">
      <c r="C166" s="41"/>
      <c r="E166" s="4"/>
    </row>
    <row r="167" spans="1:5" x14ac:dyDescent="0.35">
      <c r="A167" s="22" t="s">
        <v>534</v>
      </c>
      <c r="B167" s="21" t="s">
        <v>535</v>
      </c>
      <c r="C167" s="18">
        <v>45558</v>
      </c>
      <c r="D167" s="21" t="b">
        <v>0</v>
      </c>
      <c r="E167" s="11">
        <v>13.5</v>
      </c>
    </row>
    <row r="168" spans="1:5" x14ac:dyDescent="0.35">
      <c r="A168" s="17" t="s">
        <v>536</v>
      </c>
      <c r="B168" s="2" t="s">
        <v>535</v>
      </c>
      <c r="C168" s="9">
        <v>45554</v>
      </c>
      <c r="D168" s="2" t="b">
        <v>0</v>
      </c>
      <c r="E168" s="29">
        <v>18.190000000000001</v>
      </c>
    </row>
    <row r="169" spans="1:5" ht="15" thickBot="1" x14ac:dyDescent="0.4">
      <c r="A169" s="27" t="s">
        <v>537</v>
      </c>
      <c r="B169" s="7" t="s">
        <v>535</v>
      </c>
      <c r="C169" s="6">
        <v>45538</v>
      </c>
      <c r="D169" s="7" t="b">
        <v>0</v>
      </c>
      <c r="E169" s="26">
        <v>0.5</v>
      </c>
    </row>
    <row r="170" spans="1:5" x14ac:dyDescent="0.35">
      <c r="A170" s="3" t="s">
        <v>964</v>
      </c>
      <c r="E170" s="1">
        <f>SUM(E167:E169)</f>
        <v>32.19</v>
      </c>
    </row>
    <row r="173" spans="1:5" x14ac:dyDescent="0.35">
      <c r="A173" t="s">
        <v>970</v>
      </c>
      <c r="E173" s="1">
        <f>SUM(E170,E165,E137,E130,E118,E126,E48,E41,E31,E28,E22,E11)</f>
        <v>3774.3999999999992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86"/>
  <sheetViews>
    <sheetView topLeftCell="A148" zoomScale="70" zoomScaleNormal="70" workbookViewId="0">
      <selection activeCell="E186" sqref="E186"/>
    </sheetView>
  </sheetViews>
  <sheetFormatPr defaultRowHeight="14.5" x14ac:dyDescent="0.35"/>
  <cols>
    <col min="1" max="1" width="31.54296875" customWidth="1"/>
    <col min="2" max="2" width="24" customWidth="1"/>
    <col min="3" max="3" width="18.453125" customWidth="1"/>
    <col min="5" max="5" width="10.08984375" bestFit="1" customWidth="1"/>
  </cols>
  <sheetData>
    <row r="6" spans="1:5" ht="15" thickBot="1" x14ac:dyDescent="0.4"/>
    <row r="7" spans="1:5" ht="15" thickBot="1" x14ac:dyDescent="0.4">
      <c r="A7" s="50" t="s">
        <v>0</v>
      </c>
      <c r="B7" s="51" t="s">
        <v>1</v>
      </c>
      <c r="C7" s="51" t="s">
        <v>2</v>
      </c>
      <c r="D7" s="51" t="s">
        <v>5</v>
      </c>
      <c r="E7" s="52" t="s">
        <v>6</v>
      </c>
    </row>
    <row r="8" spans="1:5" x14ac:dyDescent="0.35">
      <c r="A8" s="22" t="s">
        <v>538</v>
      </c>
      <c r="B8" s="21" t="s">
        <v>8</v>
      </c>
      <c r="C8" s="18">
        <v>45592</v>
      </c>
      <c r="D8" s="21" t="b">
        <v>0</v>
      </c>
      <c r="E8" s="11">
        <v>22.81</v>
      </c>
    </row>
    <row r="9" spans="1:5" x14ac:dyDescent="0.35">
      <c r="A9" s="17" t="s">
        <v>539</v>
      </c>
      <c r="B9" s="2" t="s">
        <v>8</v>
      </c>
      <c r="C9" s="9">
        <v>45592</v>
      </c>
      <c r="D9" s="2" t="b">
        <v>0</v>
      </c>
      <c r="E9" s="29">
        <v>17.04</v>
      </c>
    </row>
    <row r="10" spans="1:5" x14ac:dyDescent="0.35">
      <c r="A10" s="17" t="s">
        <v>540</v>
      </c>
      <c r="B10" s="2" t="s">
        <v>8</v>
      </c>
      <c r="C10" s="9">
        <v>45590</v>
      </c>
      <c r="D10" s="2" t="b">
        <v>0</v>
      </c>
      <c r="E10" s="29">
        <v>27.61</v>
      </c>
    </row>
    <row r="11" spans="1:5" x14ac:dyDescent="0.35">
      <c r="A11" s="17" t="s">
        <v>541</v>
      </c>
      <c r="B11" s="2" t="s">
        <v>8</v>
      </c>
      <c r="C11" s="9">
        <v>45588</v>
      </c>
      <c r="D11" s="2" t="b">
        <v>0</v>
      </c>
      <c r="E11" s="29">
        <v>36.39</v>
      </c>
    </row>
    <row r="12" spans="1:5" x14ac:dyDescent="0.35">
      <c r="A12" s="17" t="s">
        <v>542</v>
      </c>
      <c r="B12" s="2" t="s">
        <v>8</v>
      </c>
      <c r="C12" s="9">
        <v>45586</v>
      </c>
      <c r="D12" s="2" t="b">
        <v>0</v>
      </c>
      <c r="E12" s="29">
        <v>31.05</v>
      </c>
    </row>
    <row r="13" spans="1:5" x14ac:dyDescent="0.35">
      <c r="A13" s="17" t="s">
        <v>543</v>
      </c>
      <c r="B13" s="2" t="s">
        <v>8</v>
      </c>
      <c r="C13" s="9">
        <v>45586</v>
      </c>
      <c r="D13" s="2" t="b">
        <v>0</v>
      </c>
      <c r="E13" s="29">
        <v>16.3</v>
      </c>
    </row>
    <row r="14" spans="1:5" ht="15" thickBot="1" x14ac:dyDescent="0.4">
      <c r="A14" s="27" t="s">
        <v>544</v>
      </c>
      <c r="B14" s="7" t="s">
        <v>8</v>
      </c>
      <c r="C14" s="6">
        <v>45581</v>
      </c>
      <c r="D14" s="7" t="b">
        <v>0</v>
      </c>
      <c r="E14" s="26">
        <v>13.33</v>
      </c>
    </row>
    <row r="15" spans="1:5" s="40" customFormat="1" x14ac:dyDescent="0.35">
      <c r="A15" s="48" t="s">
        <v>964</v>
      </c>
      <c r="C15" s="41"/>
      <c r="E15" s="4">
        <f>SUM(E8:E14)</f>
        <v>164.53000000000003</v>
      </c>
    </row>
    <row r="16" spans="1:5" s="40" customFormat="1" ht="15" thickBot="1" x14ac:dyDescent="0.4">
      <c r="C16" s="41"/>
      <c r="E16" s="4"/>
    </row>
    <row r="17" spans="1:5" x14ac:dyDescent="0.35">
      <c r="A17" s="22" t="s">
        <v>545</v>
      </c>
      <c r="B17" s="21" t="s">
        <v>10</v>
      </c>
      <c r="C17" s="18">
        <v>45578</v>
      </c>
      <c r="D17" s="21" t="b">
        <v>0</v>
      </c>
      <c r="E17" s="11">
        <v>20.85</v>
      </c>
    </row>
    <row r="18" spans="1:5" ht="15" thickBot="1" x14ac:dyDescent="0.4">
      <c r="A18" s="27" t="s">
        <v>546</v>
      </c>
      <c r="B18" s="7" t="s">
        <v>10</v>
      </c>
      <c r="C18" s="6">
        <v>45571</v>
      </c>
      <c r="D18" s="7" t="b">
        <v>0</v>
      </c>
      <c r="E18" s="26">
        <v>52.45</v>
      </c>
    </row>
    <row r="19" spans="1:5" s="40" customFormat="1" x14ac:dyDescent="0.35">
      <c r="A19" s="3" t="s">
        <v>964</v>
      </c>
      <c r="C19" s="41"/>
      <c r="E19" s="4">
        <f>SUM(E17:E18)</f>
        <v>73.300000000000011</v>
      </c>
    </row>
    <row r="20" spans="1:5" s="40" customFormat="1" ht="15" thickBot="1" x14ac:dyDescent="0.4">
      <c r="C20" s="41"/>
      <c r="E20" s="4"/>
    </row>
    <row r="21" spans="1:5" x14ac:dyDescent="0.35">
      <c r="A21" s="22" t="s">
        <v>547</v>
      </c>
      <c r="B21" s="21" t="s">
        <v>17</v>
      </c>
      <c r="C21" s="18">
        <v>45593</v>
      </c>
      <c r="D21" s="21" t="b">
        <v>0</v>
      </c>
      <c r="E21" s="11">
        <v>24.16</v>
      </c>
    </row>
    <row r="22" spans="1:5" x14ac:dyDescent="0.35">
      <c r="A22" s="17" t="s">
        <v>548</v>
      </c>
      <c r="B22" s="2" t="s">
        <v>17</v>
      </c>
      <c r="C22" s="9">
        <v>45592</v>
      </c>
      <c r="D22" s="2" t="b">
        <v>0</v>
      </c>
      <c r="E22" s="29">
        <v>28.49</v>
      </c>
    </row>
    <row r="23" spans="1:5" ht="15" thickBot="1" x14ac:dyDescent="0.4">
      <c r="A23" s="27" t="s">
        <v>549</v>
      </c>
      <c r="B23" s="7" t="s">
        <v>17</v>
      </c>
      <c r="C23" s="6">
        <v>45585</v>
      </c>
      <c r="D23" s="7" t="b">
        <v>0</v>
      </c>
      <c r="E23" s="26">
        <v>13</v>
      </c>
    </row>
    <row r="24" spans="1:5" s="40" customFormat="1" x14ac:dyDescent="0.35">
      <c r="A24" s="3" t="s">
        <v>964</v>
      </c>
      <c r="C24" s="41"/>
      <c r="E24" s="4">
        <f>SUM(E21:E23)</f>
        <v>65.650000000000006</v>
      </c>
    </row>
    <row r="25" spans="1:5" s="40" customFormat="1" ht="15" thickBot="1" x14ac:dyDescent="0.4">
      <c r="C25" s="41"/>
      <c r="E25" s="4"/>
    </row>
    <row r="26" spans="1:5" x14ac:dyDescent="0.35">
      <c r="A26" s="22" t="s">
        <v>550</v>
      </c>
      <c r="B26" s="21" t="s">
        <v>51</v>
      </c>
      <c r="C26" s="18">
        <v>45590</v>
      </c>
      <c r="D26" s="21" t="b">
        <v>0</v>
      </c>
      <c r="E26" s="11">
        <v>8.15</v>
      </c>
    </row>
    <row r="27" spans="1:5" x14ac:dyDescent="0.35">
      <c r="A27" s="17" t="s">
        <v>551</v>
      </c>
      <c r="B27" s="2" t="s">
        <v>51</v>
      </c>
      <c r="C27" s="9">
        <v>45589</v>
      </c>
      <c r="D27" s="2" t="b">
        <v>0</v>
      </c>
      <c r="E27" s="29">
        <v>10</v>
      </c>
    </row>
    <row r="28" spans="1:5" ht="15" thickBot="1" x14ac:dyDescent="0.4">
      <c r="A28" s="27" t="s">
        <v>552</v>
      </c>
      <c r="B28" s="7" t="s">
        <v>51</v>
      </c>
      <c r="C28" s="6">
        <v>45571</v>
      </c>
      <c r="D28" s="7" t="b">
        <v>0</v>
      </c>
      <c r="E28" s="26">
        <v>24.6</v>
      </c>
    </row>
    <row r="29" spans="1:5" s="40" customFormat="1" x14ac:dyDescent="0.35">
      <c r="A29" s="3" t="s">
        <v>964</v>
      </c>
      <c r="C29" s="41"/>
      <c r="E29" s="4">
        <f>SUM(E26:E28)</f>
        <v>42.75</v>
      </c>
    </row>
    <row r="30" spans="1:5" s="40" customFormat="1" ht="15" thickBot="1" x14ac:dyDescent="0.4">
      <c r="C30" s="41"/>
      <c r="E30" s="4"/>
    </row>
    <row r="31" spans="1:5" x14ac:dyDescent="0.35">
      <c r="A31" s="49" t="s">
        <v>553</v>
      </c>
      <c r="B31" s="21" t="s">
        <v>21</v>
      </c>
      <c r="C31" s="18">
        <v>45593</v>
      </c>
      <c r="D31" s="21" t="b">
        <v>0</v>
      </c>
      <c r="E31" s="11">
        <v>24.69</v>
      </c>
    </row>
    <row r="32" spans="1:5" x14ac:dyDescent="0.35">
      <c r="A32" s="17" t="s">
        <v>554</v>
      </c>
      <c r="B32" s="2" t="s">
        <v>21</v>
      </c>
      <c r="C32" s="9">
        <v>45584</v>
      </c>
      <c r="D32" s="2" t="b">
        <v>0</v>
      </c>
      <c r="E32" s="29">
        <v>62.7</v>
      </c>
    </row>
    <row r="33" spans="1:5" x14ac:dyDescent="0.35">
      <c r="A33" s="17" t="s">
        <v>555</v>
      </c>
      <c r="B33" s="2" t="s">
        <v>21</v>
      </c>
      <c r="C33" s="9">
        <v>45581</v>
      </c>
      <c r="D33" s="2" t="b">
        <v>0</v>
      </c>
      <c r="E33" s="29">
        <v>24.5</v>
      </c>
    </row>
    <row r="34" spans="1:5" x14ac:dyDescent="0.35">
      <c r="A34" s="17" t="s">
        <v>556</v>
      </c>
      <c r="B34" s="2" t="s">
        <v>21</v>
      </c>
      <c r="C34" s="9">
        <v>45572</v>
      </c>
      <c r="D34" s="2" t="b">
        <v>0</v>
      </c>
      <c r="E34" s="29">
        <v>65.62</v>
      </c>
    </row>
    <row r="35" spans="1:5" ht="15" thickBot="1" x14ac:dyDescent="0.4">
      <c r="A35" s="27" t="s">
        <v>557</v>
      </c>
      <c r="B35" s="7" t="s">
        <v>21</v>
      </c>
      <c r="C35" s="6">
        <v>45570</v>
      </c>
      <c r="D35" s="7" t="b">
        <v>0</v>
      </c>
      <c r="E35" s="26">
        <v>65.81</v>
      </c>
    </row>
    <row r="36" spans="1:5" s="40" customFormat="1" x14ac:dyDescent="0.35">
      <c r="A36" s="48" t="s">
        <v>964</v>
      </c>
      <c r="C36" s="41"/>
      <c r="E36" s="4">
        <f>SUM(E31:E35)</f>
        <v>243.32</v>
      </c>
    </row>
    <row r="37" spans="1:5" s="40" customFormat="1" ht="15" thickBot="1" x14ac:dyDescent="0.4">
      <c r="C37" s="41"/>
      <c r="E37" s="4"/>
    </row>
    <row r="38" spans="1:5" x14ac:dyDescent="0.35">
      <c r="A38" s="22" t="s">
        <v>558</v>
      </c>
      <c r="B38" s="21" t="s">
        <v>28</v>
      </c>
      <c r="C38" s="18">
        <v>45596</v>
      </c>
      <c r="D38" s="21" t="b">
        <v>0</v>
      </c>
      <c r="E38" s="11">
        <v>5.4</v>
      </c>
    </row>
    <row r="39" spans="1:5" x14ac:dyDescent="0.35">
      <c r="A39" s="17" t="s">
        <v>559</v>
      </c>
      <c r="B39" s="2" t="s">
        <v>28</v>
      </c>
      <c r="C39" s="9">
        <v>45595</v>
      </c>
      <c r="D39" s="2" t="b">
        <v>0</v>
      </c>
      <c r="E39" s="29">
        <v>15.35</v>
      </c>
    </row>
    <row r="40" spans="1:5" x14ac:dyDescent="0.35">
      <c r="A40" s="17" t="s">
        <v>560</v>
      </c>
      <c r="B40" s="2" t="s">
        <v>28</v>
      </c>
      <c r="C40" s="9">
        <v>45589</v>
      </c>
      <c r="D40" s="2" t="b">
        <v>0</v>
      </c>
      <c r="E40" s="29">
        <v>7.15</v>
      </c>
    </row>
    <row r="41" spans="1:5" x14ac:dyDescent="0.35">
      <c r="A41" s="17" t="s">
        <v>561</v>
      </c>
      <c r="B41" s="2" t="s">
        <v>28</v>
      </c>
      <c r="C41" s="9">
        <v>45585</v>
      </c>
      <c r="D41" s="2" t="b">
        <v>0</v>
      </c>
      <c r="E41" s="29">
        <v>17.25</v>
      </c>
    </row>
    <row r="42" spans="1:5" x14ac:dyDescent="0.35">
      <c r="A42" s="17" t="s">
        <v>562</v>
      </c>
      <c r="B42" s="2" t="s">
        <v>28</v>
      </c>
      <c r="C42" s="9">
        <v>45583</v>
      </c>
      <c r="D42" s="2" t="b">
        <v>0</v>
      </c>
      <c r="E42" s="29">
        <v>9.1</v>
      </c>
    </row>
    <row r="43" spans="1:5" x14ac:dyDescent="0.35">
      <c r="A43" s="17" t="s">
        <v>563</v>
      </c>
      <c r="B43" s="2" t="s">
        <v>28</v>
      </c>
      <c r="C43" s="9">
        <v>45575</v>
      </c>
      <c r="D43" s="2" t="b">
        <v>0</v>
      </c>
      <c r="E43" s="29">
        <v>37.1</v>
      </c>
    </row>
    <row r="44" spans="1:5" x14ac:dyDescent="0.35">
      <c r="A44" s="17" t="s">
        <v>564</v>
      </c>
      <c r="B44" s="2" t="s">
        <v>28</v>
      </c>
      <c r="C44" s="9">
        <v>45574</v>
      </c>
      <c r="D44" s="2" t="b">
        <v>0</v>
      </c>
      <c r="E44" s="29">
        <v>6.73</v>
      </c>
    </row>
    <row r="45" spans="1:5" x14ac:dyDescent="0.35">
      <c r="A45" s="17" t="s">
        <v>565</v>
      </c>
      <c r="B45" s="2" t="s">
        <v>28</v>
      </c>
      <c r="C45" s="9">
        <v>45572</v>
      </c>
      <c r="D45" s="2" t="b">
        <v>0</v>
      </c>
      <c r="E45" s="29">
        <v>5.4</v>
      </c>
    </row>
    <row r="46" spans="1:5" ht="15" thickBot="1" x14ac:dyDescent="0.4">
      <c r="A46" s="27" t="s">
        <v>566</v>
      </c>
      <c r="B46" s="7" t="s">
        <v>28</v>
      </c>
      <c r="C46" s="6">
        <v>45572</v>
      </c>
      <c r="D46" s="7" t="b">
        <v>0</v>
      </c>
      <c r="E46" s="26">
        <v>21.03</v>
      </c>
    </row>
    <row r="47" spans="1:5" s="40" customFormat="1" x14ac:dyDescent="0.35">
      <c r="A47" s="48" t="s">
        <v>964</v>
      </c>
      <c r="C47" s="41"/>
      <c r="E47" s="4">
        <f>SUM(E38:E46)</f>
        <v>124.51</v>
      </c>
    </row>
    <row r="48" spans="1:5" s="40" customFormat="1" ht="15" thickBot="1" x14ac:dyDescent="0.4">
      <c r="C48" s="41"/>
      <c r="E48" s="4"/>
    </row>
    <row r="49" spans="1:5" x14ac:dyDescent="0.35">
      <c r="A49" s="22" t="s">
        <v>567</v>
      </c>
      <c r="B49" s="21" t="s">
        <v>32</v>
      </c>
      <c r="C49" s="18">
        <v>45574</v>
      </c>
      <c r="D49" s="21" t="b">
        <v>1</v>
      </c>
      <c r="E49" s="11">
        <v>35.1</v>
      </c>
    </row>
    <row r="50" spans="1:5" x14ac:dyDescent="0.35">
      <c r="A50" s="17" t="s">
        <v>568</v>
      </c>
      <c r="B50" s="2" t="s">
        <v>32</v>
      </c>
      <c r="C50" s="9">
        <v>45594</v>
      </c>
      <c r="D50" s="2" t="b">
        <v>0</v>
      </c>
      <c r="E50" s="29">
        <v>81.5</v>
      </c>
    </row>
    <row r="51" spans="1:5" x14ac:dyDescent="0.35">
      <c r="A51" s="17" t="s">
        <v>569</v>
      </c>
      <c r="B51" s="2" t="s">
        <v>32</v>
      </c>
      <c r="C51" s="9">
        <v>45594</v>
      </c>
      <c r="D51" s="2" t="b">
        <v>0</v>
      </c>
      <c r="E51" s="29">
        <v>35.1</v>
      </c>
    </row>
    <row r="52" spans="1:5" x14ac:dyDescent="0.35">
      <c r="A52" s="17" t="s">
        <v>570</v>
      </c>
      <c r="B52" s="2" t="s">
        <v>32</v>
      </c>
      <c r="C52" s="9">
        <v>45594</v>
      </c>
      <c r="D52" s="2" t="b">
        <v>0</v>
      </c>
      <c r="E52" s="29">
        <v>23.49</v>
      </c>
    </row>
    <row r="53" spans="1:5" x14ac:dyDescent="0.35">
      <c r="A53" s="17" t="s">
        <v>571</v>
      </c>
      <c r="B53" s="2" t="s">
        <v>32</v>
      </c>
      <c r="C53" s="9">
        <v>45592</v>
      </c>
      <c r="D53" s="2" t="b">
        <v>0</v>
      </c>
      <c r="E53" s="29">
        <v>65.2</v>
      </c>
    </row>
    <row r="54" spans="1:5" x14ac:dyDescent="0.35">
      <c r="A54" s="17" t="s">
        <v>572</v>
      </c>
      <c r="B54" s="2" t="s">
        <v>32</v>
      </c>
      <c r="C54" s="9">
        <v>45592</v>
      </c>
      <c r="D54" s="2" t="b">
        <v>0</v>
      </c>
      <c r="E54" s="29">
        <v>19.559999999999999</v>
      </c>
    </row>
    <row r="55" spans="1:5" x14ac:dyDescent="0.35">
      <c r="A55" s="17" t="s">
        <v>573</v>
      </c>
      <c r="B55" s="2" t="s">
        <v>32</v>
      </c>
      <c r="C55" s="9">
        <v>45592</v>
      </c>
      <c r="D55" s="2" t="b">
        <v>0</v>
      </c>
      <c r="E55" s="29">
        <v>17.62</v>
      </c>
    </row>
    <row r="56" spans="1:5" x14ac:dyDescent="0.35">
      <c r="A56" s="17" t="s">
        <v>574</v>
      </c>
      <c r="B56" s="2" t="s">
        <v>32</v>
      </c>
      <c r="C56" s="9">
        <v>45592</v>
      </c>
      <c r="D56" s="2" t="b">
        <v>0</v>
      </c>
      <c r="E56" s="29">
        <v>47.94</v>
      </c>
    </row>
    <row r="57" spans="1:5" x14ac:dyDescent="0.35">
      <c r="A57" s="17" t="s">
        <v>575</v>
      </c>
      <c r="B57" s="2" t="s">
        <v>32</v>
      </c>
      <c r="C57" s="9">
        <v>45591</v>
      </c>
      <c r="D57" s="2" t="b">
        <v>0</v>
      </c>
      <c r="E57" s="29">
        <v>47.4</v>
      </c>
    </row>
    <row r="58" spans="1:5" x14ac:dyDescent="0.35">
      <c r="A58" s="17" t="s">
        <v>576</v>
      </c>
      <c r="B58" s="2" t="s">
        <v>32</v>
      </c>
      <c r="C58" s="9">
        <v>45587</v>
      </c>
      <c r="D58" s="2" t="b">
        <v>0</v>
      </c>
      <c r="E58" s="29">
        <v>16.3</v>
      </c>
    </row>
    <row r="59" spans="1:5" x14ac:dyDescent="0.35">
      <c r="A59" s="17" t="s">
        <v>577</v>
      </c>
      <c r="B59" s="2" t="s">
        <v>32</v>
      </c>
      <c r="C59" s="9">
        <v>45586</v>
      </c>
      <c r="D59" s="2" t="b">
        <v>0</v>
      </c>
      <c r="E59" s="29">
        <v>36.729999999999997</v>
      </c>
    </row>
    <row r="60" spans="1:5" x14ac:dyDescent="0.35">
      <c r="A60" s="17" t="s">
        <v>578</v>
      </c>
      <c r="B60" s="2" t="s">
        <v>32</v>
      </c>
      <c r="C60" s="9">
        <v>45585</v>
      </c>
      <c r="D60" s="2" t="b">
        <v>0</v>
      </c>
      <c r="E60" s="29">
        <v>30.15</v>
      </c>
    </row>
    <row r="61" spans="1:5" x14ac:dyDescent="0.35">
      <c r="A61" s="17" t="s">
        <v>579</v>
      </c>
      <c r="B61" s="2" t="s">
        <v>32</v>
      </c>
      <c r="C61" s="9">
        <v>45584</v>
      </c>
      <c r="D61" s="2" t="b">
        <v>0</v>
      </c>
      <c r="E61" s="29">
        <v>65.2</v>
      </c>
    </row>
    <row r="62" spans="1:5" x14ac:dyDescent="0.35">
      <c r="A62" s="17" t="s">
        <v>580</v>
      </c>
      <c r="B62" s="2" t="s">
        <v>32</v>
      </c>
      <c r="C62" s="9">
        <v>45584</v>
      </c>
      <c r="D62" s="2" t="b">
        <v>0</v>
      </c>
      <c r="E62" s="29">
        <v>35.450000000000003</v>
      </c>
    </row>
    <row r="63" spans="1:5" x14ac:dyDescent="0.35">
      <c r="A63" s="17" t="s">
        <v>581</v>
      </c>
      <c r="B63" s="2" t="s">
        <v>32</v>
      </c>
      <c r="C63" s="9">
        <v>45584</v>
      </c>
      <c r="D63" s="2" t="b">
        <v>0</v>
      </c>
      <c r="E63" s="29">
        <v>16.3</v>
      </c>
    </row>
    <row r="64" spans="1:5" x14ac:dyDescent="0.35">
      <c r="A64" s="17" t="s">
        <v>582</v>
      </c>
      <c r="B64" s="2" t="s">
        <v>32</v>
      </c>
      <c r="C64" s="9">
        <v>45584</v>
      </c>
      <c r="D64" s="2" t="b">
        <v>0</v>
      </c>
      <c r="E64" s="29">
        <v>39.9</v>
      </c>
    </row>
    <row r="65" spans="1:5" x14ac:dyDescent="0.35">
      <c r="A65" s="17" t="s">
        <v>583</v>
      </c>
      <c r="B65" s="2" t="s">
        <v>32</v>
      </c>
      <c r="C65" s="9">
        <v>45583</v>
      </c>
      <c r="D65" s="2" t="b">
        <v>0</v>
      </c>
      <c r="E65" s="29">
        <v>30</v>
      </c>
    </row>
    <row r="66" spans="1:5" x14ac:dyDescent="0.35">
      <c r="A66" s="17" t="s">
        <v>584</v>
      </c>
      <c r="B66" s="2" t="s">
        <v>32</v>
      </c>
      <c r="C66" s="9">
        <v>45583</v>
      </c>
      <c r="D66" s="2" t="b">
        <v>0</v>
      </c>
      <c r="E66" s="29">
        <v>15.5</v>
      </c>
    </row>
    <row r="67" spans="1:5" x14ac:dyDescent="0.35">
      <c r="A67" s="17" t="s">
        <v>585</v>
      </c>
      <c r="B67" s="2" t="s">
        <v>32</v>
      </c>
      <c r="C67" s="9">
        <v>45581</v>
      </c>
      <c r="D67" s="2" t="b">
        <v>0</v>
      </c>
      <c r="E67" s="29">
        <v>24.15</v>
      </c>
    </row>
    <row r="68" spans="1:5" x14ac:dyDescent="0.35">
      <c r="A68" s="17" t="s">
        <v>586</v>
      </c>
      <c r="B68" s="2" t="s">
        <v>32</v>
      </c>
      <c r="C68" s="9">
        <v>45580</v>
      </c>
      <c r="D68" s="2" t="b">
        <v>0</v>
      </c>
      <c r="E68" s="29">
        <v>42.28</v>
      </c>
    </row>
    <row r="69" spans="1:5" x14ac:dyDescent="0.35">
      <c r="A69" s="17" t="s">
        <v>587</v>
      </c>
      <c r="B69" s="2" t="s">
        <v>32</v>
      </c>
      <c r="C69" s="9">
        <v>45580</v>
      </c>
      <c r="D69" s="2" t="b">
        <v>0</v>
      </c>
      <c r="E69" s="29">
        <v>8.15</v>
      </c>
    </row>
    <row r="70" spans="1:5" x14ac:dyDescent="0.35">
      <c r="A70" s="17" t="s">
        <v>588</v>
      </c>
      <c r="B70" s="2" t="s">
        <v>32</v>
      </c>
      <c r="C70" s="9">
        <v>45580</v>
      </c>
      <c r="D70" s="2" t="b">
        <v>0</v>
      </c>
      <c r="E70" s="29">
        <v>32.6</v>
      </c>
    </row>
    <row r="71" spans="1:5" x14ac:dyDescent="0.35">
      <c r="A71" s="17" t="s">
        <v>589</v>
      </c>
      <c r="B71" s="2" t="s">
        <v>32</v>
      </c>
      <c r="C71" s="9">
        <v>45580</v>
      </c>
      <c r="D71" s="2" t="b">
        <v>0</v>
      </c>
      <c r="E71" s="29">
        <v>32.6</v>
      </c>
    </row>
    <row r="72" spans="1:5" x14ac:dyDescent="0.35">
      <c r="A72" s="17" t="s">
        <v>590</v>
      </c>
      <c r="B72" s="2" t="s">
        <v>32</v>
      </c>
      <c r="C72" s="9">
        <v>45580</v>
      </c>
      <c r="D72" s="2" t="b">
        <v>0</v>
      </c>
      <c r="E72" s="29">
        <v>32.6</v>
      </c>
    </row>
    <row r="73" spans="1:5" x14ac:dyDescent="0.35">
      <c r="A73" s="17" t="s">
        <v>591</v>
      </c>
      <c r="B73" s="2" t="s">
        <v>32</v>
      </c>
      <c r="C73" s="9">
        <v>45580</v>
      </c>
      <c r="D73" s="2" t="b">
        <v>0</v>
      </c>
      <c r="E73" s="29">
        <v>16.3</v>
      </c>
    </row>
    <row r="74" spans="1:5" x14ac:dyDescent="0.35">
      <c r="A74" s="17" t="s">
        <v>592</v>
      </c>
      <c r="B74" s="2" t="s">
        <v>32</v>
      </c>
      <c r="C74" s="9">
        <v>45580</v>
      </c>
      <c r="D74" s="2" t="b">
        <v>0</v>
      </c>
      <c r="E74" s="29">
        <v>16.3</v>
      </c>
    </row>
    <row r="75" spans="1:5" x14ac:dyDescent="0.35">
      <c r="A75" s="17" t="s">
        <v>593</v>
      </c>
      <c r="B75" s="2" t="s">
        <v>32</v>
      </c>
      <c r="C75" s="9">
        <v>45580</v>
      </c>
      <c r="D75" s="2" t="b">
        <v>0</v>
      </c>
      <c r="E75" s="29">
        <v>17.149999999999999</v>
      </c>
    </row>
    <row r="76" spans="1:5" x14ac:dyDescent="0.35">
      <c r="A76" s="17" t="s">
        <v>594</v>
      </c>
      <c r="B76" s="2" t="s">
        <v>32</v>
      </c>
      <c r="C76" s="9">
        <v>45579</v>
      </c>
      <c r="D76" s="2" t="b">
        <v>0</v>
      </c>
      <c r="E76" s="29">
        <v>18.8</v>
      </c>
    </row>
    <row r="77" spans="1:5" x14ac:dyDescent="0.35">
      <c r="A77" s="17" t="s">
        <v>595</v>
      </c>
      <c r="B77" s="2" t="s">
        <v>32</v>
      </c>
      <c r="C77" s="9">
        <v>45579</v>
      </c>
      <c r="D77" s="2" t="b">
        <v>0</v>
      </c>
      <c r="E77" s="29">
        <v>37</v>
      </c>
    </row>
    <row r="78" spans="1:5" x14ac:dyDescent="0.35">
      <c r="A78" s="17" t="s">
        <v>596</v>
      </c>
      <c r="B78" s="2" t="s">
        <v>32</v>
      </c>
      <c r="C78" s="9">
        <v>45578</v>
      </c>
      <c r="D78" s="2" t="b">
        <v>0</v>
      </c>
      <c r="E78" s="29">
        <v>35.47</v>
      </c>
    </row>
    <row r="79" spans="1:5" x14ac:dyDescent="0.35">
      <c r="A79" s="17" t="s">
        <v>597</v>
      </c>
      <c r="B79" s="2" t="s">
        <v>32</v>
      </c>
      <c r="C79" s="9">
        <v>45576</v>
      </c>
      <c r="D79" s="2" t="b">
        <v>0</v>
      </c>
      <c r="E79" s="29">
        <v>52.64</v>
      </c>
    </row>
    <row r="80" spans="1:5" x14ac:dyDescent="0.35">
      <c r="A80" s="17" t="s">
        <v>598</v>
      </c>
      <c r="B80" s="2" t="s">
        <v>32</v>
      </c>
      <c r="C80" s="9">
        <v>45576</v>
      </c>
      <c r="D80" s="2" t="b">
        <v>0</v>
      </c>
      <c r="E80" s="29">
        <v>32.6</v>
      </c>
    </row>
    <row r="81" spans="1:5" x14ac:dyDescent="0.35">
      <c r="A81" s="17" t="s">
        <v>599</v>
      </c>
      <c r="B81" s="2" t="s">
        <v>32</v>
      </c>
      <c r="C81" s="9">
        <v>45576</v>
      </c>
      <c r="D81" s="2" t="b">
        <v>0</v>
      </c>
      <c r="E81" s="29">
        <v>16.809999999999999</v>
      </c>
    </row>
    <row r="82" spans="1:5" x14ac:dyDescent="0.35">
      <c r="A82" s="17" t="s">
        <v>600</v>
      </c>
      <c r="B82" s="2" t="s">
        <v>32</v>
      </c>
      <c r="C82" s="9">
        <v>45575</v>
      </c>
      <c r="D82" s="2" t="b">
        <v>0</v>
      </c>
      <c r="E82" s="29">
        <v>16.3</v>
      </c>
    </row>
    <row r="83" spans="1:5" x14ac:dyDescent="0.35">
      <c r="A83" s="17" t="s">
        <v>601</v>
      </c>
      <c r="B83" s="2" t="s">
        <v>32</v>
      </c>
      <c r="C83" s="9">
        <v>45575</v>
      </c>
      <c r="D83" s="2" t="b">
        <v>0</v>
      </c>
      <c r="E83" s="29">
        <v>16.3</v>
      </c>
    </row>
    <row r="84" spans="1:5" x14ac:dyDescent="0.35">
      <c r="A84" s="17" t="s">
        <v>602</v>
      </c>
      <c r="B84" s="2" t="s">
        <v>32</v>
      </c>
      <c r="C84" s="9">
        <v>45574</v>
      </c>
      <c r="D84" s="2" t="b">
        <v>0</v>
      </c>
      <c r="E84" s="29">
        <v>32.6</v>
      </c>
    </row>
    <row r="85" spans="1:5" x14ac:dyDescent="0.35">
      <c r="A85" s="17" t="s">
        <v>603</v>
      </c>
      <c r="B85" s="2" t="s">
        <v>32</v>
      </c>
      <c r="C85" s="9">
        <v>45574</v>
      </c>
      <c r="D85" s="2" t="b">
        <v>0</v>
      </c>
      <c r="E85" s="29">
        <v>16.3</v>
      </c>
    </row>
    <row r="86" spans="1:5" x14ac:dyDescent="0.35">
      <c r="A86" s="17" t="s">
        <v>604</v>
      </c>
      <c r="B86" s="2" t="s">
        <v>32</v>
      </c>
      <c r="C86" s="9">
        <v>45574</v>
      </c>
      <c r="D86" s="2" t="b">
        <v>0</v>
      </c>
      <c r="E86" s="29">
        <v>16.3</v>
      </c>
    </row>
    <row r="87" spans="1:5" x14ac:dyDescent="0.35">
      <c r="A87" s="17" t="s">
        <v>605</v>
      </c>
      <c r="B87" s="2" t="s">
        <v>32</v>
      </c>
      <c r="C87" s="9">
        <v>45573</v>
      </c>
      <c r="D87" s="2" t="b">
        <v>0</v>
      </c>
      <c r="E87" s="29">
        <v>16.3</v>
      </c>
    </row>
    <row r="88" spans="1:5" x14ac:dyDescent="0.35">
      <c r="A88" s="17" t="s">
        <v>606</v>
      </c>
      <c r="B88" s="2" t="s">
        <v>32</v>
      </c>
      <c r="C88" s="9">
        <v>45572</v>
      </c>
      <c r="D88" s="2" t="b">
        <v>0</v>
      </c>
      <c r="E88" s="29">
        <v>16.3</v>
      </c>
    </row>
    <row r="89" spans="1:5" x14ac:dyDescent="0.35">
      <c r="A89" s="17" t="s">
        <v>607</v>
      </c>
      <c r="B89" s="2" t="s">
        <v>32</v>
      </c>
      <c r="C89" s="9">
        <v>45571</v>
      </c>
      <c r="D89" s="2" t="b">
        <v>0</v>
      </c>
      <c r="E89" s="29">
        <v>16.3</v>
      </c>
    </row>
    <row r="90" spans="1:5" x14ac:dyDescent="0.35">
      <c r="A90" s="17" t="s">
        <v>608</v>
      </c>
      <c r="B90" s="2" t="s">
        <v>32</v>
      </c>
      <c r="C90" s="9">
        <v>45570</v>
      </c>
      <c r="D90" s="2" t="b">
        <v>0</v>
      </c>
      <c r="E90" s="29">
        <v>16.3</v>
      </c>
    </row>
    <row r="91" spans="1:5" x14ac:dyDescent="0.35">
      <c r="A91" s="17" t="s">
        <v>609</v>
      </c>
      <c r="B91" s="2" t="s">
        <v>32</v>
      </c>
      <c r="C91" s="9">
        <v>45570</v>
      </c>
      <c r="D91" s="2" t="b">
        <v>0</v>
      </c>
      <c r="E91" s="29">
        <v>65.2</v>
      </c>
    </row>
    <row r="92" spans="1:5" x14ac:dyDescent="0.35">
      <c r="A92" s="17" t="s">
        <v>610</v>
      </c>
      <c r="B92" s="2" t="s">
        <v>32</v>
      </c>
      <c r="C92" s="9">
        <v>45570</v>
      </c>
      <c r="D92" s="2" t="b">
        <v>0</v>
      </c>
      <c r="E92" s="29">
        <v>16.920000000000002</v>
      </c>
    </row>
    <row r="93" spans="1:5" x14ac:dyDescent="0.35">
      <c r="A93" s="17" t="s">
        <v>611</v>
      </c>
      <c r="B93" s="2" t="s">
        <v>32</v>
      </c>
      <c r="C93" s="9">
        <v>45570</v>
      </c>
      <c r="D93" s="2" t="b">
        <v>0</v>
      </c>
      <c r="E93" s="29">
        <v>65.2</v>
      </c>
    </row>
    <row r="94" spans="1:5" x14ac:dyDescent="0.35">
      <c r="A94" s="17" t="s">
        <v>612</v>
      </c>
      <c r="B94" s="2" t="s">
        <v>32</v>
      </c>
      <c r="C94" s="9">
        <v>45569</v>
      </c>
      <c r="D94" s="2" t="b">
        <v>0</v>
      </c>
      <c r="E94" s="29">
        <v>16.850000000000001</v>
      </c>
    </row>
    <row r="95" spans="1:5" x14ac:dyDescent="0.35">
      <c r="A95" s="17" t="s">
        <v>613</v>
      </c>
      <c r="B95" s="2" t="s">
        <v>32</v>
      </c>
      <c r="C95" s="9">
        <v>45569</v>
      </c>
      <c r="D95" s="2" t="b">
        <v>0</v>
      </c>
      <c r="E95" s="29">
        <v>18.8</v>
      </c>
    </row>
    <row r="96" spans="1:5" x14ac:dyDescent="0.35">
      <c r="A96" s="17" t="s">
        <v>614</v>
      </c>
      <c r="B96" s="2" t="s">
        <v>32</v>
      </c>
      <c r="C96" s="9">
        <v>45569</v>
      </c>
      <c r="D96" s="2" t="b">
        <v>0</v>
      </c>
      <c r="E96" s="29">
        <v>16.3</v>
      </c>
    </row>
    <row r="97" spans="1:5" x14ac:dyDescent="0.35">
      <c r="A97" s="17" t="s">
        <v>615</v>
      </c>
      <c r="B97" s="2" t="s">
        <v>32</v>
      </c>
      <c r="C97" s="9">
        <v>45569</v>
      </c>
      <c r="D97" s="2" t="b">
        <v>0</v>
      </c>
      <c r="E97" s="29">
        <v>4.2300000000000004</v>
      </c>
    </row>
    <row r="98" spans="1:5" x14ac:dyDescent="0.35">
      <c r="A98" s="17" t="s">
        <v>616</v>
      </c>
      <c r="B98" s="2" t="s">
        <v>32</v>
      </c>
      <c r="C98" s="9">
        <v>45568</v>
      </c>
      <c r="D98" s="2" t="b">
        <v>0</v>
      </c>
      <c r="E98" s="29">
        <v>11.08</v>
      </c>
    </row>
    <row r="99" spans="1:5" x14ac:dyDescent="0.35">
      <c r="A99" s="17" t="s">
        <v>617</v>
      </c>
      <c r="B99" s="2" t="s">
        <v>32</v>
      </c>
      <c r="C99" s="9">
        <v>45568</v>
      </c>
      <c r="D99" s="2" t="b">
        <v>0</v>
      </c>
      <c r="E99" s="29">
        <v>18.8</v>
      </c>
    </row>
    <row r="100" spans="1:5" x14ac:dyDescent="0.35">
      <c r="A100" s="17" t="s">
        <v>618</v>
      </c>
      <c r="B100" s="2" t="s">
        <v>32</v>
      </c>
      <c r="C100" s="9">
        <v>45567</v>
      </c>
      <c r="D100" s="2" t="b">
        <v>0</v>
      </c>
      <c r="E100" s="29">
        <v>46.04</v>
      </c>
    </row>
    <row r="101" spans="1:5" x14ac:dyDescent="0.35">
      <c r="A101" s="17" t="s">
        <v>619</v>
      </c>
      <c r="B101" s="2" t="s">
        <v>32</v>
      </c>
      <c r="C101" s="9">
        <v>45567</v>
      </c>
      <c r="D101" s="2" t="b">
        <v>0</v>
      </c>
      <c r="E101" s="29">
        <v>38.39</v>
      </c>
    </row>
    <row r="102" spans="1:5" x14ac:dyDescent="0.35">
      <c r="A102" s="17" t="s">
        <v>620</v>
      </c>
      <c r="B102" s="2" t="s">
        <v>32</v>
      </c>
      <c r="C102" s="9">
        <v>45566</v>
      </c>
      <c r="D102" s="2" t="b">
        <v>0</v>
      </c>
      <c r="E102" s="29">
        <v>56.06</v>
      </c>
    </row>
    <row r="103" spans="1:5" x14ac:dyDescent="0.35">
      <c r="A103" s="17" t="s">
        <v>621</v>
      </c>
      <c r="B103" s="2" t="s">
        <v>32</v>
      </c>
      <c r="C103" s="9">
        <v>45566</v>
      </c>
      <c r="D103" s="2" t="b">
        <v>0</v>
      </c>
      <c r="E103" s="29">
        <v>35.1</v>
      </c>
    </row>
    <row r="104" spans="1:5" x14ac:dyDescent="0.35">
      <c r="A104" s="17" t="s">
        <v>622</v>
      </c>
      <c r="B104" s="2" t="s">
        <v>32</v>
      </c>
      <c r="C104" s="9">
        <v>45566</v>
      </c>
      <c r="D104" s="2" t="b">
        <v>0</v>
      </c>
      <c r="E104" s="29">
        <v>114.1</v>
      </c>
    </row>
    <row r="105" spans="1:5" x14ac:dyDescent="0.35">
      <c r="A105" s="17" t="s">
        <v>623</v>
      </c>
      <c r="B105" s="2" t="s">
        <v>32</v>
      </c>
      <c r="C105" s="9">
        <v>45566</v>
      </c>
      <c r="D105" s="2" t="b">
        <v>0</v>
      </c>
      <c r="E105" s="29">
        <v>32.6</v>
      </c>
    </row>
    <row r="106" spans="1:5" ht="15" thickBot="1" x14ac:dyDescent="0.4">
      <c r="A106" s="27" t="s">
        <v>624</v>
      </c>
      <c r="B106" s="7" t="s">
        <v>32</v>
      </c>
      <c r="C106" s="6">
        <v>45566</v>
      </c>
      <c r="D106" s="7" t="b">
        <v>0</v>
      </c>
      <c r="E106" s="26">
        <v>16.3</v>
      </c>
    </row>
    <row r="107" spans="1:5" s="40" customFormat="1" x14ac:dyDescent="0.35">
      <c r="A107" s="48" t="s">
        <v>964</v>
      </c>
      <c r="C107" s="41"/>
      <c r="E107" s="4">
        <f>SUM(E49:E106)</f>
        <v>1808.8599999999988</v>
      </c>
    </row>
    <row r="108" spans="1:5" s="40" customFormat="1" ht="15" thickBot="1" x14ac:dyDescent="0.4">
      <c r="C108" s="41"/>
      <c r="E108" s="4"/>
    </row>
    <row r="109" spans="1:5" x14ac:dyDescent="0.35">
      <c r="A109" s="22" t="s">
        <v>625</v>
      </c>
      <c r="B109" s="21" t="s">
        <v>43</v>
      </c>
      <c r="C109" s="18">
        <v>45592</v>
      </c>
      <c r="D109" s="21" t="b">
        <v>0</v>
      </c>
      <c r="E109" s="11">
        <v>50.75</v>
      </c>
    </row>
    <row r="110" spans="1:5" x14ac:dyDescent="0.35">
      <c r="A110" s="17" t="s">
        <v>626</v>
      </c>
      <c r="B110" s="2" t="s">
        <v>43</v>
      </c>
      <c r="C110" s="9">
        <v>45590</v>
      </c>
      <c r="D110" s="2" t="b">
        <v>0</v>
      </c>
      <c r="E110" s="29">
        <v>14.29</v>
      </c>
    </row>
    <row r="111" spans="1:5" x14ac:dyDescent="0.35">
      <c r="A111" s="17" t="s">
        <v>627</v>
      </c>
      <c r="B111" s="2" t="s">
        <v>43</v>
      </c>
      <c r="C111" s="9">
        <v>45588</v>
      </c>
      <c r="D111" s="2" t="b">
        <v>0</v>
      </c>
      <c r="E111" s="29">
        <v>26.47</v>
      </c>
    </row>
    <row r="112" spans="1:5" x14ac:dyDescent="0.35">
      <c r="A112" s="17" t="s">
        <v>628</v>
      </c>
      <c r="B112" s="2" t="s">
        <v>43</v>
      </c>
      <c r="C112" s="9">
        <v>45585</v>
      </c>
      <c r="D112" s="2" t="b">
        <v>0</v>
      </c>
      <c r="E112" s="29">
        <v>38.99</v>
      </c>
    </row>
    <row r="113" spans="1:5" x14ac:dyDescent="0.35">
      <c r="A113" s="17" t="s">
        <v>629</v>
      </c>
      <c r="B113" s="2" t="s">
        <v>43</v>
      </c>
      <c r="C113" s="9">
        <v>45580</v>
      </c>
      <c r="D113" s="2" t="b">
        <v>0</v>
      </c>
      <c r="E113" s="29">
        <v>15.75</v>
      </c>
    </row>
    <row r="114" spans="1:5" x14ac:dyDescent="0.35">
      <c r="A114" s="17" t="s">
        <v>630</v>
      </c>
      <c r="B114" s="2" t="s">
        <v>43</v>
      </c>
      <c r="C114" s="9">
        <v>45580</v>
      </c>
      <c r="D114" s="2" t="b">
        <v>0</v>
      </c>
      <c r="E114" s="29">
        <v>42.62</v>
      </c>
    </row>
    <row r="115" spans="1:5" x14ac:dyDescent="0.35">
      <c r="A115" s="17" t="s">
        <v>631</v>
      </c>
      <c r="B115" s="2" t="s">
        <v>43</v>
      </c>
      <c r="C115" s="9">
        <v>45579</v>
      </c>
      <c r="D115" s="2" t="b">
        <v>0</v>
      </c>
      <c r="E115" s="29">
        <v>53.65</v>
      </c>
    </row>
    <row r="116" spans="1:5" x14ac:dyDescent="0.35">
      <c r="A116" s="17" t="s">
        <v>632</v>
      </c>
      <c r="B116" s="2" t="s">
        <v>43</v>
      </c>
      <c r="C116" s="9">
        <v>45578</v>
      </c>
      <c r="D116" s="2" t="b">
        <v>0</v>
      </c>
      <c r="E116" s="29">
        <v>54.37</v>
      </c>
    </row>
    <row r="117" spans="1:5" x14ac:dyDescent="0.35">
      <c r="A117" s="17" t="s">
        <v>633</v>
      </c>
      <c r="B117" s="2" t="s">
        <v>43</v>
      </c>
      <c r="C117" s="9">
        <v>45578</v>
      </c>
      <c r="D117" s="2" t="b">
        <v>0</v>
      </c>
      <c r="E117" s="29">
        <v>25.3</v>
      </c>
    </row>
    <row r="118" spans="1:5" x14ac:dyDescent="0.35">
      <c r="A118" s="17" t="s">
        <v>634</v>
      </c>
      <c r="B118" s="2" t="s">
        <v>43</v>
      </c>
      <c r="C118" s="9">
        <v>45578</v>
      </c>
      <c r="D118" s="2" t="b">
        <v>0</v>
      </c>
      <c r="E118" s="29">
        <v>41.59</v>
      </c>
    </row>
    <row r="119" spans="1:5" x14ac:dyDescent="0.35">
      <c r="A119" s="17" t="s">
        <v>635</v>
      </c>
      <c r="B119" s="2" t="s">
        <v>43</v>
      </c>
      <c r="C119" s="9">
        <v>45576</v>
      </c>
      <c r="D119" s="2" t="b">
        <v>0</v>
      </c>
      <c r="E119" s="29">
        <v>34.14</v>
      </c>
    </row>
    <row r="120" spans="1:5" x14ac:dyDescent="0.35">
      <c r="A120" s="17" t="s">
        <v>636</v>
      </c>
      <c r="B120" s="2" t="s">
        <v>43</v>
      </c>
      <c r="C120" s="9">
        <v>45574</v>
      </c>
      <c r="D120" s="2" t="b">
        <v>0</v>
      </c>
      <c r="E120" s="29">
        <v>24.03</v>
      </c>
    </row>
    <row r="121" spans="1:5" x14ac:dyDescent="0.35">
      <c r="A121" s="17" t="s">
        <v>637</v>
      </c>
      <c r="B121" s="2" t="s">
        <v>43</v>
      </c>
      <c r="C121" s="9">
        <v>45571</v>
      </c>
      <c r="D121" s="2" t="b">
        <v>0</v>
      </c>
      <c r="E121" s="29">
        <v>15.6</v>
      </c>
    </row>
    <row r="122" spans="1:5" x14ac:dyDescent="0.35">
      <c r="A122" s="17" t="s">
        <v>638</v>
      </c>
      <c r="B122" s="2" t="s">
        <v>43</v>
      </c>
      <c r="C122" s="9">
        <v>45569</v>
      </c>
      <c r="D122" s="2" t="b">
        <v>0</v>
      </c>
      <c r="E122" s="29">
        <v>35.68</v>
      </c>
    </row>
    <row r="123" spans="1:5" ht="15" thickBot="1" x14ac:dyDescent="0.4">
      <c r="A123" s="27" t="s">
        <v>639</v>
      </c>
      <c r="B123" s="7" t="s">
        <v>43</v>
      </c>
      <c r="C123" s="6">
        <v>45566</v>
      </c>
      <c r="D123" s="7" t="b">
        <v>0</v>
      </c>
      <c r="E123" s="26">
        <v>20.93</v>
      </c>
    </row>
    <row r="124" spans="1:5" s="40" customFormat="1" x14ac:dyDescent="0.35">
      <c r="A124" s="48" t="s">
        <v>964</v>
      </c>
      <c r="C124" s="41"/>
      <c r="E124" s="4">
        <f>SUM(E109:E123)</f>
        <v>494.15999999999997</v>
      </c>
    </row>
    <row r="125" spans="1:5" s="40" customFormat="1" ht="15" thickBot="1" x14ac:dyDescent="0.4">
      <c r="C125" s="41"/>
      <c r="E125" s="4"/>
    </row>
    <row r="126" spans="1:5" x14ac:dyDescent="0.35">
      <c r="A126" s="22" t="s">
        <v>640</v>
      </c>
      <c r="B126" s="21" t="s">
        <v>144</v>
      </c>
      <c r="C126" s="18">
        <v>45566</v>
      </c>
      <c r="D126" s="21" t="b">
        <v>0</v>
      </c>
      <c r="E126" s="11">
        <v>15.74</v>
      </c>
    </row>
    <row r="127" spans="1:5" ht="15" thickBot="1" x14ac:dyDescent="0.4">
      <c r="A127" s="27" t="s">
        <v>641</v>
      </c>
      <c r="B127" s="7" t="s">
        <v>144</v>
      </c>
      <c r="C127" s="6">
        <v>45566</v>
      </c>
      <c r="D127" s="7" t="b">
        <v>0</v>
      </c>
      <c r="E127" s="26">
        <v>16.64</v>
      </c>
    </row>
    <row r="128" spans="1:5" s="40" customFormat="1" x14ac:dyDescent="0.35">
      <c r="A128" s="3" t="s">
        <v>964</v>
      </c>
      <c r="C128" s="41"/>
      <c r="E128" s="4">
        <f>SUM(E126:E127)</f>
        <v>32.380000000000003</v>
      </c>
    </row>
    <row r="129" spans="1:5" s="40" customFormat="1" ht="15" thickBot="1" x14ac:dyDescent="0.4">
      <c r="C129" s="41"/>
      <c r="E129" s="4"/>
    </row>
    <row r="130" spans="1:5" x14ac:dyDescent="0.35">
      <c r="A130" s="22" t="s">
        <v>642</v>
      </c>
      <c r="B130" s="21" t="s">
        <v>104</v>
      </c>
      <c r="C130" s="18">
        <v>45583</v>
      </c>
      <c r="D130" s="21" t="b">
        <v>0</v>
      </c>
      <c r="E130" s="11">
        <v>41.6</v>
      </c>
    </row>
    <row r="131" spans="1:5" x14ac:dyDescent="0.35">
      <c r="A131" s="17" t="s">
        <v>643</v>
      </c>
      <c r="B131" s="2" t="s">
        <v>104</v>
      </c>
      <c r="C131" s="9">
        <v>45580</v>
      </c>
      <c r="D131" s="2" t="b">
        <v>0</v>
      </c>
      <c r="E131" s="29">
        <v>20.8</v>
      </c>
    </row>
    <row r="132" spans="1:5" x14ac:dyDescent="0.35">
      <c r="A132" s="17" t="s">
        <v>644</v>
      </c>
      <c r="B132" s="2" t="s">
        <v>104</v>
      </c>
      <c r="C132" s="9">
        <v>45580</v>
      </c>
      <c r="D132" s="2" t="b">
        <v>0</v>
      </c>
      <c r="E132" s="29">
        <v>31.23</v>
      </c>
    </row>
    <row r="133" spans="1:5" x14ac:dyDescent="0.35">
      <c r="A133" s="17" t="s">
        <v>645</v>
      </c>
      <c r="B133" s="2" t="s">
        <v>104</v>
      </c>
      <c r="C133" s="9">
        <v>45577</v>
      </c>
      <c r="D133" s="2" t="b">
        <v>0</v>
      </c>
      <c r="E133" s="29">
        <v>57.19</v>
      </c>
    </row>
    <row r="134" spans="1:5" x14ac:dyDescent="0.35">
      <c r="A134" s="17" t="s">
        <v>646</v>
      </c>
      <c r="B134" s="2" t="s">
        <v>104</v>
      </c>
      <c r="C134" s="9">
        <v>45577</v>
      </c>
      <c r="D134" s="2" t="b">
        <v>0</v>
      </c>
      <c r="E134" s="29">
        <v>26</v>
      </c>
    </row>
    <row r="135" spans="1:5" x14ac:dyDescent="0.35">
      <c r="A135" s="17" t="s">
        <v>647</v>
      </c>
      <c r="B135" s="2" t="s">
        <v>104</v>
      </c>
      <c r="C135" s="9">
        <v>45575</v>
      </c>
      <c r="D135" s="2" t="b">
        <v>0</v>
      </c>
      <c r="E135" s="29">
        <v>31.2</v>
      </c>
    </row>
    <row r="136" spans="1:5" ht="15" thickBot="1" x14ac:dyDescent="0.4">
      <c r="A136" s="27" t="s">
        <v>648</v>
      </c>
      <c r="B136" s="7" t="s">
        <v>104</v>
      </c>
      <c r="C136" s="6">
        <v>45574</v>
      </c>
      <c r="D136" s="7" t="b">
        <v>0</v>
      </c>
      <c r="E136" s="26">
        <v>20.14</v>
      </c>
    </row>
    <row r="137" spans="1:5" s="40" customFormat="1" x14ac:dyDescent="0.35">
      <c r="A137" s="48" t="s">
        <v>964</v>
      </c>
      <c r="C137" s="41"/>
      <c r="E137" s="4">
        <f>SUM(E130:E136)</f>
        <v>228.15999999999997</v>
      </c>
    </row>
    <row r="138" spans="1:5" s="40" customFormat="1" ht="15" thickBot="1" x14ac:dyDescent="0.4">
      <c r="C138" s="41"/>
      <c r="E138" s="4"/>
    </row>
    <row r="139" spans="1:5" x14ac:dyDescent="0.35">
      <c r="A139" s="22" t="s">
        <v>649</v>
      </c>
      <c r="B139" s="21" t="s">
        <v>393</v>
      </c>
      <c r="C139" s="18">
        <v>45581</v>
      </c>
      <c r="D139" s="21" t="b">
        <v>0</v>
      </c>
      <c r="E139" s="11">
        <v>43.23</v>
      </c>
    </row>
    <row r="140" spans="1:5" ht="15" thickBot="1" x14ac:dyDescent="0.4">
      <c r="A140" s="27" t="s">
        <v>650</v>
      </c>
      <c r="B140" s="7" t="s">
        <v>393</v>
      </c>
      <c r="C140" s="6">
        <v>45568</v>
      </c>
      <c r="D140" s="7" t="b">
        <v>0</v>
      </c>
      <c r="E140" s="26">
        <v>51.27</v>
      </c>
    </row>
    <row r="141" spans="1:5" s="40" customFormat="1" x14ac:dyDescent="0.35">
      <c r="A141" s="3" t="s">
        <v>964</v>
      </c>
      <c r="C141" s="41"/>
      <c r="E141" s="4">
        <f>SUM(E139:E140)</f>
        <v>94.5</v>
      </c>
    </row>
    <row r="142" spans="1:5" s="40" customFormat="1" ht="15" thickBot="1" x14ac:dyDescent="0.4">
      <c r="C142" s="41"/>
      <c r="E142" s="4"/>
    </row>
    <row r="143" spans="1:5" x14ac:dyDescent="0.35">
      <c r="A143" s="22" t="s">
        <v>651</v>
      </c>
      <c r="B143" s="21" t="s">
        <v>508</v>
      </c>
      <c r="C143" s="18">
        <v>45596</v>
      </c>
      <c r="D143" s="21" t="b">
        <v>0</v>
      </c>
      <c r="E143" s="11">
        <v>56.44</v>
      </c>
    </row>
    <row r="144" spans="1:5" x14ac:dyDescent="0.35">
      <c r="A144" s="17" t="s">
        <v>652</v>
      </c>
      <c r="B144" s="2" t="s">
        <v>508</v>
      </c>
      <c r="C144" s="9">
        <v>45596</v>
      </c>
      <c r="D144" s="2" t="b">
        <v>0</v>
      </c>
      <c r="E144" s="29">
        <v>21.82</v>
      </c>
    </row>
    <row r="145" spans="1:5" x14ac:dyDescent="0.35">
      <c r="A145" s="17" t="s">
        <v>653</v>
      </c>
      <c r="B145" s="2" t="s">
        <v>508</v>
      </c>
      <c r="C145" s="9">
        <v>45595</v>
      </c>
      <c r="D145" s="2" t="b">
        <v>0</v>
      </c>
      <c r="E145" s="29">
        <v>15.59</v>
      </c>
    </row>
    <row r="146" spans="1:5" x14ac:dyDescent="0.35">
      <c r="A146" s="17" t="s">
        <v>654</v>
      </c>
      <c r="B146" s="2" t="s">
        <v>508</v>
      </c>
      <c r="C146" s="9">
        <v>45595</v>
      </c>
      <c r="D146" s="2" t="b">
        <v>0</v>
      </c>
      <c r="E146" s="29">
        <v>26.57</v>
      </c>
    </row>
    <row r="147" spans="1:5" x14ac:dyDescent="0.35">
      <c r="A147" s="17" t="s">
        <v>655</v>
      </c>
      <c r="B147" s="2" t="s">
        <v>508</v>
      </c>
      <c r="C147" s="9">
        <v>45595</v>
      </c>
      <c r="D147" s="2" t="b">
        <v>0</v>
      </c>
      <c r="E147" s="29">
        <v>22.09</v>
      </c>
    </row>
    <row r="148" spans="1:5" x14ac:dyDescent="0.35">
      <c r="A148" s="17" t="s">
        <v>656</v>
      </c>
      <c r="B148" s="2" t="s">
        <v>508</v>
      </c>
      <c r="C148" s="9">
        <v>45593</v>
      </c>
      <c r="D148" s="2" t="b">
        <v>0</v>
      </c>
      <c r="E148" s="29">
        <v>34.94</v>
      </c>
    </row>
    <row r="149" spans="1:5" x14ac:dyDescent="0.35">
      <c r="A149" s="17" t="s">
        <v>657</v>
      </c>
      <c r="B149" s="2" t="s">
        <v>508</v>
      </c>
      <c r="C149" s="9">
        <v>45592</v>
      </c>
      <c r="D149" s="2" t="b">
        <v>0</v>
      </c>
      <c r="E149" s="29">
        <v>23.59</v>
      </c>
    </row>
    <row r="150" spans="1:5" x14ac:dyDescent="0.35">
      <c r="A150" s="17" t="s">
        <v>658</v>
      </c>
      <c r="B150" s="2" t="s">
        <v>508</v>
      </c>
      <c r="C150" s="9">
        <v>45592</v>
      </c>
      <c r="D150" s="2" t="b">
        <v>0</v>
      </c>
      <c r="E150" s="29">
        <v>20.79</v>
      </c>
    </row>
    <row r="151" spans="1:5" x14ac:dyDescent="0.35">
      <c r="A151" s="17" t="s">
        <v>659</v>
      </c>
      <c r="B151" s="2" t="s">
        <v>508</v>
      </c>
      <c r="C151" s="9">
        <v>45592</v>
      </c>
      <c r="D151" s="2" t="b">
        <v>0</v>
      </c>
      <c r="E151" s="29">
        <v>42.6</v>
      </c>
    </row>
    <row r="152" spans="1:5" x14ac:dyDescent="0.35">
      <c r="A152" s="17" t="s">
        <v>660</v>
      </c>
      <c r="B152" s="2" t="s">
        <v>508</v>
      </c>
      <c r="C152" s="9">
        <v>45591</v>
      </c>
      <c r="D152" s="2" t="b">
        <v>0</v>
      </c>
      <c r="E152" s="29">
        <v>20.190000000000001</v>
      </c>
    </row>
    <row r="153" spans="1:5" x14ac:dyDescent="0.35">
      <c r="A153" s="17" t="s">
        <v>661</v>
      </c>
      <c r="B153" s="2" t="s">
        <v>508</v>
      </c>
      <c r="C153" s="9">
        <v>45591</v>
      </c>
      <c r="D153" s="2" t="b">
        <v>0</v>
      </c>
      <c r="E153" s="29">
        <v>40.380000000000003</v>
      </c>
    </row>
    <row r="154" spans="1:5" x14ac:dyDescent="0.35">
      <c r="A154" s="17" t="s">
        <v>662</v>
      </c>
      <c r="B154" s="2" t="s">
        <v>508</v>
      </c>
      <c r="C154" s="9">
        <v>45591</v>
      </c>
      <c r="D154" s="2" t="b">
        <v>0</v>
      </c>
      <c r="E154" s="29">
        <v>22.99</v>
      </c>
    </row>
    <row r="155" spans="1:5" x14ac:dyDescent="0.35">
      <c r="A155" s="17" t="s">
        <v>663</v>
      </c>
      <c r="B155" s="2" t="s">
        <v>508</v>
      </c>
      <c r="C155" s="9">
        <v>45589</v>
      </c>
      <c r="D155" s="2" t="b">
        <v>0</v>
      </c>
      <c r="E155" s="29">
        <v>39.369999999999997</v>
      </c>
    </row>
    <row r="156" spans="1:5" x14ac:dyDescent="0.35">
      <c r="A156" s="17" t="s">
        <v>664</v>
      </c>
      <c r="B156" s="2" t="s">
        <v>508</v>
      </c>
      <c r="C156" s="9">
        <v>45589</v>
      </c>
      <c r="D156" s="2" t="b">
        <v>0</v>
      </c>
      <c r="E156" s="29">
        <v>15.59</v>
      </c>
    </row>
    <row r="157" spans="1:5" x14ac:dyDescent="0.35">
      <c r="A157" s="17" t="s">
        <v>665</v>
      </c>
      <c r="B157" s="2" t="s">
        <v>508</v>
      </c>
      <c r="C157" s="9">
        <v>45589</v>
      </c>
      <c r="D157" s="2" t="b">
        <v>0</v>
      </c>
      <c r="E157" s="29">
        <v>23.78</v>
      </c>
    </row>
    <row r="158" spans="1:5" x14ac:dyDescent="0.35">
      <c r="A158" s="17" t="s">
        <v>666</v>
      </c>
      <c r="B158" s="2" t="s">
        <v>508</v>
      </c>
      <c r="C158" s="9">
        <v>45588</v>
      </c>
      <c r="D158" s="2" t="b">
        <v>0</v>
      </c>
      <c r="E158" s="29">
        <v>31.33</v>
      </c>
    </row>
    <row r="159" spans="1:5" x14ac:dyDescent="0.35">
      <c r="A159" s="17" t="s">
        <v>667</v>
      </c>
      <c r="B159" s="2" t="s">
        <v>508</v>
      </c>
      <c r="C159" s="9">
        <v>45588</v>
      </c>
      <c r="D159" s="2" t="b">
        <v>0</v>
      </c>
      <c r="E159" s="29">
        <v>12.34</v>
      </c>
    </row>
    <row r="160" spans="1:5" x14ac:dyDescent="0.35">
      <c r="A160" s="17" t="s">
        <v>668</v>
      </c>
      <c r="B160" s="2" t="s">
        <v>508</v>
      </c>
      <c r="C160" s="9">
        <v>45588</v>
      </c>
      <c r="D160" s="2" t="b">
        <v>0</v>
      </c>
      <c r="E160" s="29">
        <v>20.79</v>
      </c>
    </row>
    <row r="161" spans="1:5" x14ac:dyDescent="0.35">
      <c r="A161" s="17" t="s">
        <v>669</v>
      </c>
      <c r="B161" s="2" t="s">
        <v>508</v>
      </c>
      <c r="C161" s="9">
        <v>45588</v>
      </c>
      <c r="D161" s="2" t="b">
        <v>0</v>
      </c>
      <c r="E161" s="29">
        <v>18.57</v>
      </c>
    </row>
    <row r="162" spans="1:5" x14ac:dyDescent="0.35">
      <c r="A162" s="17" t="s">
        <v>670</v>
      </c>
      <c r="B162" s="2" t="s">
        <v>508</v>
      </c>
      <c r="C162" s="9">
        <v>45586</v>
      </c>
      <c r="D162" s="2" t="b">
        <v>0</v>
      </c>
      <c r="E162" s="29">
        <v>32.479999999999997</v>
      </c>
    </row>
    <row r="163" spans="1:5" x14ac:dyDescent="0.35">
      <c r="A163" s="17" t="s">
        <v>671</v>
      </c>
      <c r="B163" s="2" t="s">
        <v>508</v>
      </c>
      <c r="C163" s="9">
        <v>45585</v>
      </c>
      <c r="D163" s="2" t="b">
        <v>0</v>
      </c>
      <c r="E163" s="29">
        <v>12.99</v>
      </c>
    </row>
    <row r="164" spans="1:5" x14ac:dyDescent="0.35">
      <c r="A164" s="17" t="s">
        <v>672</v>
      </c>
      <c r="B164" s="2" t="s">
        <v>508</v>
      </c>
      <c r="C164" s="9">
        <v>45584</v>
      </c>
      <c r="D164" s="2" t="b">
        <v>0</v>
      </c>
      <c r="E164" s="29">
        <v>24.15</v>
      </c>
    </row>
    <row r="165" spans="1:5" x14ac:dyDescent="0.35">
      <c r="A165" s="17" t="s">
        <v>673</v>
      </c>
      <c r="B165" s="2" t="s">
        <v>508</v>
      </c>
      <c r="C165" s="9">
        <v>45584</v>
      </c>
      <c r="D165" s="2" t="b">
        <v>0</v>
      </c>
      <c r="E165" s="29">
        <v>24.15</v>
      </c>
    </row>
    <row r="166" spans="1:5" x14ac:dyDescent="0.35">
      <c r="A166" s="17" t="s">
        <v>674</v>
      </c>
      <c r="B166" s="2" t="s">
        <v>508</v>
      </c>
      <c r="C166" s="9">
        <v>45581</v>
      </c>
      <c r="D166" s="2" t="b">
        <v>0</v>
      </c>
      <c r="E166" s="29">
        <v>16.239999999999998</v>
      </c>
    </row>
    <row r="167" spans="1:5" x14ac:dyDescent="0.35">
      <c r="A167" s="17" t="s">
        <v>675</v>
      </c>
      <c r="B167" s="2" t="s">
        <v>508</v>
      </c>
      <c r="C167" s="9">
        <v>45580</v>
      </c>
      <c r="D167" s="2" t="b">
        <v>0</v>
      </c>
      <c r="E167" s="29">
        <v>33</v>
      </c>
    </row>
    <row r="168" spans="1:5" x14ac:dyDescent="0.35">
      <c r="A168" s="17" t="s">
        <v>676</v>
      </c>
      <c r="B168" s="2" t="s">
        <v>508</v>
      </c>
      <c r="C168" s="9">
        <v>45579</v>
      </c>
      <c r="D168" s="2" t="b">
        <v>0</v>
      </c>
      <c r="E168" s="29">
        <v>15.59</v>
      </c>
    </row>
    <row r="169" spans="1:5" x14ac:dyDescent="0.35">
      <c r="A169" s="17" t="s">
        <v>677</v>
      </c>
      <c r="B169" s="2" t="s">
        <v>508</v>
      </c>
      <c r="C169" s="9">
        <v>45578</v>
      </c>
      <c r="D169" s="2" t="b">
        <v>0</v>
      </c>
      <c r="E169" s="29">
        <v>31.08</v>
      </c>
    </row>
    <row r="170" spans="1:5" x14ac:dyDescent="0.35">
      <c r="A170" s="17" t="s">
        <v>678</v>
      </c>
      <c r="B170" s="2" t="s">
        <v>508</v>
      </c>
      <c r="C170" s="9">
        <v>45577</v>
      </c>
      <c r="D170" s="2" t="b">
        <v>0</v>
      </c>
      <c r="E170" s="29">
        <v>29.23</v>
      </c>
    </row>
    <row r="171" spans="1:5" x14ac:dyDescent="0.35">
      <c r="A171" s="17" t="s">
        <v>679</v>
      </c>
      <c r="B171" s="2" t="s">
        <v>508</v>
      </c>
      <c r="C171" s="9">
        <v>45577</v>
      </c>
      <c r="D171" s="2" t="b">
        <v>0</v>
      </c>
      <c r="E171" s="29">
        <v>20.79</v>
      </c>
    </row>
    <row r="172" spans="1:5" x14ac:dyDescent="0.35">
      <c r="A172" s="17" t="s">
        <v>680</v>
      </c>
      <c r="B172" s="2" t="s">
        <v>508</v>
      </c>
      <c r="C172" s="9">
        <v>45577</v>
      </c>
      <c r="D172" s="2" t="b">
        <v>0</v>
      </c>
      <c r="E172" s="29">
        <v>51.21</v>
      </c>
    </row>
    <row r="173" spans="1:5" x14ac:dyDescent="0.35">
      <c r="A173" s="17" t="s">
        <v>681</v>
      </c>
      <c r="B173" s="2" t="s">
        <v>508</v>
      </c>
      <c r="C173" s="9">
        <v>45576</v>
      </c>
      <c r="D173" s="2" t="b">
        <v>0</v>
      </c>
      <c r="E173" s="29">
        <v>31.05</v>
      </c>
    </row>
    <row r="174" spans="1:5" x14ac:dyDescent="0.35">
      <c r="A174" s="17" t="s">
        <v>682</v>
      </c>
      <c r="B174" s="2" t="s">
        <v>508</v>
      </c>
      <c r="C174" s="9">
        <v>45575</v>
      </c>
      <c r="D174" s="2" t="b">
        <v>0</v>
      </c>
      <c r="E174" s="29">
        <v>51.43</v>
      </c>
    </row>
    <row r="175" spans="1:5" x14ac:dyDescent="0.35">
      <c r="A175" s="17" t="s">
        <v>683</v>
      </c>
      <c r="B175" s="2" t="s">
        <v>508</v>
      </c>
      <c r="C175" s="9">
        <v>45574</v>
      </c>
      <c r="D175" s="2" t="b">
        <v>0</v>
      </c>
      <c r="E175" s="29">
        <v>21.17</v>
      </c>
    </row>
    <row r="176" spans="1:5" x14ac:dyDescent="0.35">
      <c r="A176" s="17" t="s">
        <v>684</v>
      </c>
      <c r="B176" s="2" t="s">
        <v>508</v>
      </c>
      <c r="C176" s="9">
        <v>45571</v>
      </c>
      <c r="D176" s="2" t="b">
        <v>0</v>
      </c>
      <c r="E176" s="29">
        <v>15.59</v>
      </c>
    </row>
    <row r="177" spans="1:5" x14ac:dyDescent="0.35">
      <c r="A177" s="17" t="s">
        <v>685</v>
      </c>
      <c r="B177" s="2" t="s">
        <v>508</v>
      </c>
      <c r="C177" s="9">
        <v>45567</v>
      </c>
      <c r="D177" s="2" t="b">
        <v>0</v>
      </c>
      <c r="E177" s="29">
        <v>16.89</v>
      </c>
    </row>
    <row r="178" spans="1:5" x14ac:dyDescent="0.35">
      <c r="A178" s="17" t="s">
        <v>686</v>
      </c>
      <c r="B178" s="2" t="s">
        <v>508</v>
      </c>
      <c r="C178" s="9">
        <v>45567</v>
      </c>
      <c r="D178" s="2" t="b">
        <v>0</v>
      </c>
      <c r="E178" s="29">
        <v>36.380000000000003</v>
      </c>
    </row>
    <row r="179" spans="1:5" ht="15" thickBot="1" x14ac:dyDescent="0.4">
      <c r="A179" s="27" t="s">
        <v>687</v>
      </c>
      <c r="B179" s="7" t="s">
        <v>508</v>
      </c>
      <c r="C179" s="6">
        <v>45566</v>
      </c>
      <c r="D179" s="7" t="b">
        <v>0</v>
      </c>
      <c r="E179" s="26">
        <v>55.96</v>
      </c>
    </row>
    <row r="180" spans="1:5" s="40" customFormat="1" x14ac:dyDescent="0.35">
      <c r="A180" s="48" t="s">
        <v>964</v>
      </c>
      <c r="C180" s="41"/>
      <c r="E180" s="4">
        <f>SUM(E143:E179)</f>
        <v>1029.1399999999999</v>
      </c>
    </row>
    <row r="181" spans="1:5" s="40" customFormat="1" ht="15" thickBot="1" x14ac:dyDescent="0.4">
      <c r="C181" s="41"/>
      <c r="E181" s="4"/>
    </row>
    <row r="182" spans="1:5" ht="15" thickBot="1" x14ac:dyDescent="0.4">
      <c r="A182" s="31" t="s">
        <v>688</v>
      </c>
      <c r="B182" s="23" t="s">
        <v>535</v>
      </c>
      <c r="C182" s="16">
        <v>45589</v>
      </c>
      <c r="D182" s="23" t="b">
        <v>0</v>
      </c>
      <c r="E182" s="28">
        <v>30.22</v>
      </c>
    </row>
    <row r="183" spans="1:5" x14ac:dyDescent="0.35">
      <c r="A183" s="3" t="s">
        <v>964</v>
      </c>
      <c r="E183" s="1">
        <f>SUM(E182)</f>
        <v>30.22</v>
      </c>
    </row>
    <row r="186" spans="1:5" x14ac:dyDescent="0.35">
      <c r="A186" t="s">
        <v>971</v>
      </c>
      <c r="E186" s="1">
        <f>SUM(E183,E180,E141,E128,E124,E107,E47,E36,E29,E24,E19,E15)</f>
        <v>4203.32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70"/>
  <sheetViews>
    <sheetView topLeftCell="A132" zoomScale="70" zoomScaleNormal="70" workbookViewId="0">
      <selection activeCell="E170" sqref="E170"/>
    </sheetView>
  </sheetViews>
  <sheetFormatPr defaultRowHeight="14.5" x14ac:dyDescent="0.35"/>
  <cols>
    <col min="1" max="1" width="28.90625" customWidth="1"/>
    <col min="2" max="2" width="26.1796875" customWidth="1"/>
    <col min="3" max="3" width="20.90625" customWidth="1"/>
    <col min="5" max="5" width="10.08984375" bestFit="1" customWidth="1"/>
  </cols>
  <sheetData>
    <row r="6" spans="1:5" ht="15" thickBot="1" x14ac:dyDescent="0.4"/>
    <row r="7" spans="1:5" ht="15" thickBot="1" x14ac:dyDescent="0.4">
      <c r="A7" s="50" t="s">
        <v>0</v>
      </c>
      <c r="B7" s="51" t="s">
        <v>1</v>
      </c>
      <c r="C7" s="51" t="s">
        <v>2</v>
      </c>
      <c r="D7" s="51" t="s">
        <v>5</v>
      </c>
      <c r="E7" s="52" t="s">
        <v>6</v>
      </c>
    </row>
    <row r="8" spans="1:5" x14ac:dyDescent="0.35">
      <c r="A8" s="22" t="s">
        <v>689</v>
      </c>
      <c r="B8" s="21" t="s">
        <v>8</v>
      </c>
      <c r="C8" s="18">
        <v>45609</v>
      </c>
      <c r="D8" s="21" t="b">
        <v>0</v>
      </c>
      <c r="E8" s="11">
        <v>0.5</v>
      </c>
    </row>
    <row r="9" spans="1:5" x14ac:dyDescent="0.35">
      <c r="A9" s="17" t="s">
        <v>690</v>
      </c>
      <c r="B9" s="2" t="s">
        <v>8</v>
      </c>
      <c r="C9" s="9">
        <v>45608</v>
      </c>
      <c r="D9" s="2" t="b">
        <v>0</v>
      </c>
      <c r="E9" s="29">
        <v>0.5</v>
      </c>
    </row>
    <row r="10" spans="1:5" x14ac:dyDescent="0.35">
      <c r="A10" s="17" t="s">
        <v>691</v>
      </c>
      <c r="B10" s="2" t="s">
        <v>8</v>
      </c>
      <c r="C10" s="9">
        <v>45608</v>
      </c>
      <c r="D10" s="2" t="b">
        <v>0</v>
      </c>
      <c r="E10" s="29">
        <v>0.5</v>
      </c>
    </row>
    <row r="11" spans="1:5" ht="15" thickBot="1" x14ac:dyDescent="0.4">
      <c r="A11" s="27" t="s">
        <v>692</v>
      </c>
      <c r="B11" s="7" t="s">
        <v>8</v>
      </c>
      <c r="C11" s="6">
        <v>45599</v>
      </c>
      <c r="D11" s="7" t="b">
        <v>0</v>
      </c>
      <c r="E11" s="26">
        <v>37.840000000000003</v>
      </c>
    </row>
    <row r="12" spans="1:5" s="40" customFormat="1" x14ac:dyDescent="0.35">
      <c r="A12" s="48" t="s">
        <v>964</v>
      </c>
      <c r="C12" s="41"/>
      <c r="E12" s="4">
        <f>SUM(E8:E11)</f>
        <v>39.340000000000003</v>
      </c>
    </row>
    <row r="13" spans="1:5" s="40" customFormat="1" ht="15" thickBot="1" x14ac:dyDescent="0.4">
      <c r="C13" s="41"/>
      <c r="E13" s="4"/>
    </row>
    <row r="14" spans="1:5" x14ac:dyDescent="0.35">
      <c r="A14" s="22" t="s">
        <v>693</v>
      </c>
      <c r="B14" s="21" t="s">
        <v>694</v>
      </c>
      <c r="C14" s="18">
        <v>45622</v>
      </c>
      <c r="D14" s="21" t="b">
        <v>0</v>
      </c>
      <c r="E14" s="11">
        <v>18</v>
      </c>
    </row>
    <row r="15" spans="1:5" x14ac:dyDescent="0.35">
      <c r="A15" s="17" t="s">
        <v>695</v>
      </c>
      <c r="B15" s="2" t="s">
        <v>694</v>
      </c>
      <c r="C15" s="9">
        <v>45608</v>
      </c>
      <c r="D15" s="2" t="b">
        <v>0</v>
      </c>
      <c r="E15" s="29">
        <v>26.9</v>
      </c>
    </row>
    <row r="16" spans="1:5" ht="15" thickBot="1" x14ac:dyDescent="0.4">
      <c r="A16" s="27" t="s">
        <v>696</v>
      </c>
      <c r="B16" s="7" t="s">
        <v>694</v>
      </c>
      <c r="C16" s="6">
        <v>45608</v>
      </c>
      <c r="D16" s="7" t="b">
        <v>0</v>
      </c>
      <c r="E16" s="26">
        <v>0.5</v>
      </c>
    </row>
    <row r="17" spans="1:5" s="40" customFormat="1" x14ac:dyDescent="0.35">
      <c r="A17" s="3" t="s">
        <v>964</v>
      </c>
      <c r="C17" s="41"/>
      <c r="E17" s="4">
        <f>SUM(E14:E16)</f>
        <v>45.4</v>
      </c>
    </row>
    <row r="18" spans="1:5" s="40" customFormat="1" ht="15" thickBot="1" x14ac:dyDescent="0.4">
      <c r="C18" s="41"/>
      <c r="E18" s="4"/>
    </row>
    <row r="19" spans="1:5" ht="15" thickBot="1" x14ac:dyDescent="0.4">
      <c r="A19" s="31" t="s">
        <v>697</v>
      </c>
      <c r="B19" s="23" t="s">
        <v>10</v>
      </c>
      <c r="C19" s="16">
        <v>45597</v>
      </c>
      <c r="D19" s="23" t="b">
        <v>0</v>
      </c>
      <c r="E19" s="28">
        <v>21.6</v>
      </c>
    </row>
    <row r="20" spans="1:5" s="40" customFormat="1" x14ac:dyDescent="0.35">
      <c r="A20" s="3" t="s">
        <v>964</v>
      </c>
      <c r="C20" s="41"/>
      <c r="E20" s="4">
        <f>SUM(E19)</f>
        <v>21.6</v>
      </c>
    </row>
    <row r="21" spans="1:5" s="40" customFormat="1" ht="15" thickBot="1" x14ac:dyDescent="0.4">
      <c r="C21" s="41"/>
      <c r="E21" s="4"/>
    </row>
    <row r="22" spans="1:5" ht="15" thickBot="1" x14ac:dyDescent="0.4">
      <c r="A22" s="31" t="s">
        <v>698</v>
      </c>
      <c r="B22" s="23" t="s">
        <v>17</v>
      </c>
      <c r="C22" s="16">
        <v>45608</v>
      </c>
      <c r="D22" s="23" t="b">
        <v>0</v>
      </c>
      <c r="E22" s="28">
        <v>0.5</v>
      </c>
    </row>
    <row r="23" spans="1:5" s="40" customFormat="1" x14ac:dyDescent="0.35">
      <c r="A23" s="3" t="s">
        <v>964</v>
      </c>
      <c r="C23" s="41"/>
      <c r="E23" s="4">
        <f>SUM(E22)</f>
        <v>0.5</v>
      </c>
    </row>
    <row r="24" spans="1:5" s="40" customFormat="1" ht="15" thickBot="1" x14ac:dyDescent="0.4">
      <c r="C24" s="41"/>
      <c r="E24" s="4"/>
    </row>
    <row r="25" spans="1:5" x14ac:dyDescent="0.35">
      <c r="A25" s="22" t="s">
        <v>699</v>
      </c>
      <c r="B25" s="21" t="s">
        <v>51</v>
      </c>
      <c r="C25" s="18">
        <v>45623</v>
      </c>
      <c r="D25" s="21" t="b">
        <v>0</v>
      </c>
      <c r="E25" s="11">
        <v>35.19</v>
      </c>
    </row>
    <row r="26" spans="1:5" x14ac:dyDescent="0.35">
      <c r="A26" s="17" t="s">
        <v>700</v>
      </c>
      <c r="B26" s="2" t="s">
        <v>51</v>
      </c>
      <c r="C26" s="9">
        <v>45616</v>
      </c>
      <c r="D26" s="2" t="b">
        <v>0</v>
      </c>
      <c r="E26" s="29">
        <v>16.22</v>
      </c>
    </row>
    <row r="27" spans="1:5" x14ac:dyDescent="0.35">
      <c r="A27" s="17" t="s">
        <v>701</v>
      </c>
      <c r="B27" s="2" t="s">
        <v>51</v>
      </c>
      <c r="C27" s="9">
        <v>45609</v>
      </c>
      <c r="D27" s="2" t="b">
        <v>0</v>
      </c>
      <c r="E27" s="29">
        <v>0.5</v>
      </c>
    </row>
    <row r="28" spans="1:5" x14ac:dyDescent="0.35">
      <c r="A28" s="17" t="s">
        <v>702</v>
      </c>
      <c r="B28" s="2" t="s">
        <v>51</v>
      </c>
      <c r="C28" s="9">
        <v>45608</v>
      </c>
      <c r="D28" s="2" t="b">
        <v>0</v>
      </c>
      <c r="E28" s="29">
        <v>0.5</v>
      </c>
    </row>
    <row r="29" spans="1:5" ht="15" thickBot="1" x14ac:dyDescent="0.4">
      <c r="A29" s="27" t="s">
        <v>703</v>
      </c>
      <c r="B29" s="7" t="s">
        <v>51</v>
      </c>
      <c r="C29" s="6">
        <v>45607</v>
      </c>
      <c r="D29" s="7" t="b">
        <v>0</v>
      </c>
      <c r="E29" s="26">
        <v>0.5</v>
      </c>
    </row>
    <row r="30" spans="1:5" s="40" customFormat="1" x14ac:dyDescent="0.35">
      <c r="A30" s="48" t="s">
        <v>964</v>
      </c>
      <c r="C30" s="41"/>
      <c r="E30" s="4">
        <f>SUM(E25:E29)</f>
        <v>52.91</v>
      </c>
    </row>
    <row r="31" spans="1:5" s="40" customFormat="1" ht="15" thickBot="1" x14ac:dyDescent="0.4">
      <c r="C31" s="41"/>
      <c r="E31" s="4"/>
    </row>
    <row r="32" spans="1:5" x14ac:dyDescent="0.35">
      <c r="A32" s="22" t="s">
        <v>704</v>
      </c>
      <c r="B32" s="21" t="s">
        <v>21</v>
      </c>
      <c r="C32" s="18">
        <v>45620</v>
      </c>
      <c r="D32" s="21" t="b">
        <v>0</v>
      </c>
      <c r="E32" s="11">
        <v>25.7</v>
      </c>
    </row>
    <row r="33" spans="1:5" x14ac:dyDescent="0.35">
      <c r="A33" s="17" t="s">
        <v>705</v>
      </c>
      <c r="B33" s="2" t="s">
        <v>21</v>
      </c>
      <c r="C33" s="9">
        <v>45620</v>
      </c>
      <c r="D33" s="2" t="b">
        <v>0</v>
      </c>
      <c r="E33" s="29">
        <v>25.19</v>
      </c>
    </row>
    <row r="34" spans="1:5" x14ac:dyDescent="0.35">
      <c r="A34" s="17" t="s">
        <v>706</v>
      </c>
      <c r="B34" s="2" t="s">
        <v>21</v>
      </c>
      <c r="C34" s="9">
        <v>45619</v>
      </c>
      <c r="D34" s="2" t="b">
        <v>0</v>
      </c>
      <c r="E34" s="29">
        <v>54.14</v>
      </c>
    </row>
    <row r="35" spans="1:5" x14ac:dyDescent="0.35">
      <c r="A35" s="17" t="s">
        <v>707</v>
      </c>
      <c r="B35" s="2" t="s">
        <v>21</v>
      </c>
      <c r="C35" s="9">
        <v>45618</v>
      </c>
      <c r="D35" s="2" t="b">
        <v>0</v>
      </c>
      <c r="E35" s="29">
        <v>0.5</v>
      </c>
    </row>
    <row r="36" spans="1:5" x14ac:dyDescent="0.35">
      <c r="A36" s="17" t="s">
        <v>708</v>
      </c>
      <c r="B36" s="2" t="s">
        <v>21</v>
      </c>
      <c r="C36" s="9">
        <v>45614</v>
      </c>
      <c r="D36" s="2" t="b">
        <v>0</v>
      </c>
      <c r="E36" s="29">
        <v>27.95</v>
      </c>
    </row>
    <row r="37" spans="1:5" x14ac:dyDescent="0.35">
      <c r="A37" s="17" t="s">
        <v>709</v>
      </c>
      <c r="B37" s="2" t="s">
        <v>21</v>
      </c>
      <c r="C37" s="9">
        <v>45614</v>
      </c>
      <c r="D37" s="2" t="b">
        <v>0</v>
      </c>
      <c r="E37" s="29">
        <v>0.5</v>
      </c>
    </row>
    <row r="38" spans="1:5" x14ac:dyDescent="0.35">
      <c r="A38" s="17" t="s">
        <v>710</v>
      </c>
      <c r="B38" s="2" t="s">
        <v>21</v>
      </c>
      <c r="C38" s="9">
        <v>45614</v>
      </c>
      <c r="D38" s="2" t="b">
        <v>0</v>
      </c>
      <c r="E38" s="29">
        <v>0.5</v>
      </c>
    </row>
    <row r="39" spans="1:5" x14ac:dyDescent="0.35">
      <c r="A39" s="17" t="s">
        <v>711</v>
      </c>
      <c r="B39" s="2" t="s">
        <v>21</v>
      </c>
      <c r="C39" s="9">
        <v>45614</v>
      </c>
      <c r="D39" s="2" t="b">
        <v>0</v>
      </c>
      <c r="E39" s="29">
        <v>0.5</v>
      </c>
    </row>
    <row r="40" spans="1:5" x14ac:dyDescent="0.35">
      <c r="A40" s="17" t="s">
        <v>712</v>
      </c>
      <c r="B40" s="2" t="s">
        <v>21</v>
      </c>
      <c r="C40" s="9">
        <v>45614</v>
      </c>
      <c r="D40" s="2" t="b">
        <v>0</v>
      </c>
      <c r="E40" s="29">
        <v>0.5</v>
      </c>
    </row>
    <row r="41" spans="1:5" x14ac:dyDescent="0.35">
      <c r="A41" s="17" t="s">
        <v>713</v>
      </c>
      <c r="B41" s="2" t="s">
        <v>21</v>
      </c>
      <c r="C41" s="9">
        <v>45614</v>
      </c>
      <c r="D41" s="2" t="b">
        <v>0</v>
      </c>
      <c r="E41" s="29">
        <v>0.5</v>
      </c>
    </row>
    <row r="42" spans="1:5" x14ac:dyDescent="0.35">
      <c r="A42" s="17" t="s">
        <v>714</v>
      </c>
      <c r="B42" s="2" t="s">
        <v>21</v>
      </c>
      <c r="C42" s="9">
        <v>45614</v>
      </c>
      <c r="D42" s="2" t="b">
        <v>0</v>
      </c>
      <c r="E42" s="29">
        <v>0.5</v>
      </c>
    </row>
    <row r="43" spans="1:5" x14ac:dyDescent="0.35">
      <c r="A43" s="17" t="s">
        <v>715</v>
      </c>
      <c r="B43" s="2" t="s">
        <v>21</v>
      </c>
      <c r="C43" s="9">
        <v>45613</v>
      </c>
      <c r="D43" s="2" t="b">
        <v>0</v>
      </c>
      <c r="E43" s="29">
        <v>0.5</v>
      </c>
    </row>
    <row r="44" spans="1:5" x14ac:dyDescent="0.35">
      <c r="A44" s="17" t="s">
        <v>716</v>
      </c>
      <c r="B44" s="2" t="s">
        <v>21</v>
      </c>
      <c r="C44" s="9">
        <v>45613</v>
      </c>
      <c r="D44" s="2" t="b">
        <v>0</v>
      </c>
      <c r="E44" s="29">
        <v>0.5</v>
      </c>
    </row>
    <row r="45" spans="1:5" x14ac:dyDescent="0.35">
      <c r="A45" s="17" t="s">
        <v>717</v>
      </c>
      <c r="B45" s="2" t="s">
        <v>21</v>
      </c>
      <c r="C45" s="9">
        <v>45613</v>
      </c>
      <c r="D45" s="2" t="b">
        <v>0</v>
      </c>
      <c r="E45" s="29">
        <v>0.5</v>
      </c>
    </row>
    <row r="46" spans="1:5" x14ac:dyDescent="0.35">
      <c r="A46" s="17" t="s">
        <v>718</v>
      </c>
      <c r="B46" s="2" t="s">
        <v>21</v>
      </c>
      <c r="C46" s="9">
        <v>45610</v>
      </c>
      <c r="D46" s="2" t="b">
        <v>0</v>
      </c>
      <c r="E46" s="29">
        <v>0.5</v>
      </c>
    </row>
    <row r="47" spans="1:5" x14ac:dyDescent="0.35">
      <c r="A47" s="17" t="s">
        <v>719</v>
      </c>
      <c r="B47" s="2" t="s">
        <v>21</v>
      </c>
      <c r="C47" s="9">
        <v>45610</v>
      </c>
      <c r="D47" s="2" t="b">
        <v>0</v>
      </c>
      <c r="E47" s="29">
        <v>0.5</v>
      </c>
    </row>
    <row r="48" spans="1:5" x14ac:dyDescent="0.35">
      <c r="A48" s="17" t="s">
        <v>720</v>
      </c>
      <c r="B48" s="2" t="s">
        <v>21</v>
      </c>
      <c r="C48" s="9">
        <v>45610</v>
      </c>
      <c r="D48" s="2" t="b">
        <v>0</v>
      </c>
      <c r="E48" s="29">
        <v>8.32</v>
      </c>
    </row>
    <row r="49" spans="1:5" x14ac:dyDescent="0.35">
      <c r="A49" s="17" t="s">
        <v>721</v>
      </c>
      <c r="B49" s="2" t="s">
        <v>21</v>
      </c>
      <c r="C49" s="9">
        <v>45610</v>
      </c>
      <c r="D49" s="2" t="b">
        <v>0</v>
      </c>
      <c r="E49" s="29">
        <v>27.15</v>
      </c>
    </row>
    <row r="50" spans="1:5" x14ac:dyDescent="0.35">
      <c r="A50" s="17" t="s">
        <v>722</v>
      </c>
      <c r="B50" s="2" t="s">
        <v>21</v>
      </c>
      <c r="C50" s="9">
        <v>45608</v>
      </c>
      <c r="D50" s="2" t="b">
        <v>0</v>
      </c>
      <c r="E50" s="29">
        <v>0.5</v>
      </c>
    </row>
    <row r="51" spans="1:5" x14ac:dyDescent="0.35">
      <c r="A51" s="17" t="s">
        <v>723</v>
      </c>
      <c r="B51" s="2" t="s">
        <v>21</v>
      </c>
      <c r="C51" s="9">
        <v>45600</v>
      </c>
      <c r="D51" s="2" t="b">
        <v>0</v>
      </c>
      <c r="E51" s="29">
        <v>13.58</v>
      </c>
    </row>
    <row r="52" spans="1:5" ht="15" thickBot="1" x14ac:dyDescent="0.4">
      <c r="A52" s="27" t="s">
        <v>724</v>
      </c>
      <c r="B52" s="7" t="s">
        <v>21</v>
      </c>
      <c r="C52" s="6">
        <v>45598</v>
      </c>
      <c r="D52" s="7" t="b">
        <v>0</v>
      </c>
      <c r="E52" s="26">
        <v>48.78</v>
      </c>
    </row>
    <row r="53" spans="1:5" s="40" customFormat="1" x14ac:dyDescent="0.35">
      <c r="A53" s="48" t="s">
        <v>964</v>
      </c>
      <c r="C53" s="41"/>
      <c r="E53" s="4">
        <f>SUM(E32:E52)</f>
        <v>237.31</v>
      </c>
    </row>
    <row r="54" spans="1:5" s="40" customFormat="1" ht="15" thickBot="1" x14ac:dyDescent="0.4">
      <c r="C54" s="41"/>
      <c r="E54" s="4"/>
    </row>
    <row r="55" spans="1:5" x14ac:dyDescent="0.35">
      <c r="A55" s="22" t="s">
        <v>725</v>
      </c>
      <c r="B55" s="21" t="s">
        <v>28</v>
      </c>
      <c r="C55" s="18">
        <v>45621</v>
      </c>
      <c r="D55" s="21" t="b">
        <v>0</v>
      </c>
      <c r="E55" s="11">
        <v>36.479999999999997</v>
      </c>
    </row>
    <row r="56" spans="1:5" x14ac:dyDescent="0.35">
      <c r="A56" s="17" t="s">
        <v>726</v>
      </c>
      <c r="B56" s="2" t="s">
        <v>28</v>
      </c>
      <c r="C56" s="9">
        <v>45620</v>
      </c>
      <c r="D56" s="2" t="b">
        <v>0</v>
      </c>
      <c r="E56" s="29">
        <v>20.5</v>
      </c>
    </row>
    <row r="57" spans="1:5" x14ac:dyDescent="0.35">
      <c r="A57" s="17" t="s">
        <v>727</v>
      </c>
      <c r="B57" s="2" t="s">
        <v>28</v>
      </c>
      <c r="C57" s="9">
        <v>45618</v>
      </c>
      <c r="D57" s="2" t="b">
        <v>0</v>
      </c>
      <c r="E57" s="29">
        <v>16.2</v>
      </c>
    </row>
    <row r="58" spans="1:5" x14ac:dyDescent="0.35">
      <c r="A58" s="17" t="s">
        <v>728</v>
      </c>
      <c r="B58" s="2" t="s">
        <v>28</v>
      </c>
      <c r="C58" s="9">
        <v>45618</v>
      </c>
      <c r="D58" s="2" t="b">
        <v>0</v>
      </c>
      <c r="E58" s="29">
        <v>0.5</v>
      </c>
    </row>
    <row r="59" spans="1:5" x14ac:dyDescent="0.35">
      <c r="A59" s="17" t="s">
        <v>729</v>
      </c>
      <c r="B59" s="2" t="s">
        <v>28</v>
      </c>
      <c r="C59" s="9">
        <v>45617</v>
      </c>
      <c r="D59" s="2" t="b">
        <v>0</v>
      </c>
      <c r="E59" s="29">
        <v>4.91</v>
      </c>
    </row>
    <row r="60" spans="1:5" x14ac:dyDescent="0.35">
      <c r="A60" s="17" t="s">
        <v>730</v>
      </c>
      <c r="B60" s="2" t="s">
        <v>28</v>
      </c>
      <c r="C60" s="9">
        <v>45617</v>
      </c>
      <c r="D60" s="2" t="b">
        <v>0</v>
      </c>
      <c r="E60" s="29">
        <v>18</v>
      </c>
    </row>
    <row r="61" spans="1:5" x14ac:dyDescent="0.35">
      <c r="A61" s="17" t="s">
        <v>731</v>
      </c>
      <c r="B61" s="2" t="s">
        <v>28</v>
      </c>
      <c r="C61" s="9">
        <v>45617</v>
      </c>
      <c r="D61" s="2" t="b">
        <v>0</v>
      </c>
      <c r="E61" s="29">
        <v>10.8</v>
      </c>
    </row>
    <row r="62" spans="1:5" x14ac:dyDescent="0.35">
      <c r="A62" s="17" t="s">
        <v>732</v>
      </c>
      <c r="B62" s="2" t="s">
        <v>28</v>
      </c>
      <c r="C62" s="9">
        <v>45611</v>
      </c>
      <c r="D62" s="2" t="b">
        <v>0</v>
      </c>
      <c r="E62" s="29">
        <v>15.6</v>
      </c>
    </row>
    <row r="63" spans="1:5" x14ac:dyDescent="0.35">
      <c r="A63" s="17" t="s">
        <v>733</v>
      </c>
      <c r="B63" s="2" t="s">
        <v>28</v>
      </c>
      <c r="C63" s="9">
        <v>45608</v>
      </c>
      <c r="D63" s="2" t="b">
        <v>0</v>
      </c>
      <c r="E63" s="29">
        <v>0.5</v>
      </c>
    </row>
    <row r="64" spans="1:5" x14ac:dyDescent="0.35">
      <c r="A64" s="17" t="s">
        <v>734</v>
      </c>
      <c r="B64" s="2" t="s">
        <v>28</v>
      </c>
      <c r="C64" s="9">
        <v>45606</v>
      </c>
      <c r="D64" s="2" t="b">
        <v>0</v>
      </c>
      <c r="E64" s="29">
        <v>18.899999999999999</v>
      </c>
    </row>
    <row r="65" spans="1:5" x14ac:dyDescent="0.35">
      <c r="A65" s="17" t="s">
        <v>735</v>
      </c>
      <c r="B65" s="2" t="s">
        <v>28</v>
      </c>
      <c r="C65" s="9">
        <v>45604</v>
      </c>
      <c r="D65" s="2" t="b">
        <v>0</v>
      </c>
      <c r="E65" s="29">
        <v>32</v>
      </c>
    </row>
    <row r="66" spans="1:5" ht="15" thickBot="1" x14ac:dyDescent="0.4">
      <c r="A66" s="27" t="s">
        <v>736</v>
      </c>
      <c r="B66" s="7" t="s">
        <v>28</v>
      </c>
      <c r="C66" s="6">
        <v>45602</v>
      </c>
      <c r="D66" s="7" t="b">
        <v>0</v>
      </c>
      <c r="E66" s="26">
        <v>12.57</v>
      </c>
    </row>
    <row r="67" spans="1:5" s="40" customFormat="1" x14ac:dyDescent="0.35">
      <c r="A67" s="48" t="s">
        <v>964</v>
      </c>
      <c r="C67" s="41"/>
      <c r="E67" s="4">
        <f>SUM(E55:E66)</f>
        <v>186.95999999999998</v>
      </c>
    </row>
    <row r="68" spans="1:5" s="40" customFormat="1" ht="15" thickBot="1" x14ac:dyDescent="0.4">
      <c r="C68" s="41"/>
      <c r="E68" s="4"/>
    </row>
    <row r="69" spans="1:5" x14ac:dyDescent="0.35">
      <c r="A69" s="22" t="s">
        <v>737</v>
      </c>
      <c r="B69" s="21" t="s">
        <v>32</v>
      </c>
      <c r="C69" s="18">
        <v>45621</v>
      </c>
      <c r="D69" s="21" t="b">
        <v>0</v>
      </c>
      <c r="E69" s="11">
        <v>16.3</v>
      </c>
    </row>
    <row r="70" spans="1:5" x14ac:dyDescent="0.35">
      <c r="A70" s="17" t="s">
        <v>738</v>
      </c>
      <c r="B70" s="2" t="s">
        <v>32</v>
      </c>
      <c r="C70" s="9">
        <v>45619</v>
      </c>
      <c r="D70" s="2" t="b">
        <v>0</v>
      </c>
      <c r="E70" s="29">
        <v>16.3</v>
      </c>
    </row>
    <row r="71" spans="1:5" x14ac:dyDescent="0.35">
      <c r="A71" s="17" t="s">
        <v>739</v>
      </c>
      <c r="B71" s="2" t="s">
        <v>32</v>
      </c>
      <c r="C71" s="9">
        <v>45619</v>
      </c>
      <c r="D71" s="2" t="b">
        <v>0</v>
      </c>
      <c r="E71" s="29">
        <v>20.9</v>
      </c>
    </row>
    <row r="72" spans="1:5" x14ac:dyDescent="0.35">
      <c r="A72" s="17" t="s">
        <v>740</v>
      </c>
      <c r="B72" s="2" t="s">
        <v>32</v>
      </c>
      <c r="C72" s="9">
        <v>45618</v>
      </c>
      <c r="D72" s="2" t="b">
        <v>0</v>
      </c>
      <c r="E72" s="29">
        <v>26.15</v>
      </c>
    </row>
    <row r="73" spans="1:5" x14ac:dyDescent="0.35">
      <c r="A73" s="17" t="s">
        <v>741</v>
      </c>
      <c r="B73" s="2" t="s">
        <v>32</v>
      </c>
      <c r="C73" s="9">
        <v>45618</v>
      </c>
      <c r="D73" s="2" t="b">
        <v>0</v>
      </c>
      <c r="E73" s="29">
        <v>0.5</v>
      </c>
    </row>
    <row r="74" spans="1:5" x14ac:dyDescent="0.35">
      <c r="A74" s="17" t="s">
        <v>742</v>
      </c>
      <c r="B74" s="2" t="s">
        <v>32</v>
      </c>
      <c r="C74" s="9">
        <v>45618</v>
      </c>
      <c r="D74" s="2" t="b">
        <v>0</v>
      </c>
      <c r="E74" s="29">
        <v>19.260000000000002</v>
      </c>
    </row>
    <row r="75" spans="1:5" x14ac:dyDescent="0.35">
      <c r="A75" s="17" t="s">
        <v>743</v>
      </c>
      <c r="B75" s="2" t="s">
        <v>32</v>
      </c>
      <c r="C75" s="9">
        <v>45617</v>
      </c>
      <c r="D75" s="2" t="b">
        <v>0</v>
      </c>
      <c r="E75" s="29">
        <v>32.49</v>
      </c>
    </row>
    <row r="76" spans="1:5" x14ac:dyDescent="0.35">
      <c r="A76" s="17" t="s">
        <v>744</v>
      </c>
      <c r="B76" s="2" t="s">
        <v>32</v>
      </c>
      <c r="C76" s="9">
        <v>45616</v>
      </c>
      <c r="D76" s="2" t="b">
        <v>0</v>
      </c>
      <c r="E76" s="29">
        <v>29.6</v>
      </c>
    </row>
    <row r="77" spans="1:5" x14ac:dyDescent="0.35">
      <c r="A77" s="47" t="s">
        <v>745</v>
      </c>
      <c r="B77" s="2" t="s">
        <v>32</v>
      </c>
      <c r="C77" s="9">
        <v>45616</v>
      </c>
      <c r="D77" s="2" t="b">
        <v>0</v>
      </c>
      <c r="E77" s="29">
        <v>87.62</v>
      </c>
    </row>
    <row r="78" spans="1:5" x14ac:dyDescent="0.35">
      <c r="A78" s="17" t="s">
        <v>746</v>
      </c>
      <c r="B78" s="2" t="s">
        <v>32</v>
      </c>
      <c r="C78" s="9">
        <v>45616</v>
      </c>
      <c r="D78" s="2" t="b">
        <v>0</v>
      </c>
      <c r="E78" s="29">
        <v>23.9</v>
      </c>
    </row>
    <row r="79" spans="1:5" x14ac:dyDescent="0.35">
      <c r="A79" s="17" t="s">
        <v>747</v>
      </c>
      <c r="B79" s="2" t="s">
        <v>32</v>
      </c>
      <c r="C79" s="9">
        <v>45616</v>
      </c>
      <c r="D79" s="2" t="b">
        <v>0</v>
      </c>
      <c r="E79" s="29">
        <v>14.05</v>
      </c>
    </row>
    <row r="80" spans="1:5" x14ac:dyDescent="0.35">
      <c r="A80" s="17" t="s">
        <v>748</v>
      </c>
      <c r="B80" s="2" t="s">
        <v>32</v>
      </c>
      <c r="C80" s="9">
        <v>45615</v>
      </c>
      <c r="D80" s="2" t="b">
        <v>0</v>
      </c>
      <c r="E80" s="29">
        <v>8.15</v>
      </c>
    </row>
    <row r="81" spans="1:5" x14ac:dyDescent="0.35">
      <c r="A81" s="17" t="s">
        <v>749</v>
      </c>
      <c r="B81" s="2" t="s">
        <v>32</v>
      </c>
      <c r="C81" s="9">
        <v>45613</v>
      </c>
      <c r="D81" s="2" t="b">
        <v>0</v>
      </c>
      <c r="E81" s="29">
        <v>18.100000000000001</v>
      </c>
    </row>
    <row r="82" spans="1:5" x14ac:dyDescent="0.35">
      <c r="A82" s="17" t="s">
        <v>750</v>
      </c>
      <c r="B82" s="2" t="s">
        <v>32</v>
      </c>
      <c r="C82" s="9">
        <v>45611</v>
      </c>
      <c r="D82" s="2" t="b">
        <v>0</v>
      </c>
      <c r="E82" s="29">
        <v>0.5</v>
      </c>
    </row>
    <row r="83" spans="1:5" x14ac:dyDescent="0.35">
      <c r="A83" s="17" t="s">
        <v>751</v>
      </c>
      <c r="B83" s="2" t="s">
        <v>32</v>
      </c>
      <c r="C83" s="9">
        <v>45611</v>
      </c>
      <c r="D83" s="2" t="b">
        <v>0</v>
      </c>
      <c r="E83" s="29">
        <v>26.3</v>
      </c>
    </row>
    <row r="84" spans="1:5" x14ac:dyDescent="0.35">
      <c r="A84" s="17" t="s">
        <v>752</v>
      </c>
      <c r="B84" s="2" t="s">
        <v>32</v>
      </c>
      <c r="C84" s="9">
        <v>45608</v>
      </c>
      <c r="D84" s="2" t="b">
        <v>0</v>
      </c>
      <c r="E84" s="29">
        <v>0.5</v>
      </c>
    </row>
    <row r="85" spans="1:5" x14ac:dyDescent="0.35">
      <c r="A85" s="17" t="s">
        <v>753</v>
      </c>
      <c r="B85" s="2" t="s">
        <v>32</v>
      </c>
      <c r="C85" s="9">
        <v>45602</v>
      </c>
      <c r="D85" s="2" t="b">
        <v>0</v>
      </c>
      <c r="E85" s="29">
        <v>23</v>
      </c>
    </row>
    <row r="86" spans="1:5" x14ac:dyDescent="0.35">
      <c r="A86" s="17" t="s">
        <v>754</v>
      </c>
      <c r="B86" s="2" t="s">
        <v>32</v>
      </c>
      <c r="C86" s="9">
        <v>45599</v>
      </c>
      <c r="D86" s="2" t="b">
        <v>0</v>
      </c>
      <c r="E86" s="29">
        <v>25.3</v>
      </c>
    </row>
    <row r="87" spans="1:5" x14ac:dyDescent="0.35">
      <c r="A87" s="17" t="s">
        <v>755</v>
      </c>
      <c r="B87" s="2" t="s">
        <v>32</v>
      </c>
      <c r="C87" s="9">
        <v>45599</v>
      </c>
      <c r="D87" s="2" t="b">
        <v>0</v>
      </c>
      <c r="E87" s="29">
        <v>16.3</v>
      </c>
    </row>
    <row r="88" spans="1:5" x14ac:dyDescent="0.35">
      <c r="A88" s="17" t="s">
        <v>756</v>
      </c>
      <c r="B88" s="2" t="s">
        <v>32</v>
      </c>
      <c r="C88" s="9">
        <v>45599</v>
      </c>
      <c r="D88" s="2" t="b">
        <v>0</v>
      </c>
      <c r="E88" s="29">
        <v>32.6</v>
      </c>
    </row>
    <row r="89" spans="1:5" x14ac:dyDescent="0.35">
      <c r="A89" s="17" t="s">
        <v>757</v>
      </c>
      <c r="B89" s="2" t="s">
        <v>32</v>
      </c>
      <c r="C89" s="9">
        <v>45597</v>
      </c>
      <c r="D89" s="2" t="b">
        <v>0</v>
      </c>
      <c r="E89" s="29">
        <v>56.4</v>
      </c>
    </row>
    <row r="90" spans="1:5" ht="15" thickBot="1" x14ac:dyDescent="0.4">
      <c r="A90" s="27" t="s">
        <v>758</v>
      </c>
      <c r="B90" s="7" t="s">
        <v>32</v>
      </c>
      <c r="C90" s="6">
        <v>45597</v>
      </c>
      <c r="D90" s="7" t="b">
        <v>0</v>
      </c>
      <c r="E90" s="26">
        <v>16.3</v>
      </c>
    </row>
    <row r="91" spans="1:5" s="40" customFormat="1" x14ac:dyDescent="0.35">
      <c r="A91" s="48" t="s">
        <v>964</v>
      </c>
      <c r="C91" s="41"/>
      <c r="E91" s="4">
        <f>SUM(E69:E90)</f>
        <v>510.52000000000004</v>
      </c>
    </row>
    <row r="92" spans="1:5" s="40" customFormat="1" ht="15" thickBot="1" x14ac:dyDescent="0.4">
      <c r="C92" s="41"/>
      <c r="E92" s="4"/>
    </row>
    <row r="93" spans="1:5" x14ac:dyDescent="0.35">
      <c r="A93" s="22" t="s">
        <v>759</v>
      </c>
      <c r="B93" s="21" t="s">
        <v>43</v>
      </c>
      <c r="C93" s="18">
        <v>45625</v>
      </c>
      <c r="D93" s="21" t="b">
        <v>0</v>
      </c>
      <c r="E93" s="11">
        <v>52.88</v>
      </c>
    </row>
    <row r="94" spans="1:5" x14ac:dyDescent="0.35">
      <c r="A94" s="17" t="s">
        <v>760</v>
      </c>
      <c r="B94" s="2" t="s">
        <v>43</v>
      </c>
      <c r="C94" s="9">
        <v>45615</v>
      </c>
      <c r="D94" s="2" t="b">
        <v>0</v>
      </c>
      <c r="E94" s="29">
        <v>19.600000000000001</v>
      </c>
    </row>
    <row r="95" spans="1:5" x14ac:dyDescent="0.35">
      <c r="A95" s="17" t="s">
        <v>761</v>
      </c>
      <c r="B95" s="2" t="s">
        <v>43</v>
      </c>
      <c r="C95" s="9">
        <v>45612</v>
      </c>
      <c r="D95" s="2" t="b">
        <v>0</v>
      </c>
      <c r="E95" s="29">
        <v>54.34</v>
      </c>
    </row>
    <row r="96" spans="1:5" x14ac:dyDescent="0.35">
      <c r="A96" s="17" t="s">
        <v>762</v>
      </c>
      <c r="B96" s="2" t="s">
        <v>43</v>
      </c>
      <c r="C96" s="9">
        <v>45611</v>
      </c>
      <c r="D96" s="2" t="b">
        <v>0</v>
      </c>
      <c r="E96" s="29">
        <v>25.68</v>
      </c>
    </row>
    <row r="97" spans="1:5" x14ac:dyDescent="0.35">
      <c r="A97" s="17" t="s">
        <v>763</v>
      </c>
      <c r="B97" s="2" t="s">
        <v>43</v>
      </c>
      <c r="C97" s="9">
        <v>45608</v>
      </c>
      <c r="D97" s="2" t="b">
        <v>0</v>
      </c>
      <c r="E97" s="29">
        <v>0.5</v>
      </c>
    </row>
    <row r="98" spans="1:5" x14ac:dyDescent="0.35">
      <c r="A98" s="17" t="s">
        <v>764</v>
      </c>
      <c r="B98" s="2" t="s">
        <v>43</v>
      </c>
      <c r="C98" s="9">
        <v>45606</v>
      </c>
      <c r="D98" s="2" t="b">
        <v>0</v>
      </c>
      <c r="E98" s="29">
        <v>17.5</v>
      </c>
    </row>
    <row r="99" spans="1:5" x14ac:dyDescent="0.35">
      <c r="A99" s="17" t="s">
        <v>765</v>
      </c>
      <c r="B99" s="2" t="s">
        <v>43</v>
      </c>
      <c r="C99" s="9">
        <v>45606</v>
      </c>
      <c r="D99" s="2" t="b">
        <v>0</v>
      </c>
      <c r="E99" s="29">
        <v>28.32</v>
      </c>
    </row>
    <row r="100" spans="1:5" x14ac:dyDescent="0.35">
      <c r="A100" s="17" t="s">
        <v>766</v>
      </c>
      <c r="B100" s="2" t="s">
        <v>43</v>
      </c>
      <c r="C100" s="9">
        <v>45605</v>
      </c>
      <c r="D100" s="2" t="b">
        <v>0</v>
      </c>
      <c r="E100" s="29">
        <v>18.850000000000001</v>
      </c>
    </row>
    <row r="101" spans="1:5" x14ac:dyDescent="0.35">
      <c r="A101" s="17" t="s">
        <v>767</v>
      </c>
      <c r="B101" s="2" t="s">
        <v>43</v>
      </c>
      <c r="C101" s="9">
        <v>45603</v>
      </c>
      <c r="D101" s="2" t="b">
        <v>0</v>
      </c>
      <c r="E101" s="29">
        <v>14.29</v>
      </c>
    </row>
    <row r="102" spans="1:5" ht="15" thickBot="1" x14ac:dyDescent="0.4">
      <c r="A102" s="27" t="s">
        <v>768</v>
      </c>
      <c r="B102" s="7" t="s">
        <v>43</v>
      </c>
      <c r="C102" s="6">
        <v>45600</v>
      </c>
      <c r="D102" s="7" t="b">
        <v>0</v>
      </c>
      <c r="E102" s="26">
        <v>16.579999999999998</v>
      </c>
    </row>
    <row r="103" spans="1:5" s="40" customFormat="1" x14ac:dyDescent="0.35">
      <c r="A103" s="48" t="s">
        <v>964</v>
      </c>
      <c r="C103" s="41"/>
      <c r="E103" s="4">
        <f>SUM(E93:E102)</f>
        <v>248.53999999999996</v>
      </c>
    </row>
    <row r="104" spans="1:5" s="40" customFormat="1" ht="15" thickBot="1" x14ac:dyDescent="0.4">
      <c r="C104" s="41"/>
      <c r="E104" s="4"/>
    </row>
    <row r="105" spans="1:5" x14ac:dyDescent="0.35">
      <c r="A105" s="22" t="s">
        <v>769</v>
      </c>
      <c r="B105" s="21" t="s">
        <v>144</v>
      </c>
      <c r="C105" s="18">
        <v>45621</v>
      </c>
      <c r="D105" s="21" t="b">
        <v>0</v>
      </c>
      <c r="E105" s="11">
        <v>0.5</v>
      </c>
    </row>
    <row r="106" spans="1:5" x14ac:dyDescent="0.35">
      <c r="A106" s="17" t="s">
        <v>770</v>
      </c>
      <c r="B106" s="2" t="s">
        <v>144</v>
      </c>
      <c r="C106" s="9">
        <v>45612</v>
      </c>
      <c r="D106" s="2" t="b">
        <v>0</v>
      </c>
      <c r="E106" s="29">
        <v>93.21</v>
      </c>
    </row>
    <row r="107" spans="1:5" x14ac:dyDescent="0.35">
      <c r="A107" s="17" t="s">
        <v>771</v>
      </c>
      <c r="B107" s="2" t="s">
        <v>144</v>
      </c>
      <c r="C107" s="9">
        <v>45608</v>
      </c>
      <c r="D107" s="2" t="b">
        <v>0</v>
      </c>
      <c r="E107" s="29">
        <v>0.5</v>
      </c>
    </row>
    <row r="108" spans="1:5" x14ac:dyDescent="0.35">
      <c r="A108" s="17" t="s">
        <v>772</v>
      </c>
      <c r="B108" s="2" t="s">
        <v>144</v>
      </c>
      <c r="C108" s="9">
        <v>45608</v>
      </c>
      <c r="D108" s="2" t="b">
        <v>0</v>
      </c>
      <c r="E108" s="29">
        <v>0.5</v>
      </c>
    </row>
    <row r="109" spans="1:5" ht="15" thickBot="1" x14ac:dyDescent="0.4">
      <c r="A109" s="27" t="s">
        <v>773</v>
      </c>
      <c r="B109" s="7" t="s">
        <v>144</v>
      </c>
      <c r="C109" s="6">
        <v>45606</v>
      </c>
      <c r="D109" s="7" t="b">
        <v>0</v>
      </c>
      <c r="E109" s="26">
        <v>23.99</v>
      </c>
    </row>
    <row r="110" spans="1:5" s="40" customFormat="1" x14ac:dyDescent="0.35">
      <c r="A110" s="48" t="s">
        <v>964</v>
      </c>
      <c r="C110" s="41"/>
      <c r="E110" s="4">
        <f>SUM(E105:E109)</f>
        <v>118.69999999999999</v>
      </c>
    </row>
    <row r="111" spans="1:5" s="40" customFormat="1" ht="15" thickBot="1" x14ac:dyDescent="0.4">
      <c r="C111" s="41"/>
      <c r="E111" s="4"/>
    </row>
    <row r="112" spans="1:5" x14ac:dyDescent="0.35">
      <c r="A112" s="22" t="s">
        <v>774</v>
      </c>
      <c r="B112" s="21" t="s">
        <v>104</v>
      </c>
      <c r="C112" s="18">
        <v>45621</v>
      </c>
      <c r="D112" s="21" t="b">
        <v>0</v>
      </c>
      <c r="E112" s="11">
        <v>0.5</v>
      </c>
    </row>
    <row r="113" spans="1:5" x14ac:dyDescent="0.35">
      <c r="A113" s="17" t="s">
        <v>775</v>
      </c>
      <c r="B113" s="2" t="s">
        <v>104</v>
      </c>
      <c r="C113" s="9">
        <v>45608</v>
      </c>
      <c r="D113" s="2" t="b">
        <v>0</v>
      </c>
      <c r="E113" s="29">
        <v>0.5</v>
      </c>
    </row>
    <row r="114" spans="1:5" ht="15" thickBot="1" x14ac:dyDescent="0.4">
      <c r="A114" s="27" t="s">
        <v>776</v>
      </c>
      <c r="B114" s="7" t="s">
        <v>104</v>
      </c>
      <c r="C114" s="6">
        <v>45599</v>
      </c>
      <c r="D114" s="7" t="b">
        <v>0</v>
      </c>
      <c r="E114" s="26">
        <v>13.26</v>
      </c>
    </row>
    <row r="115" spans="1:5" s="40" customFormat="1" x14ac:dyDescent="0.35">
      <c r="A115" s="3" t="s">
        <v>964</v>
      </c>
      <c r="C115" s="41"/>
      <c r="E115" s="4">
        <f>SUM(E112:E114)</f>
        <v>14.26</v>
      </c>
    </row>
    <row r="116" spans="1:5" s="40" customFormat="1" ht="15" thickBot="1" x14ac:dyDescent="0.4">
      <c r="C116" s="41"/>
      <c r="E116" s="4"/>
    </row>
    <row r="117" spans="1:5" x14ac:dyDescent="0.35">
      <c r="A117" s="22" t="s">
        <v>777</v>
      </c>
      <c r="B117" s="21" t="s">
        <v>393</v>
      </c>
      <c r="C117" s="18">
        <v>45618</v>
      </c>
      <c r="D117" s="21" t="b">
        <v>0</v>
      </c>
      <c r="E117" s="11">
        <v>32.19</v>
      </c>
    </row>
    <row r="118" spans="1:5" x14ac:dyDescent="0.35">
      <c r="A118" s="17" t="s">
        <v>778</v>
      </c>
      <c r="B118" s="2" t="s">
        <v>393</v>
      </c>
      <c r="C118" s="9">
        <v>45616</v>
      </c>
      <c r="D118" s="2" t="b">
        <v>0</v>
      </c>
      <c r="E118" s="29">
        <v>58.8</v>
      </c>
    </row>
    <row r="119" spans="1:5" x14ac:dyDescent="0.35">
      <c r="A119" s="17" t="s">
        <v>779</v>
      </c>
      <c r="B119" s="2" t="s">
        <v>393</v>
      </c>
      <c r="C119" s="9">
        <v>45615</v>
      </c>
      <c r="D119" s="2" t="b">
        <v>0</v>
      </c>
      <c r="E119" s="29">
        <v>0.5</v>
      </c>
    </row>
    <row r="120" spans="1:5" x14ac:dyDescent="0.35">
      <c r="A120" s="17" t="s">
        <v>780</v>
      </c>
      <c r="B120" s="2" t="s">
        <v>393</v>
      </c>
      <c r="C120" s="9">
        <v>45611</v>
      </c>
      <c r="D120" s="2" t="b">
        <v>0</v>
      </c>
      <c r="E120" s="29">
        <v>0.5</v>
      </c>
    </row>
    <row r="121" spans="1:5" x14ac:dyDescent="0.35">
      <c r="A121" s="17" t="s">
        <v>781</v>
      </c>
      <c r="B121" s="2" t="s">
        <v>393</v>
      </c>
      <c r="C121" s="9">
        <v>45609</v>
      </c>
      <c r="D121" s="2" t="b">
        <v>0</v>
      </c>
      <c r="E121" s="29">
        <v>0.5</v>
      </c>
    </row>
    <row r="122" spans="1:5" x14ac:dyDescent="0.35">
      <c r="A122" s="17" t="s">
        <v>782</v>
      </c>
      <c r="B122" s="2" t="s">
        <v>393</v>
      </c>
      <c r="C122" s="9">
        <v>45608</v>
      </c>
      <c r="D122" s="2" t="b">
        <v>0</v>
      </c>
      <c r="E122" s="29">
        <v>0.5</v>
      </c>
    </row>
    <row r="123" spans="1:5" ht="15" thickBot="1" x14ac:dyDescent="0.4">
      <c r="A123" s="27" t="s">
        <v>783</v>
      </c>
      <c r="B123" s="7" t="s">
        <v>393</v>
      </c>
      <c r="C123" s="6">
        <v>45604</v>
      </c>
      <c r="D123" s="7" t="b">
        <v>0</v>
      </c>
      <c r="E123" s="26">
        <v>34.4</v>
      </c>
    </row>
    <row r="124" spans="1:5" s="40" customFormat="1" x14ac:dyDescent="0.35">
      <c r="A124" s="48" t="s">
        <v>964</v>
      </c>
      <c r="C124" s="41"/>
      <c r="E124" s="4">
        <f>SUM(E117:E123)</f>
        <v>127.38999999999999</v>
      </c>
    </row>
    <row r="125" spans="1:5" s="40" customFormat="1" ht="15" thickBot="1" x14ac:dyDescent="0.4">
      <c r="C125" s="41"/>
      <c r="E125" s="4"/>
    </row>
    <row r="126" spans="1:5" ht="15" customHeight="1" x14ac:dyDescent="0.35">
      <c r="A126" s="22" t="s">
        <v>784</v>
      </c>
      <c r="B126" s="21" t="s">
        <v>508</v>
      </c>
      <c r="C126" s="18">
        <v>45625</v>
      </c>
      <c r="D126" s="21" t="b">
        <v>0</v>
      </c>
      <c r="E126" s="11">
        <v>6.23</v>
      </c>
    </row>
    <row r="127" spans="1:5" x14ac:dyDescent="0.35">
      <c r="A127" s="17" t="s">
        <v>785</v>
      </c>
      <c r="B127" s="2" t="s">
        <v>508</v>
      </c>
      <c r="C127" s="9">
        <v>45624</v>
      </c>
      <c r="D127" s="2" t="b">
        <v>0</v>
      </c>
      <c r="E127" s="29">
        <v>41.88</v>
      </c>
    </row>
    <row r="128" spans="1:5" x14ac:dyDescent="0.35">
      <c r="A128" s="17" t="s">
        <v>786</v>
      </c>
      <c r="B128" s="2" t="s">
        <v>508</v>
      </c>
      <c r="C128" s="9">
        <v>45624</v>
      </c>
      <c r="D128" s="2" t="b">
        <v>0</v>
      </c>
      <c r="E128" s="29">
        <v>31.83</v>
      </c>
    </row>
    <row r="129" spans="1:5" x14ac:dyDescent="0.35">
      <c r="A129" s="17" t="s">
        <v>787</v>
      </c>
      <c r="B129" s="2" t="s">
        <v>508</v>
      </c>
      <c r="C129" s="9">
        <v>45622</v>
      </c>
      <c r="D129" s="2" t="b">
        <v>0</v>
      </c>
      <c r="E129" s="29">
        <v>15.59</v>
      </c>
    </row>
    <row r="130" spans="1:5" x14ac:dyDescent="0.35">
      <c r="A130" s="17" t="s">
        <v>788</v>
      </c>
      <c r="B130" s="2" t="s">
        <v>508</v>
      </c>
      <c r="C130" s="9">
        <v>45621</v>
      </c>
      <c r="D130" s="2" t="b">
        <v>0</v>
      </c>
      <c r="E130" s="29">
        <v>15.59</v>
      </c>
    </row>
    <row r="131" spans="1:5" x14ac:dyDescent="0.35">
      <c r="A131" s="17" t="s">
        <v>789</v>
      </c>
      <c r="B131" s="2" t="s">
        <v>508</v>
      </c>
      <c r="C131" s="9">
        <v>45621</v>
      </c>
      <c r="D131" s="2" t="b">
        <v>0</v>
      </c>
      <c r="E131" s="29">
        <v>0.5</v>
      </c>
    </row>
    <row r="132" spans="1:5" x14ac:dyDescent="0.35">
      <c r="A132" s="17" t="s">
        <v>790</v>
      </c>
      <c r="B132" s="2" t="s">
        <v>508</v>
      </c>
      <c r="C132" s="9">
        <v>45619</v>
      </c>
      <c r="D132" s="2" t="b">
        <v>0</v>
      </c>
      <c r="E132" s="29">
        <v>18.54</v>
      </c>
    </row>
    <row r="133" spans="1:5" x14ac:dyDescent="0.35">
      <c r="A133" s="17" t="s">
        <v>791</v>
      </c>
      <c r="B133" s="2" t="s">
        <v>508</v>
      </c>
      <c r="C133" s="9">
        <v>45619</v>
      </c>
      <c r="D133" s="2" t="b">
        <v>0</v>
      </c>
      <c r="E133" s="29">
        <v>14.58</v>
      </c>
    </row>
    <row r="134" spans="1:5" x14ac:dyDescent="0.35">
      <c r="A134" s="17" t="s">
        <v>792</v>
      </c>
      <c r="B134" s="2" t="s">
        <v>508</v>
      </c>
      <c r="C134" s="9">
        <v>45619</v>
      </c>
      <c r="D134" s="2" t="b">
        <v>0</v>
      </c>
      <c r="E134" s="29">
        <v>17.75</v>
      </c>
    </row>
    <row r="135" spans="1:5" x14ac:dyDescent="0.35">
      <c r="A135" s="17" t="s">
        <v>793</v>
      </c>
      <c r="B135" s="2" t="s">
        <v>508</v>
      </c>
      <c r="C135" s="9">
        <v>45618</v>
      </c>
      <c r="D135" s="2" t="b">
        <v>0</v>
      </c>
      <c r="E135" s="29">
        <v>21.17</v>
      </c>
    </row>
    <row r="136" spans="1:5" x14ac:dyDescent="0.35">
      <c r="A136" s="17" t="s">
        <v>794</v>
      </c>
      <c r="B136" s="2" t="s">
        <v>508</v>
      </c>
      <c r="C136" s="9">
        <v>45618</v>
      </c>
      <c r="D136" s="2" t="b">
        <v>0</v>
      </c>
      <c r="E136" s="29">
        <v>31.78</v>
      </c>
    </row>
    <row r="137" spans="1:5" x14ac:dyDescent="0.35">
      <c r="A137" s="17" t="s">
        <v>795</v>
      </c>
      <c r="B137" s="2" t="s">
        <v>508</v>
      </c>
      <c r="C137" s="9">
        <v>45614</v>
      </c>
      <c r="D137" s="2" t="b">
        <v>0</v>
      </c>
      <c r="E137" s="29">
        <v>16.04</v>
      </c>
    </row>
    <row r="138" spans="1:5" x14ac:dyDescent="0.35">
      <c r="A138" s="17" t="s">
        <v>796</v>
      </c>
      <c r="B138" s="2" t="s">
        <v>508</v>
      </c>
      <c r="C138" s="9">
        <v>45614</v>
      </c>
      <c r="D138" s="2" t="b">
        <v>0</v>
      </c>
      <c r="E138" s="29">
        <v>25.39</v>
      </c>
    </row>
    <row r="139" spans="1:5" x14ac:dyDescent="0.35">
      <c r="A139" s="17" t="s">
        <v>797</v>
      </c>
      <c r="B139" s="2" t="s">
        <v>508</v>
      </c>
      <c r="C139" s="9">
        <v>45613</v>
      </c>
      <c r="D139" s="2" t="b">
        <v>0</v>
      </c>
      <c r="E139" s="29">
        <v>12.99</v>
      </c>
    </row>
    <row r="140" spans="1:5" x14ac:dyDescent="0.35">
      <c r="A140" s="17" t="s">
        <v>798</v>
      </c>
      <c r="B140" s="2" t="s">
        <v>508</v>
      </c>
      <c r="C140" s="9">
        <v>45612</v>
      </c>
      <c r="D140" s="2" t="b">
        <v>0</v>
      </c>
      <c r="E140" s="29">
        <v>44.82</v>
      </c>
    </row>
    <row r="141" spans="1:5" x14ac:dyDescent="0.35">
      <c r="A141" s="17" t="s">
        <v>799</v>
      </c>
      <c r="B141" s="2" t="s">
        <v>508</v>
      </c>
      <c r="C141" s="9">
        <v>45611</v>
      </c>
      <c r="D141" s="2" t="b">
        <v>0</v>
      </c>
      <c r="E141" s="29">
        <v>18.2</v>
      </c>
    </row>
    <row r="142" spans="1:5" x14ac:dyDescent="0.35">
      <c r="A142" s="17" t="s">
        <v>800</v>
      </c>
      <c r="B142" s="2" t="s">
        <v>508</v>
      </c>
      <c r="C142" s="9">
        <v>45610</v>
      </c>
      <c r="D142" s="2" t="b">
        <v>0</v>
      </c>
      <c r="E142" s="29">
        <v>39.369999999999997</v>
      </c>
    </row>
    <row r="143" spans="1:5" x14ac:dyDescent="0.35">
      <c r="A143" s="17" t="s">
        <v>801</v>
      </c>
      <c r="B143" s="2" t="s">
        <v>508</v>
      </c>
      <c r="C143" s="9">
        <v>45609</v>
      </c>
      <c r="D143" s="2" t="b">
        <v>0</v>
      </c>
      <c r="E143" s="29">
        <v>18.2</v>
      </c>
    </row>
    <row r="144" spans="1:5" x14ac:dyDescent="0.35">
      <c r="A144" s="17" t="s">
        <v>802</v>
      </c>
      <c r="B144" s="2" t="s">
        <v>508</v>
      </c>
      <c r="C144" s="9">
        <v>45609</v>
      </c>
      <c r="D144" s="2" t="b">
        <v>0</v>
      </c>
      <c r="E144" s="29">
        <v>18.2</v>
      </c>
    </row>
    <row r="145" spans="1:5" x14ac:dyDescent="0.35">
      <c r="A145" s="17" t="s">
        <v>803</v>
      </c>
      <c r="B145" s="2" t="s">
        <v>508</v>
      </c>
      <c r="C145" s="9">
        <v>45609</v>
      </c>
      <c r="D145" s="2" t="b">
        <v>0</v>
      </c>
      <c r="E145" s="29">
        <v>24.39</v>
      </c>
    </row>
    <row r="146" spans="1:5" x14ac:dyDescent="0.35">
      <c r="A146" s="17" t="s">
        <v>804</v>
      </c>
      <c r="B146" s="2" t="s">
        <v>508</v>
      </c>
      <c r="C146" s="9">
        <v>45609</v>
      </c>
      <c r="D146" s="2" t="b">
        <v>0</v>
      </c>
      <c r="E146" s="29">
        <v>11.25</v>
      </c>
    </row>
    <row r="147" spans="1:5" x14ac:dyDescent="0.35">
      <c r="A147" s="17" t="s">
        <v>805</v>
      </c>
      <c r="B147" s="2" t="s">
        <v>508</v>
      </c>
      <c r="C147" s="9">
        <v>45608</v>
      </c>
      <c r="D147" s="2" t="b">
        <v>0</v>
      </c>
      <c r="E147" s="29">
        <v>0.5</v>
      </c>
    </row>
    <row r="148" spans="1:5" x14ac:dyDescent="0.35">
      <c r="A148" s="17" t="s">
        <v>806</v>
      </c>
      <c r="B148" s="2" t="s">
        <v>508</v>
      </c>
      <c r="C148" s="9">
        <v>45605</v>
      </c>
      <c r="D148" s="2" t="b">
        <v>0</v>
      </c>
      <c r="E148" s="29">
        <v>21.76</v>
      </c>
    </row>
    <row r="149" spans="1:5" x14ac:dyDescent="0.35">
      <c r="A149" s="17" t="s">
        <v>807</v>
      </c>
      <c r="B149" s="2" t="s">
        <v>508</v>
      </c>
      <c r="C149" s="9">
        <v>45604</v>
      </c>
      <c r="D149" s="2" t="b">
        <v>0</v>
      </c>
      <c r="E149" s="29">
        <v>39.369999999999997</v>
      </c>
    </row>
    <row r="150" spans="1:5" x14ac:dyDescent="0.35">
      <c r="A150" s="17" t="s">
        <v>808</v>
      </c>
      <c r="B150" s="2" t="s">
        <v>508</v>
      </c>
      <c r="C150" s="9">
        <v>45604</v>
      </c>
      <c r="D150" s="2" t="b">
        <v>0</v>
      </c>
      <c r="E150" s="29">
        <v>32.06</v>
      </c>
    </row>
    <row r="151" spans="1:5" x14ac:dyDescent="0.35">
      <c r="A151" s="17" t="s">
        <v>809</v>
      </c>
      <c r="B151" s="2" t="s">
        <v>508</v>
      </c>
      <c r="C151" s="9">
        <v>45602</v>
      </c>
      <c r="D151" s="2" t="b">
        <v>0</v>
      </c>
      <c r="E151" s="29">
        <v>43.04</v>
      </c>
    </row>
    <row r="152" spans="1:5" x14ac:dyDescent="0.35">
      <c r="A152" s="17" t="s">
        <v>810</v>
      </c>
      <c r="B152" s="2" t="s">
        <v>508</v>
      </c>
      <c r="C152" s="9">
        <v>45601</v>
      </c>
      <c r="D152" s="2" t="b">
        <v>0</v>
      </c>
      <c r="E152" s="29">
        <v>15.59</v>
      </c>
    </row>
    <row r="153" spans="1:5" x14ac:dyDescent="0.35">
      <c r="A153" s="17" t="s">
        <v>811</v>
      </c>
      <c r="B153" s="2" t="s">
        <v>508</v>
      </c>
      <c r="C153" s="9">
        <v>45601</v>
      </c>
      <c r="D153" s="2" t="b">
        <v>0</v>
      </c>
      <c r="E153" s="29">
        <v>25.24</v>
      </c>
    </row>
    <row r="154" spans="1:5" x14ac:dyDescent="0.35">
      <c r="A154" s="17" t="s">
        <v>812</v>
      </c>
      <c r="B154" s="2" t="s">
        <v>508</v>
      </c>
      <c r="C154" s="9">
        <v>45599</v>
      </c>
      <c r="D154" s="2" t="b">
        <v>0</v>
      </c>
      <c r="E154" s="29">
        <v>15.59</v>
      </c>
    </row>
    <row r="155" spans="1:5" x14ac:dyDescent="0.35">
      <c r="A155" s="17" t="s">
        <v>813</v>
      </c>
      <c r="B155" s="2" t="s">
        <v>508</v>
      </c>
      <c r="C155" s="9">
        <v>45598</v>
      </c>
      <c r="D155" s="2" t="b">
        <v>0</v>
      </c>
      <c r="E155" s="29">
        <v>25.29</v>
      </c>
    </row>
    <row r="156" spans="1:5" x14ac:dyDescent="0.35">
      <c r="A156" s="17" t="s">
        <v>814</v>
      </c>
      <c r="B156" s="2" t="s">
        <v>508</v>
      </c>
      <c r="C156" s="9">
        <v>45597</v>
      </c>
      <c r="D156" s="2" t="b">
        <v>0</v>
      </c>
      <c r="E156" s="29">
        <v>45.73</v>
      </c>
    </row>
    <row r="157" spans="1:5" x14ac:dyDescent="0.35">
      <c r="A157" s="17" t="s">
        <v>815</v>
      </c>
      <c r="B157" s="2" t="s">
        <v>508</v>
      </c>
      <c r="C157" s="9">
        <v>45597</v>
      </c>
      <c r="D157" s="2" t="b">
        <v>0</v>
      </c>
      <c r="E157" s="29">
        <v>31.18</v>
      </c>
    </row>
    <row r="158" spans="1:5" ht="15" thickBot="1" x14ac:dyDescent="0.4">
      <c r="A158" s="27" t="s">
        <v>816</v>
      </c>
      <c r="B158" s="7" t="s">
        <v>508</v>
      </c>
      <c r="C158" s="6">
        <v>45597</v>
      </c>
      <c r="D158" s="7" t="b">
        <v>0</v>
      </c>
      <c r="E158" s="26">
        <v>20.79</v>
      </c>
    </row>
    <row r="159" spans="1:5" s="40" customFormat="1" x14ac:dyDescent="0.35">
      <c r="A159" s="48" t="s">
        <v>964</v>
      </c>
      <c r="C159" s="41"/>
      <c r="E159" s="4">
        <f>SUM(E126:E158)</f>
        <v>760.43</v>
      </c>
    </row>
    <row r="160" spans="1:5" s="40" customFormat="1" ht="15" thickBot="1" x14ac:dyDescent="0.4">
      <c r="C160" s="41"/>
      <c r="E160" s="4"/>
    </row>
    <row r="161" spans="1:5" x14ac:dyDescent="0.35">
      <c r="A161" s="22" t="s">
        <v>817</v>
      </c>
      <c r="B161" s="21" t="s">
        <v>535</v>
      </c>
      <c r="C161" s="18">
        <v>45612</v>
      </c>
      <c r="D161" s="21" t="b">
        <v>0</v>
      </c>
      <c r="E161" s="11">
        <v>31.81</v>
      </c>
    </row>
    <row r="162" spans="1:5" x14ac:dyDescent="0.35">
      <c r="A162" s="17" t="s">
        <v>818</v>
      </c>
      <c r="B162" s="2" t="s">
        <v>535</v>
      </c>
      <c r="C162" s="9">
        <v>45611</v>
      </c>
      <c r="D162" s="2" t="b">
        <v>0</v>
      </c>
      <c r="E162" s="29">
        <v>0.5</v>
      </c>
    </row>
    <row r="163" spans="1:5" x14ac:dyDescent="0.35">
      <c r="A163" s="17" t="s">
        <v>819</v>
      </c>
      <c r="B163" s="2" t="s">
        <v>535</v>
      </c>
      <c r="C163" s="9">
        <v>45609</v>
      </c>
      <c r="D163" s="2" t="b">
        <v>0</v>
      </c>
      <c r="E163" s="29">
        <v>0.5</v>
      </c>
    </row>
    <row r="164" spans="1:5" x14ac:dyDescent="0.35">
      <c r="A164" s="17" t="s">
        <v>820</v>
      </c>
      <c r="B164" s="2" t="s">
        <v>535</v>
      </c>
      <c r="C164" s="9">
        <v>45608</v>
      </c>
      <c r="D164" s="2" t="b">
        <v>0</v>
      </c>
      <c r="E164" s="29">
        <v>0.5</v>
      </c>
    </row>
    <row r="165" spans="1:5" ht="15" thickBot="1" x14ac:dyDescent="0.4">
      <c r="A165" s="20" t="s">
        <v>821</v>
      </c>
      <c r="B165" s="7" t="s">
        <v>535</v>
      </c>
      <c r="C165" s="6">
        <v>45607</v>
      </c>
      <c r="D165" s="7" t="b">
        <v>0</v>
      </c>
      <c r="E165" s="26">
        <v>0.5</v>
      </c>
    </row>
    <row r="166" spans="1:5" x14ac:dyDescent="0.35">
      <c r="A166" s="48" t="s">
        <v>964</v>
      </c>
      <c r="E166" s="1">
        <f>SUM(E161:E165)</f>
        <v>33.81</v>
      </c>
    </row>
    <row r="170" spans="1:5" x14ac:dyDescent="0.35">
      <c r="A170" t="s">
        <v>972</v>
      </c>
      <c r="E170" s="1">
        <f>SUM(E166,E159,E124,E115,E110,E103,E91,E67,E53,E30,E23,E20,E17,E12)</f>
        <v>2397.67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75"/>
  <sheetViews>
    <sheetView topLeftCell="A143" zoomScale="70" zoomScaleNormal="70" workbookViewId="0">
      <selection activeCell="E175" sqref="E175"/>
    </sheetView>
  </sheetViews>
  <sheetFormatPr defaultRowHeight="14.5" x14ac:dyDescent="0.35"/>
  <cols>
    <col min="1" max="1" width="29.7265625" customWidth="1"/>
    <col min="2" max="2" width="36" customWidth="1"/>
    <col min="3" max="3" width="14.54296875" customWidth="1"/>
    <col min="5" max="5" width="10.08984375" bestFit="1" customWidth="1"/>
  </cols>
  <sheetData>
    <row r="6" spans="1:5" ht="15" thickBot="1" x14ac:dyDescent="0.4"/>
    <row r="7" spans="1:5" ht="15" thickBot="1" x14ac:dyDescent="0.4">
      <c r="A7" s="50" t="s">
        <v>0</v>
      </c>
      <c r="B7" s="51" t="s">
        <v>1</v>
      </c>
      <c r="C7" s="51" t="s">
        <v>2</v>
      </c>
      <c r="D7" s="51" t="s">
        <v>5</v>
      </c>
      <c r="E7" s="52" t="s">
        <v>6</v>
      </c>
    </row>
    <row r="8" spans="1:5" x14ac:dyDescent="0.35">
      <c r="A8" s="22" t="s">
        <v>822</v>
      </c>
      <c r="B8" s="21" t="s">
        <v>823</v>
      </c>
      <c r="C8" s="18">
        <v>45649</v>
      </c>
      <c r="D8" s="21" t="b">
        <v>0</v>
      </c>
      <c r="E8" s="11">
        <v>0.25</v>
      </c>
    </row>
    <row r="9" spans="1:5" x14ac:dyDescent="0.35">
      <c r="A9" s="17" t="s">
        <v>824</v>
      </c>
      <c r="B9" s="2" t="s">
        <v>823</v>
      </c>
      <c r="C9" s="9">
        <v>45648</v>
      </c>
      <c r="D9" s="2" t="b">
        <v>0</v>
      </c>
      <c r="E9" s="29">
        <v>0.5</v>
      </c>
    </row>
    <row r="10" spans="1:5" x14ac:dyDescent="0.35">
      <c r="A10" s="17" t="s">
        <v>825</v>
      </c>
      <c r="B10" s="2" t="s">
        <v>823</v>
      </c>
      <c r="C10" s="9">
        <v>45648</v>
      </c>
      <c r="D10" s="2" t="b">
        <v>0</v>
      </c>
      <c r="E10" s="29">
        <v>0.5</v>
      </c>
    </row>
    <row r="11" spans="1:5" x14ac:dyDescent="0.35">
      <c r="A11" s="17" t="s">
        <v>826</v>
      </c>
      <c r="B11" s="2" t="s">
        <v>823</v>
      </c>
      <c r="C11" s="9">
        <v>45648</v>
      </c>
      <c r="D11" s="2" t="b">
        <v>0</v>
      </c>
      <c r="E11" s="29">
        <v>0.5</v>
      </c>
    </row>
    <row r="12" spans="1:5" x14ac:dyDescent="0.35">
      <c r="A12" s="17" t="s">
        <v>827</v>
      </c>
      <c r="B12" s="2" t="s">
        <v>823</v>
      </c>
      <c r="C12" s="9">
        <v>45648</v>
      </c>
      <c r="D12" s="2" t="b">
        <v>0</v>
      </c>
      <c r="E12" s="29">
        <v>0.5</v>
      </c>
    </row>
    <row r="13" spans="1:5" x14ac:dyDescent="0.35">
      <c r="A13" s="17" t="s">
        <v>828</v>
      </c>
      <c r="B13" s="2" t="s">
        <v>823</v>
      </c>
      <c r="C13" s="9">
        <v>45648</v>
      </c>
      <c r="D13" s="2" t="b">
        <v>0</v>
      </c>
      <c r="E13" s="29">
        <v>0.5</v>
      </c>
    </row>
    <row r="14" spans="1:5" x14ac:dyDescent="0.35">
      <c r="A14" s="17" t="s">
        <v>829</v>
      </c>
      <c r="B14" s="2" t="s">
        <v>823</v>
      </c>
      <c r="C14" s="9">
        <v>45648</v>
      </c>
      <c r="D14" s="2" t="b">
        <v>0</v>
      </c>
      <c r="E14" s="29">
        <v>0.5</v>
      </c>
    </row>
    <row r="15" spans="1:5" ht="15" thickBot="1" x14ac:dyDescent="0.4">
      <c r="A15" s="27" t="s">
        <v>830</v>
      </c>
      <c r="B15" s="7" t="s">
        <v>823</v>
      </c>
      <c r="C15" s="6">
        <v>45648</v>
      </c>
      <c r="D15" s="7" t="b">
        <v>0</v>
      </c>
      <c r="E15" s="26">
        <v>0.5</v>
      </c>
    </row>
    <row r="16" spans="1:5" s="40" customFormat="1" x14ac:dyDescent="0.35">
      <c r="A16" s="48" t="s">
        <v>964</v>
      </c>
      <c r="C16" s="41"/>
      <c r="E16" s="4">
        <f>SUM(E8:E15)</f>
        <v>3.75</v>
      </c>
    </row>
    <row r="17" spans="1:5" s="40" customFormat="1" ht="15" thickBot="1" x14ac:dyDescent="0.4">
      <c r="C17" s="41"/>
      <c r="E17" s="4"/>
    </row>
    <row r="18" spans="1:5" x14ac:dyDescent="0.35">
      <c r="A18" s="22" t="s">
        <v>831</v>
      </c>
      <c r="B18" s="21" t="s">
        <v>832</v>
      </c>
      <c r="C18" s="18">
        <v>45648</v>
      </c>
      <c r="D18" s="21" t="b">
        <v>0</v>
      </c>
      <c r="E18" s="11">
        <v>0.5</v>
      </c>
    </row>
    <row r="19" spans="1:5" ht="15" thickBot="1" x14ac:dyDescent="0.4">
      <c r="A19" s="27" t="s">
        <v>833</v>
      </c>
      <c r="B19" s="7" t="s">
        <v>832</v>
      </c>
      <c r="C19" s="6">
        <v>45641</v>
      </c>
      <c r="D19" s="7" t="b">
        <v>0</v>
      </c>
      <c r="E19" s="26">
        <v>17.399999999999999</v>
      </c>
    </row>
    <row r="20" spans="1:5" s="40" customFormat="1" x14ac:dyDescent="0.35">
      <c r="A20" s="3" t="s">
        <v>964</v>
      </c>
      <c r="C20" s="41"/>
      <c r="E20" s="4">
        <f>SUM(E18:E19)</f>
        <v>17.899999999999999</v>
      </c>
    </row>
    <row r="21" spans="1:5" s="40" customFormat="1" ht="15" thickBot="1" x14ac:dyDescent="0.4">
      <c r="C21" s="41"/>
      <c r="E21" s="4"/>
    </row>
    <row r="22" spans="1:5" x14ac:dyDescent="0.35">
      <c r="A22" s="22" t="s">
        <v>834</v>
      </c>
      <c r="B22" s="21" t="s">
        <v>17</v>
      </c>
      <c r="C22" s="18">
        <v>45648</v>
      </c>
      <c r="D22" s="21" t="b">
        <v>0</v>
      </c>
      <c r="E22" s="11">
        <v>0.5</v>
      </c>
    </row>
    <row r="23" spans="1:5" x14ac:dyDescent="0.35">
      <c r="A23" s="17" t="s">
        <v>835</v>
      </c>
      <c r="B23" s="2" t="s">
        <v>17</v>
      </c>
      <c r="C23" s="9">
        <v>45648</v>
      </c>
      <c r="D23" s="2" t="b">
        <v>0</v>
      </c>
      <c r="E23" s="29">
        <v>0.5</v>
      </c>
    </row>
    <row r="24" spans="1:5" x14ac:dyDescent="0.35">
      <c r="A24" s="17" t="s">
        <v>836</v>
      </c>
      <c r="B24" s="2" t="s">
        <v>17</v>
      </c>
      <c r="C24" s="9">
        <v>45648</v>
      </c>
      <c r="D24" s="2" t="b">
        <v>0</v>
      </c>
      <c r="E24" s="29">
        <v>0.5</v>
      </c>
    </row>
    <row r="25" spans="1:5" x14ac:dyDescent="0.35">
      <c r="A25" s="17" t="s">
        <v>837</v>
      </c>
      <c r="B25" s="2" t="s">
        <v>17</v>
      </c>
      <c r="C25" s="9">
        <v>45648</v>
      </c>
      <c r="D25" s="2" t="b">
        <v>0</v>
      </c>
      <c r="E25" s="29">
        <v>0.5</v>
      </c>
    </row>
    <row r="26" spans="1:5" x14ac:dyDescent="0.35">
      <c r="A26" s="17" t="s">
        <v>838</v>
      </c>
      <c r="B26" s="2" t="s">
        <v>17</v>
      </c>
      <c r="C26" s="9">
        <v>45648</v>
      </c>
      <c r="D26" s="2" t="b">
        <v>0</v>
      </c>
      <c r="E26" s="29">
        <v>0.5</v>
      </c>
    </row>
    <row r="27" spans="1:5" ht="15" thickBot="1" x14ac:dyDescent="0.4">
      <c r="A27" s="27" t="s">
        <v>839</v>
      </c>
      <c r="B27" s="7" t="s">
        <v>17</v>
      </c>
      <c r="C27" s="6">
        <v>45648</v>
      </c>
      <c r="D27" s="7" t="b">
        <v>0</v>
      </c>
      <c r="E27" s="26">
        <v>0.5</v>
      </c>
    </row>
    <row r="28" spans="1:5" s="40" customFormat="1" x14ac:dyDescent="0.35">
      <c r="A28" s="48" t="s">
        <v>964</v>
      </c>
      <c r="C28" s="41"/>
      <c r="E28" s="4">
        <f>SUM(E22:E27)</f>
        <v>3</v>
      </c>
    </row>
    <row r="29" spans="1:5" s="40" customFormat="1" ht="15" thickBot="1" x14ac:dyDescent="0.4">
      <c r="C29" s="41"/>
      <c r="E29" s="4"/>
    </row>
    <row r="30" spans="1:5" x14ac:dyDescent="0.35">
      <c r="A30" s="22" t="s">
        <v>840</v>
      </c>
      <c r="B30" s="21" t="s">
        <v>51</v>
      </c>
      <c r="C30" s="18">
        <v>45648</v>
      </c>
      <c r="D30" s="21" t="b">
        <v>0</v>
      </c>
      <c r="E30" s="11">
        <v>0.5</v>
      </c>
    </row>
    <row r="31" spans="1:5" x14ac:dyDescent="0.35">
      <c r="A31" s="17" t="s">
        <v>841</v>
      </c>
      <c r="B31" s="2" t="s">
        <v>51</v>
      </c>
      <c r="C31" s="9">
        <v>45648</v>
      </c>
      <c r="D31" s="2" t="b">
        <v>0</v>
      </c>
      <c r="E31" s="29">
        <v>0.5</v>
      </c>
    </row>
    <row r="32" spans="1:5" x14ac:dyDescent="0.35">
      <c r="A32" s="17" t="s">
        <v>842</v>
      </c>
      <c r="B32" s="2" t="s">
        <v>51</v>
      </c>
      <c r="C32" s="9">
        <v>45648</v>
      </c>
      <c r="D32" s="2" t="b">
        <v>0</v>
      </c>
      <c r="E32" s="29">
        <v>0.5</v>
      </c>
    </row>
    <row r="33" spans="1:5" x14ac:dyDescent="0.35">
      <c r="A33" s="17" t="s">
        <v>843</v>
      </c>
      <c r="B33" s="2" t="s">
        <v>51</v>
      </c>
      <c r="C33" s="9">
        <v>45648</v>
      </c>
      <c r="D33" s="2" t="b">
        <v>0</v>
      </c>
      <c r="E33" s="29">
        <v>0.5</v>
      </c>
    </row>
    <row r="34" spans="1:5" x14ac:dyDescent="0.35">
      <c r="A34" s="17" t="s">
        <v>844</v>
      </c>
      <c r="B34" s="2" t="s">
        <v>51</v>
      </c>
      <c r="C34" s="9">
        <v>45648</v>
      </c>
      <c r="D34" s="2" t="b">
        <v>0</v>
      </c>
      <c r="E34" s="29">
        <v>0.5</v>
      </c>
    </row>
    <row r="35" spans="1:5" x14ac:dyDescent="0.35">
      <c r="A35" s="17" t="s">
        <v>845</v>
      </c>
      <c r="B35" s="2" t="s">
        <v>51</v>
      </c>
      <c r="C35" s="9">
        <v>45644</v>
      </c>
      <c r="D35" s="2" t="b">
        <v>0</v>
      </c>
      <c r="E35" s="29">
        <v>12.26</v>
      </c>
    </row>
    <row r="36" spans="1:5" ht="15" thickBot="1" x14ac:dyDescent="0.4">
      <c r="A36" s="27" t="s">
        <v>846</v>
      </c>
      <c r="B36" s="7" t="s">
        <v>51</v>
      </c>
      <c r="C36" s="6">
        <v>45640</v>
      </c>
      <c r="D36" s="7" t="b">
        <v>0</v>
      </c>
      <c r="E36" s="26">
        <v>41.18</v>
      </c>
    </row>
    <row r="37" spans="1:5" s="40" customFormat="1" x14ac:dyDescent="0.35">
      <c r="A37" s="48" t="s">
        <v>964</v>
      </c>
      <c r="C37" s="41"/>
      <c r="E37" s="4">
        <f>SUM(E30:E36)</f>
        <v>55.94</v>
      </c>
    </row>
    <row r="38" spans="1:5" s="40" customFormat="1" ht="15" thickBot="1" x14ac:dyDescent="0.4">
      <c r="C38" s="41"/>
      <c r="E38" s="4"/>
    </row>
    <row r="39" spans="1:5" x14ac:dyDescent="0.35">
      <c r="A39" s="22" t="s">
        <v>847</v>
      </c>
      <c r="B39" s="21" t="s">
        <v>21</v>
      </c>
      <c r="C39" s="18">
        <v>45656</v>
      </c>
      <c r="D39" s="21" t="b">
        <v>0</v>
      </c>
      <c r="E39" s="11">
        <v>37.99</v>
      </c>
    </row>
    <row r="40" spans="1:5" x14ac:dyDescent="0.35">
      <c r="A40" s="17" t="s">
        <v>848</v>
      </c>
      <c r="B40" s="2" t="s">
        <v>21</v>
      </c>
      <c r="C40" s="9">
        <v>45655</v>
      </c>
      <c r="D40" s="2" t="b">
        <v>0</v>
      </c>
      <c r="E40" s="29">
        <v>13</v>
      </c>
    </row>
    <row r="41" spans="1:5" x14ac:dyDescent="0.35">
      <c r="A41" s="17" t="s">
        <v>849</v>
      </c>
      <c r="B41" s="2" t="s">
        <v>21</v>
      </c>
      <c r="C41" s="9">
        <v>45648</v>
      </c>
      <c r="D41" s="2" t="b">
        <v>0</v>
      </c>
      <c r="E41" s="29">
        <v>0.5</v>
      </c>
    </row>
    <row r="42" spans="1:5" x14ac:dyDescent="0.35">
      <c r="A42" s="17" t="s">
        <v>850</v>
      </c>
      <c r="B42" s="2" t="s">
        <v>21</v>
      </c>
      <c r="C42" s="9">
        <v>45648</v>
      </c>
      <c r="D42" s="2" t="b">
        <v>0</v>
      </c>
      <c r="E42" s="29">
        <v>0.5</v>
      </c>
    </row>
    <row r="43" spans="1:5" x14ac:dyDescent="0.35">
      <c r="A43" s="17" t="s">
        <v>851</v>
      </c>
      <c r="B43" s="2" t="s">
        <v>21</v>
      </c>
      <c r="C43" s="9">
        <v>45648</v>
      </c>
      <c r="D43" s="2" t="b">
        <v>0</v>
      </c>
      <c r="E43" s="29">
        <v>0.5</v>
      </c>
    </row>
    <row r="44" spans="1:5" x14ac:dyDescent="0.35">
      <c r="A44" s="17" t="s">
        <v>852</v>
      </c>
      <c r="B44" s="2" t="s">
        <v>21</v>
      </c>
      <c r="C44" s="9">
        <v>45648</v>
      </c>
      <c r="D44" s="2" t="b">
        <v>0</v>
      </c>
      <c r="E44" s="29">
        <v>0.5</v>
      </c>
    </row>
    <row r="45" spans="1:5" x14ac:dyDescent="0.35">
      <c r="A45" s="17" t="s">
        <v>853</v>
      </c>
      <c r="B45" s="2" t="s">
        <v>21</v>
      </c>
      <c r="C45" s="9">
        <v>45648</v>
      </c>
      <c r="D45" s="2" t="b">
        <v>0</v>
      </c>
      <c r="E45" s="29">
        <v>0.5</v>
      </c>
    </row>
    <row r="46" spans="1:5" x14ac:dyDescent="0.35">
      <c r="A46" s="17" t="s">
        <v>854</v>
      </c>
      <c r="B46" s="2" t="s">
        <v>21</v>
      </c>
      <c r="C46" s="9">
        <v>45648</v>
      </c>
      <c r="D46" s="2" t="b">
        <v>0</v>
      </c>
      <c r="E46" s="29">
        <v>0.5</v>
      </c>
    </row>
    <row r="47" spans="1:5" x14ac:dyDescent="0.35">
      <c r="A47" s="17" t="s">
        <v>855</v>
      </c>
      <c r="B47" s="2" t="s">
        <v>21</v>
      </c>
      <c r="C47" s="9">
        <v>45648</v>
      </c>
      <c r="D47" s="2" t="b">
        <v>0</v>
      </c>
      <c r="E47" s="29">
        <v>0.5</v>
      </c>
    </row>
    <row r="48" spans="1:5" x14ac:dyDescent="0.35">
      <c r="A48" s="17" t="s">
        <v>856</v>
      </c>
      <c r="B48" s="2" t="s">
        <v>21</v>
      </c>
      <c r="C48" s="9">
        <v>45648</v>
      </c>
      <c r="D48" s="2" t="b">
        <v>0</v>
      </c>
      <c r="E48" s="29">
        <v>1</v>
      </c>
    </row>
    <row r="49" spans="1:5" x14ac:dyDescent="0.35">
      <c r="A49" s="17" t="s">
        <v>857</v>
      </c>
      <c r="B49" s="2" t="s">
        <v>21</v>
      </c>
      <c r="C49" s="9">
        <v>45648</v>
      </c>
      <c r="D49" s="2" t="b">
        <v>0</v>
      </c>
      <c r="E49" s="29">
        <v>0.5</v>
      </c>
    </row>
    <row r="50" spans="1:5" x14ac:dyDescent="0.35">
      <c r="A50" s="17" t="s">
        <v>858</v>
      </c>
      <c r="B50" s="2" t="s">
        <v>21</v>
      </c>
      <c r="C50" s="9">
        <v>45644</v>
      </c>
      <c r="D50" s="2" t="b">
        <v>0</v>
      </c>
      <c r="E50" s="29">
        <v>18.850000000000001</v>
      </c>
    </row>
    <row r="51" spans="1:5" x14ac:dyDescent="0.35">
      <c r="A51" s="17" t="s">
        <v>859</v>
      </c>
      <c r="B51" s="2" t="s">
        <v>21</v>
      </c>
      <c r="C51" s="9">
        <v>45644</v>
      </c>
      <c r="D51" s="2" t="b">
        <v>0</v>
      </c>
      <c r="E51" s="29">
        <v>14.3</v>
      </c>
    </row>
    <row r="52" spans="1:5" x14ac:dyDescent="0.35">
      <c r="A52" s="17" t="s">
        <v>860</v>
      </c>
      <c r="B52" s="2" t="s">
        <v>21</v>
      </c>
      <c r="C52" s="9">
        <v>45638</v>
      </c>
      <c r="D52" s="2" t="b">
        <v>0</v>
      </c>
      <c r="E52" s="29">
        <v>13</v>
      </c>
    </row>
    <row r="53" spans="1:5" ht="15" thickBot="1" x14ac:dyDescent="0.4">
      <c r="A53" s="27" t="s">
        <v>861</v>
      </c>
      <c r="B53" s="7" t="s">
        <v>21</v>
      </c>
      <c r="C53" s="6">
        <v>45627</v>
      </c>
      <c r="D53" s="7" t="b">
        <v>0</v>
      </c>
      <c r="E53" s="26">
        <v>20.59</v>
      </c>
    </row>
    <row r="54" spans="1:5" s="40" customFormat="1" x14ac:dyDescent="0.35">
      <c r="A54" s="48" t="s">
        <v>964</v>
      </c>
      <c r="C54" s="41"/>
      <c r="E54" s="4">
        <f>SUM(E39:E53)</f>
        <v>122.73</v>
      </c>
    </row>
    <row r="55" spans="1:5" s="40" customFormat="1" ht="15" thickBot="1" x14ac:dyDescent="0.4">
      <c r="C55" s="41"/>
      <c r="E55" s="4"/>
    </row>
    <row r="56" spans="1:5" x14ac:dyDescent="0.35">
      <c r="A56" s="22" t="s">
        <v>862</v>
      </c>
      <c r="B56" s="21" t="s">
        <v>28</v>
      </c>
      <c r="C56" s="18">
        <v>45652</v>
      </c>
      <c r="D56" s="21" t="b">
        <v>0</v>
      </c>
      <c r="E56" s="11">
        <v>21.17</v>
      </c>
    </row>
    <row r="57" spans="1:5" x14ac:dyDescent="0.35">
      <c r="A57" s="17" t="s">
        <v>863</v>
      </c>
      <c r="B57" s="2" t="s">
        <v>28</v>
      </c>
      <c r="C57" s="9">
        <v>45650</v>
      </c>
      <c r="D57" s="2" t="b">
        <v>0</v>
      </c>
      <c r="E57" s="29">
        <v>32.56</v>
      </c>
    </row>
    <row r="58" spans="1:5" x14ac:dyDescent="0.35">
      <c r="A58" s="17" t="s">
        <v>864</v>
      </c>
      <c r="B58" s="2" t="s">
        <v>28</v>
      </c>
      <c r="C58" s="9">
        <v>45650</v>
      </c>
      <c r="D58" s="2" t="b">
        <v>0</v>
      </c>
      <c r="E58" s="29">
        <v>30.58</v>
      </c>
    </row>
    <row r="59" spans="1:5" x14ac:dyDescent="0.35">
      <c r="A59" s="17" t="s">
        <v>865</v>
      </c>
      <c r="B59" s="2" t="s">
        <v>28</v>
      </c>
      <c r="C59" s="9">
        <v>45648</v>
      </c>
      <c r="D59" s="2" t="b">
        <v>0</v>
      </c>
      <c r="E59" s="29">
        <v>0.5</v>
      </c>
    </row>
    <row r="60" spans="1:5" x14ac:dyDescent="0.35">
      <c r="A60" s="17" t="s">
        <v>866</v>
      </c>
      <c r="B60" s="2" t="s">
        <v>28</v>
      </c>
      <c r="C60" s="9">
        <v>45648</v>
      </c>
      <c r="D60" s="2" t="b">
        <v>0</v>
      </c>
      <c r="E60" s="29">
        <v>0.5</v>
      </c>
    </row>
    <row r="61" spans="1:5" x14ac:dyDescent="0.35">
      <c r="A61" s="17" t="s">
        <v>867</v>
      </c>
      <c r="B61" s="2" t="s">
        <v>28</v>
      </c>
      <c r="C61" s="9">
        <v>45648</v>
      </c>
      <c r="D61" s="2" t="b">
        <v>0</v>
      </c>
      <c r="E61" s="29">
        <v>0.5</v>
      </c>
    </row>
    <row r="62" spans="1:5" x14ac:dyDescent="0.35">
      <c r="A62" s="17" t="s">
        <v>868</v>
      </c>
      <c r="B62" s="2" t="s">
        <v>28</v>
      </c>
      <c r="C62" s="9">
        <v>45648</v>
      </c>
      <c r="D62" s="2" t="b">
        <v>0</v>
      </c>
      <c r="E62" s="29">
        <v>0.5</v>
      </c>
    </row>
    <row r="63" spans="1:5" x14ac:dyDescent="0.35">
      <c r="A63" s="17" t="s">
        <v>869</v>
      </c>
      <c r="B63" s="2" t="s">
        <v>28</v>
      </c>
      <c r="C63" s="9">
        <v>45648</v>
      </c>
      <c r="D63" s="2" t="b">
        <v>0</v>
      </c>
      <c r="E63" s="29">
        <v>0.5</v>
      </c>
    </row>
    <row r="64" spans="1:5" x14ac:dyDescent="0.35">
      <c r="A64" s="17" t="s">
        <v>870</v>
      </c>
      <c r="B64" s="2" t="s">
        <v>28</v>
      </c>
      <c r="C64" s="9">
        <v>45648</v>
      </c>
      <c r="D64" s="2" t="b">
        <v>0</v>
      </c>
      <c r="E64" s="29">
        <v>15.8</v>
      </c>
    </row>
    <row r="65" spans="1:5" x14ac:dyDescent="0.35">
      <c r="A65" s="17" t="s">
        <v>871</v>
      </c>
      <c r="B65" s="2" t="s">
        <v>28</v>
      </c>
      <c r="C65" s="9">
        <v>45647</v>
      </c>
      <c r="D65" s="2" t="b">
        <v>0</v>
      </c>
      <c r="E65" s="29">
        <v>23.74</v>
      </c>
    </row>
    <row r="66" spans="1:5" x14ac:dyDescent="0.35">
      <c r="A66" s="17" t="s">
        <v>872</v>
      </c>
      <c r="B66" s="2" t="s">
        <v>28</v>
      </c>
      <c r="C66" s="9">
        <v>45643</v>
      </c>
      <c r="D66" s="2" t="b">
        <v>0</v>
      </c>
      <c r="E66" s="29">
        <v>10.25</v>
      </c>
    </row>
    <row r="67" spans="1:5" x14ac:dyDescent="0.35">
      <c r="A67" s="17" t="s">
        <v>873</v>
      </c>
      <c r="B67" s="2" t="s">
        <v>28</v>
      </c>
      <c r="C67" s="9">
        <v>45635</v>
      </c>
      <c r="D67" s="2" t="b">
        <v>0</v>
      </c>
      <c r="E67" s="29">
        <v>16.82</v>
      </c>
    </row>
    <row r="68" spans="1:5" x14ac:dyDescent="0.35">
      <c r="A68" s="17" t="s">
        <v>874</v>
      </c>
      <c r="B68" s="2" t="s">
        <v>28</v>
      </c>
      <c r="C68" s="9">
        <v>45633</v>
      </c>
      <c r="D68" s="2" t="b">
        <v>0</v>
      </c>
      <c r="E68" s="29">
        <v>15.59</v>
      </c>
    </row>
    <row r="69" spans="1:5" ht="15" thickBot="1" x14ac:dyDescent="0.4">
      <c r="A69" s="27" t="s">
        <v>875</v>
      </c>
      <c r="B69" s="7" t="s">
        <v>28</v>
      </c>
      <c r="C69" s="6">
        <v>45628</v>
      </c>
      <c r="D69" s="7" t="b">
        <v>0</v>
      </c>
      <c r="E69" s="26">
        <v>26.64</v>
      </c>
    </row>
    <row r="70" spans="1:5" s="40" customFormat="1" x14ac:dyDescent="0.35">
      <c r="A70" s="48" t="s">
        <v>964</v>
      </c>
      <c r="C70" s="41"/>
      <c r="E70" s="4">
        <f>SUM(E56:E69)</f>
        <v>195.64999999999998</v>
      </c>
    </row>
    <row r="71" spans="1:5" s="40" customFormat="1" ht="15" thickBot="1" x14ac:dyDescent="0.4">
      <c r="C71" s="41"/>
      <c r="E71" s="4"/>
    </row>
    <row r="72" spans="1:5" x14ac:dyDescent="0.35">
      <c r="A72" s="22" t="s">
        <v>876</v>
      </c>
      <c r="B72" s="21" t="s">
        <v>32</v>
      </c>
      <c r="C72" s="18">
        <v>45657</v>
      </c>
      <c r="D72" s="21" t="b">
        <v>0</v>
      </c>
      <c r="E72" s="11">
        <v>81.239999999999995</v>
      </c>
    </row>
    <row r="73" spans="1:5" x14ac:dyDescent="0.35">
      <c r="A73" s="17" t="s">
        <v>877</v>
      </c>
      <c r="B73" s="2" t="s">
        <v>32</v>
      </c>
      <c r="C73" s="9">
        <v>45657</v>
      </c>
      <c r="D73" s="2" t="b">
        <v>0</v>
      </c>
      <c r="E73" s="29">
        <v>18.47</v>
      </c>
    </row>
    <row r="74" spans="1:5" x14ac:dyDescent="0.35">
      <c r="A74" s="17" t="s">
        <v>878</v>
      </c>
      <c r="B74" s="2" t="s">
        <v>32</v>
      </c>
      <c r="C74" s="9">
        <v>45656</v>
      </c>
      <c r="D74" s="2" t="b">
        <v>0</v>
      </c>
      <c r="E74" s="29">
        <v>13.55</v>
      </c>
    </row>
    <row r="75" spans="1:5" x14ac:dyDescent="0.35">
      <c r="A75" s="17" t="s">
        <v>879</v>
      </c>
      <c r="B75" s="2" t="s">
        <v>32</v>
      </c>
      <c r="C75" s="9">
        <v>45654</v>
      </c>
      <c r="D75" s="2" t="b">
        <v>0</v>
      </c>
      <c r="E75" s="29">
        <v>22.24</v>
      </c>
    </row>
    <row r="76" spans="1:5" x14ac:dyDescent="0.35">
      <c r="A76" s="17" t="s">
        <v>880</v>
      </c>
      <c r="B76" s="2" t="s">
        <v>32</v>
      </c>
      <c r="C76" s="9">
        <v>45654</v>
      </c>
      <c r="D76" s="2" t="b">
        <v>0</v>
      </c>
      <c r="E76" s="29">
        <v>35.4</v>
      </c>
    </row>
    <row r="77" spans="1:5" x14ac:dyDescent="0.35">
      <c r="A77" s="17" t="s">
        <v>881</v>
      </c>
      <c r="B77" s="2" t="s">
        <v>32</v>
      </c>
      <c r="C77" s="9">
        <v>45651</v>
      </c>
      <c r="D77" s="2" t="b">
        <v>0</v>
      </c>
      <c r="E77" s="29">
        <v>18.57</v>
      </c>
    </row>
    <row r="78" spans="1:5" x14ac:dyDescent="0.35">
      <c r="A78" s="17" t="s">
        <v>882</v>
      </c>
      <c r="B78" s="2" t="s">
        <v>32</v>
      </c>
      <c r="C78" s="9">
        <v>45648</v>
      </c>
      <c r="D78" s="2" t="b">
        <v>0</v>
      </c>
      <c r="E78" s="29">
        <v>0.5</v>
      </c>
    </row>
    <row r="79" spans="1:5" x14ac:dyDescent="0.35">
      <c r="A79" s="17" t="s">
        <v>883</v>
      </c>
      <c r="B79" s="2" t="s">
        <v>32</v>
      </c>
      <c r="C79" s="9">
        <v>45648</v>
      </c>
      <c r="D79" s="2" t="b">
        <v>0</v>
      </c>
      <c r="E79" s="29">
        <v>0.5</v>
      </c>
    </row>
    <row r="80" spans="1:5" x14ac:dyDescent="0.35">
      <c r="A80" s="17" t="s">
        <v>884</v>
      </c>
      <c r="B80" s="2" t="s">
        <v>32</v>
      </c>
      <c r="C80" s="9">
        <v>45647</v>
      </c>
      <c r="D80" s="2" t="b">
        <v>0</v>
      </c>
      <c r="E80" s="29">
        <v>30.31</v>
      </c>
    </row>
    <row r="81" spans="1:5" x14ac:dyDescent="0.35">
      <c r="A81" s="17" t="s">
        <v>885</v>
      </c>
      <c r="B81" s="2" t="s">
        <v>32</v>
      </c>
      <c r="C81" s="9">
        <v>45644</v>
      </c>
      <c r="D81" s="2" t="b">
        <v>0</v>
      </c>
      <c r="E81" s="29">
        <v>15.55</v>
      </c>
    </row>
    <row r="82" spans="1:5" x14ac:dyDescent="0.35">
      <c r="A82" s="17" t="s">
        <v>886</v>
      </c>
      <c r="B82" s="2" t="s">
        <v>32</v>
      </c>
      <c r="C82" s="9">
        <v>45642</v>
      </c>
      <c r="D82" s="2" t="b">
        <v>0</v>
      </c>
      <c r="E82" s="29">
        <v>16.239999999999998</v>
      </c>
    </row>
    <row r="83" spans="1:5" x14ac:dyDescent="0.35">
      <c r="A83" s="17" t="s">
        <v>887</v>
      </c>
      <c r="B83" s="2" t="s">
        <v>32</v>
      </c>
      <c r="C83" s="9">
        <v>45640</v>
      </c>
      <c r="D83" s="2" t="b">
        <v>0</v>
      </c>
      <c r="E83" s="29">
        <v>8.15</v>
      </c>
    </row>
    <row r="84" spans="1:5" x14ac:dyDescent="0.35">
      <c r="A84" s="17" t="s">
        <v>888</v>
      </c>
      <c r="B84" s="2" t="s">
        <v>32</v>
      </c>
      <c r="C84" s="9">
        <v>45638</v>
      </c>
      <c r="D84" s="2" t="b">
        <v>0</v>
      </c>
      <c r="E84" s="29">
        <v>13.65</v>
      </c>
    </row>
    <row r="85" spans="1:5" x14ac:dyDescent="0.35">
      <c r="A85" s="17" t="s">
        <v>889</v>
      </c>
      <c r="B85" s="2" t="s">
        <v>32</v>
      </c>
      <c r="C85" s="9">
        <v>45637</v>
      </c>
      <c r="D85" s="2" t="b">
        <v>0</v>
      </c>
      <c r="E85" s="29">
        <v>16.3</v>
      </c>
    </row>
    <row r="86" spans="1:5" x14ac:dyDescent="0.35">
      <c r="A86" s="17" t="s">
        <v>890</v>
      </c>
      <c r="B86" s="2" t="s">
        <v>32</v>
      </c>
      <c r="C86" s="9">
        <v>45633</v>
      </c>
      <c r="D86" s="2" t="b">
        <v>0</v>
      </c>
      <c r="E86" s="29">
        <v>25.4</v>
      </c>
    </row>
    <row r="87" spans="1:5" x14ac:dyDescent="0.35">
      <c r="A87" s="17" t="s">
        <v>891</v>
      </c>
      <c r="B87" s="2" t="s">
        <v>32</v>
      </c>
      <c r="C87" s="9">
        <v>45628</v>
      </c>
      <c r="D87" s="2" t="b">
        <v>0</v>
      </c>
      <c r="E87" s="29">
        <v>19.350000000000001</v>
      </c>
    </row>
    <row r="88" spans="1:5" ht="15" thickBot="1" x14ac:dyDescent="0.4">
      <c r="A88" s="27" t="s">
        <v>892</v>
      </c>
      <c r="B88" s="7" t="s">
        <v>32</v>
      </c>
      <c r="C88" s="6">
        <v>45627</v>
      </c>
      <c r="D88" s="7" t="b">
        <v>0</v>
      </c>
      <c r="E88" s="26">
        <v>18.98</v>
      </c>
    </row>
    <row r="89" spans="1:5" s="40" customFormat="1" x14ac:dyDescent="0.35">
      <c r="A89" s="48" t="s">
        <v>964</v>
      </c>
      <c r="C89" s="41"/>
      <c r="E89" s="4">
        <f>SUM(E72:E88)</f>
        <v>354.40000000000003</v>
      </c>
    </row>
    <row r="90" spans="1:5" s="40" customFormat="1" ht="15" thickBot="1" x14ac:dyDescent="0.4">
      <c r="C90" s="41"/>
      <c r="E90" s="4"/>
    </row>
    <row r="91" spans="1:5" x14ac:dyDescent="0.35">
      <c r="A91" s="22" t="s">
        <v>893</v>
      </c>
      <c r="B91" s="21" t="s">
        <v>43</v>
      </c>
      <c r="C91" s="18">
        <v>45655</v>
      </c>
      <c r="D91" s="21" t="b">
        <v>0</v>
      </c>
      <c r="E91" s="11">
        <v>36.39</v>
      </c>
    </row>
    <row r="92" spans="1:5" x14ac:dyDescent="0.35">
      <c r="A92" s="17" t="s">
        <v>894</v>
      </c>
      <c r="B92" s="2" t="s">
        <v>43</v>
      </c>
      <c r="C92" s="9">
        <v>45649</v>
      </c>
      <c r="D92" s="2" t="b">
        <v>0</v>
      </c>
      <c r="E92" s="29">
        <v>43.2</v>
      </c>
    </row>
    <row r="93" spans="1:5" x14ac:dyDescent="0.35">
      <c r="A93" s="17" t="s">
        <v>895</v>
      </c>
      <c r="B93" s="2" t="s">
        <v>43</v>
      </c>
      <c r="C93" s="9">
        <v>45648</v>
      </c>
      <c r="D93" s="2" t="b">
        <v>0</v>
      </c>
      <c r="E93" s="29">
        <v>0.5</v>
      </c>
    </row>
    <row r="94" spans="1:5" x14ac:dyDescent="0.35">
      <c r="A94" s="17" t="s">
        <v>896</v>
      </c>
      <c r="B94" s="2" t="s">
        <v>43</v>
      </c>
      <c r="C94" s="9">
        <v>45648</v>
      </c>
      <c r="D94" s="2" t="b">
        <v>0</v>
      </c>
      <c r="E94" s="29">
        <v>0.5</v>
      </c>
    </row>
    <row r="95" spans="1:5" x14ac:dyDescent="0.35">
      <c r="A95" s="17" t="s">
        <v>897</v>
      </c>
      <c r="B95" s="2" t="s">
        <v>43</v>
      </c>
      <c r="C95" s="9">
        <v>45648</v>
      </c>
      <c r="D95" s="2" t="b">
        <v>0</v>
      </c>
      <c r="E95" s="29">
        <v>0.5</v>
      </c>
    </row>
    <row r="96" spans="1:5" x14ac:dyDescent="0.35">
      <c r="A96" s="17" t="s">
        <v>898</v>
      </c>
      <c r="B96" s="2" t="s">
        <v>43</v>
      </c>
      <c r="C96" s="9">
        <v>45648</v>
      </c>
      <c r="D96" s="2" t="b">
        <v>0</v>
      </c>
      <c r="E96" s="29">
        <v>0.5</v>
      </c>
    </row>
    <row r="97" spans="1:5" x14ac:dyDescent="0.35">
      <c r="A97" s="17" t="s">
        <v>899</v>
      </c>
      <c r="B97" s="2" t="s">
        <v>43</v>
      </c>
      <c r="C97" s="9">
        <v>45648</v>
      </c>
      <c r="D97" s="2" t="b">
        <v>0</v>
      </c>
      <c r="E97" s="29">
        <v>0.5</v>
      </c>
    </row>
    <row r="98" spans="1:5" x14ac:dyDescent="0.35">
      <c r="A98" s="17" t="s">
        <v>900</v>
      </c>
      <c r="B98" s="2" t="s">
        <v>43</v>
      </c>
      <c r="C98" s="9">
        <v>45645</v>
      </c>
      <c r="D98" s="2" t="b">
        <v>0</v>
      </c>
      <c r="E98" s="29">
        <v>441.93</v>
      </c>
    </row>
    <row r="99" spans="1:5" x14ac:dyDescent="0.35">
      <c r="A99" s="17" t="s">
        <v>901</v>
      </c>
      <c r="B99" s="2" t="s">
        <v>43</v>
      </c>
      <c r="C99" s="9">
        <v>45645</v>
      </c>
      <c r="D99" s="2" t="b">
        <v>0</v>
      </c>
      <c r="E99" s="29">
        <v>19.829999999999998</v>
      </c>
    </row>
    <row r="100" spans="1:5" x14ac:dyDescent="0.35">
      <c r="A100" s="17" t="s">
        <v>902</v>
      </c>
      <c r="B100" s="2" t="s">
        <v>43</v>
      </c>
      <c r="C100" s="9">
        <v>45645</v>
      </c>
      <c r="D100" s="2" t="b">
        <v>0</v>
      </c>
      <c r="E100" s="29">
        <v>28.6</v>
      </c>
    </row>
    <row r="101" spans="1:5" x14ac:dyDescent="0.35">
      <c r="A101" s="17" t="s">
        <v>903</v>
      </c>
      <c r="B101" s="2" t="s">
        <v>43</v>
      </c>
      <c r="C101" s="9">
        <v>45644</v>
      </c>
      <c r="D101" s="2" t="b">
        <v>0</v>
      </c>
      <c r="E101" s="29">
        <v>26.91</v>
      </c>
    </row>
    <row r="102" spans="1:5" x14ac:dyDescent="0.35">
      <c r="A102" s="17" t="s">
        <v>904</v>
      </c>
      <c r="B102" s="2" t="s">
        <v>43</v>
      </c>
      <c r="C102" s="9">
        <v>45639</v>
      </c>
      <c r="D102" s="2" t="b">
        <v>0</v>
      </c>
      <c r="E102" s="29">
        <v>32.74</v>
      </c>
    </row>
    <row r="103" spans="1:5" x14ac:dyDescent="0.35">
      <c r="A103" s="17" t="s">
        <v>905</v>
      </c>
      <c r="B103" s="2" t="s">
        <v>43</v>
      </c>
      <c r="C103" s="9">
        <v>45637</v>
      </c>
      <c r="D103" s="2" t="b">
        <v>0</v>
      </c>
      <c r="E103" s="29">
        <v>38.65</v>
      </c>
    </row>
    <row r="104" spans="1:5" ht="15" thickBot="1" x14ac:dyDescent="0.4">
      <c r="A104" s="27" t="s">
        <v>906</v>
      </c>
      <c r="B104" s="7" t="s">
        <v>43</v>
      </c>
      <c r="C104" s="6">
        <v>45627</v>
      </c>
      <c r="D104" s="7" t="b">
        <v>0</v>
      </c>
      <c r="E104" s="26">
        <v>11.85</v>
      </c>
    </row>
    <row r="105" spans="1:5" s="40" customFormat="1" x14ac:dyDescent="0.35">
      <c r="A105" s="48" t="s">
        <v>964</v>
      </c>
      <c r="C105" s="41"/>
      <c r="E105" s="4">
        <f>SUM(E91:E104)</f>
        <v>682.6</v>
      </c>
    </row>
    <row r="106" spans="1:5" s="40" customFormat="1" ht="15" thickBot="1" x14ac:dyDescent="0.4">
      <c r="C106" s="41"/>
      <c r="E106" s="4"/>
    </row>
    <row r="107" spans="1:5" x14ac:dyDescent="0.35">
      <c r="A107" s="22" t="s">
        <v>907</v>
      </c>
      <c r="B107" s="21" t="s">
        <v>144</v>
      </c>
      <c r="C107" s="18">
        <v>45648</v>
      </c>
      <c r="D107" s="21" t="b">
        <v>0</v>
      </c>
      <c r="E107" s="11">
        <v>22.32</v>
      </c>
    </row>
    <row r="108" spans="1:5" x14ac:dyDescent="0.35">
      <c r="A108" s="17" t="s">
        <v>908</v>
      </c>
      <c r="B108" s="2" t="s">
        <v>144</v>
      </c>
      <c r="C108" s="9">
        <v>45648</v>
      </c>
      <c r="D108" s="2" t="b">
        <v>0</v>
      </c>
      <c r="E108" s="29">
        <v>0.5</v>
      </c>
    </row>
    <row r="109" spans="1:5" x14ac:dyDescent="0.35">
      <c r="A109" s="17" t="s">
        <v>909</v>
      </c>
      <c r="B109" s="2" t="s">
        <v>144</v>
      </c>
      <c r="C109" s="9">
        <v>45648</v>
      </c>
      <c r="D109" s="2" t="b">
        <v>0</v>
      </c>
      <c r="E109" s="29">
        <v>0.5</v>
      </c>
    </row>
    <row r="110" spans="1:5" x14ac:dyDescent="0.35">
      <c r="A110" s="17" t="s">
        <v>910</v>
      </c>
      <c r="B110" s="2" t="s">
        <v>144</v>
      </c>
      <c r="C110" s="9">
        <v>45648</v>
      </c>
      <c r="D110" s="2" t="b">
        <v>0</v>
      </c>
      <c r="E110" s="29">
        <v>0.5</v>
      </c>
    </row>
    <row r="111" spans="1:5" x14ac:dyDescent="0.35">
      <c r="A111" s="17" t="s">
        <v>911</v>
      </c>
      <c r="B111" s="2" t="s">
        <v>144</v>
      </c>
      <c r="C111" s="9">
        <v>45648</v>
      </c>
      <c r="D111" s="2" t="b">
        <v>0</v>
      </c>
      <c r="E111" s="29">
        <v>0.5</v>
      </c>
    </row>
    <row r="112" spans="1:5" x14ac:dyDescent="0.35">
      <c r="A112" s="17" t="s">
        <v>912</v>
      </c>
      <c r="B112" s="2" t="s">
        <v>144</v>
      </c>
      <c r="C112" s="9">
        <v>45648</v>
      </c>
      <c r="D112" s="2" t="b">
        <v>0</v>
      </c>
      <c r="E112" s="29">
        <v>0.5</v>
      </c>
    </row>
    <row r="113" spans="1:5" x14ac:dyDescent="0.35">
      <c r="A113" s="17" t="s">
        <v>913</v>
      </c>
      <c r="B113" s="2" t="s">
        <v>144</v>
      </c>
      <c r="C113" s="9">
        <v>45642</v>
      </c>
      <c r="D113" s="2" t="b">
        <v>0</v>
      </c>
      <c r="E113" s="29">
        <v>56.78</v>
      </c>
    </row>
    <row r="114" spans="1:5" x14ac:dyDescent="0.35">
      <c r="A114" s="17" t="s">
        <v>914</v>
      </c>
      <c r="B114" s="2" t="s">
        <v>144</v>
      </c>
      <c r="C114" s="9">
        <v>45639</v>
      </c>
      <c r="D114" s="2" t="b">
        <v>0</v>
      </c>
      <c r="E114" s="29">
        <v>34.15</v>
      </c>
    </row>
    <row r="115" spans="1:5" x14ac:dyDescent="0.35">
      <c r="A115" s="17" t="s">
        <v>915</v>
      </c>
      <c r="B115" s="2" t="s">
        <v>144</v>
      </c>
      <c r="C115" s="9">
        <v>45639</v>
      </c>
      <c r="D115" s="2" t="b">
        <v>0</v>
      </c>
      <c r="E115" s="29">
        <v>9.8000000000000007</v>
      </c>
    </row>
    <row r="116" spans="1:5" x14ac:dyDescent="0.35">
      <c r="A116" s="17" t="s">
        <v>916</v>
      </c>
      <c r="B116" s="2" t="s">
        <v>144</v>
      </c>
      <c r="C116" s="9">
        <v>45639</v>
      </c>
      <c r="D116" s="2" t="b">
        <v>0</v>
      </c>
      <c r="E116" s="29">
        <v>17.25</v>
      </c>
    </row>
    <row r="117" spans="1:5" x14ac:dyDescent="0.35">
      <c r="A117" s="17" t="s">
        <v>917</v>
      </c>
      <c r="B117" s="2" t="s">
        <v>144</v>
      </c>
      <c r="C117" s="9">
        <v>45634</v>
      </c>
      <c r="D117" s="2" t="b">
        <v>0</v>
      </c>
      <c r="E117" s="29">
        <v>15.51</v>
      </c>
    </row>
    <row r="118" spans="1:5" ht="15" thickBot="1" x14ac:dyDescent="0.4">
      <c r="A118" s="27" t="s">
        <v>918</v>
      </c>
      <c r="B118" s="7" t="s">
        <v>144</v>
      </c>
      <c r="C118" s="6">
        <v>45634</v>
      </c>
      <c r="D118" s="7" t="b">
        <v>0</v>
      </c>
      <c r="E118" s="26">
        <v>15.51</v>
      </c>
    </row>
    <row r="119" spans="1:5" s="40" customFormat="1" x14ac:dyDescent="0.35">
      <c r="A119" s="48" t="s">
        <v>964</v>
      </c>
      <c r="C119" s="41"/>
      <c r="E119" s="4">
        <f>SUM(E107:E118)</f>
        <v>173.82</v>
      </c>
    </row>
    <row r="120" spans="1:5" s="40" customFormat="1" ht="15" thickBot="1" x14ac:dyDescent="0.4">
      <c r="C120" s="41"/>
      <c r="E120" s="4"/>
    </row>
    <row r="121" spans="1:5" x14ac:dyDescent="0.35">
      <c r="A121" s="22" t="s">
        <v>919</v>
      </c>
      <c r="B121" s="21" t="s">
        <v>104</v>
      </c>
      <c r="C121" s="18">
        <v>45648</v>
      </c>
      <c r="D121" s="21" t="b">
        <v>0</v>
      </c>
      <c r="E121" s="11">
        <v>0.5</v>
      </c>
    </row>
    <row r="122" spans="1:5" x14ac:dyDescent="0.35">
      <c r="A122" s="17" t="s">
        <v>920</v>
      </c>
      <c r="B122" s="2" t="s">
        <v>104</v>
      </c>
      <c r="C122" s="9">
        <v>45648</v>
      </c>
      <c r="D122" s="2" t="b">
        <v>0</v>
      </c>
      <c r="E122" s="29">
        <v>0.5</v>
      </c>
    </row>
    <row r="123" spans="1:5" x14ac:dyDescent="0.35">
      <c r="A123" s="17" t="s">
        <v>921</v>
      </c>
      <c r="B123" s="2" t="s">
        <v>104</v>
      </c>
      <c r="C123" s="9">
        <v>45648</v>
      </c>
      <c r="D123" s="2" t="b">
        <v>0</v>
      </c>
      <c r="E123" s="29">
        <v>0.5</v>
      </c>
    </row>
    <row r="124" spans="1:5" x14ac:dyDescent="0.35">
      <c r="A124" s="17" t="s">
        <v>922</v>
      </c>
      <c r="B124" s="2" t="s">
        <v>104</v>
      </c>
      <c r="C124" s="9">
        <v>45648</v>
      </c>
      <c r="D124" s="2" t="b">
        <v>0</v>
      </c>
      <c r="E124" s="29">
        <v>0.5</v>
      </c>
    </row>
    <row r="125" spans="1:5" ht="15" thickBot="1" x14ac:dyDescent="0.4">
      <c r="A125" s="27" t="s">
        <v>923</v>
      </c>
      <c r="B125" s="7" t="s">
        <v>104</v>
      </c>
      <c r="C125" s="6">
        <v>45648</v>
      </c>
      <c r="D125" s="7" t="b">
        <v>0</v>
      </c>
      <c r="E125" s="26">
        <v>0.5</v>
      </c>
    </row>
    <row r="126" spans="1:5" s="40" customFormat="1" x14ac:dyDescent="0.35">
      <c r="A126" s="48" t="s">
        <v>964</v>
      </c>
      <c r="C126" s="41"/>
      <c r="E126" s="4">
        <f>SUM(E121:E125)</f>
        <v>2.5</v>
      </c>
    </row>
    <row r="127" spans="1:5" s="40" customFormat="1" ht="15" thickBot="1" x14ac:dyDescent="0.4">
      <c r="C127" s="41"/>
      <c r="E127" s="4"/>
    </row>
    <row r="128" spans="1:5" x14ac:dyDescent="0.35">
      <c r="A128" s="22" t="s">
        <v>924</v>
      </c>
      <c r="B128" s="21" t="s">
        <v>393</v>
      </c>
      <c r="C128" s="18">
        <v>45648</v>
      </c>
      <c r="D128" s="21" t="b">
        <v>0</v>
      </c>
      <c r="E128" s="11">
        <v>0.5</v>
      </c>
    </row>
    <row r="129" spans="1:5" x14ac:dyDescent="0.35">
      <c r="A129" s="17" t="s">
        <v>925</v>
      </c>
      <c r="B129" s="2" t="s">
        <v>393</v>
      </c>
      <c r="C129" s="9">
        <v>45648</v>
      </c>
      <c r="D129" s="2" t="b">
        <v>0</v>
      </c>
      <c r="E129" s="29">
        <v>0.5</v>
      </c>
    </row>
    <row r="130" spans="1:5" x14ac:dyDescent="0.35">
      <c r="A130" s="17" t="s">
        <v>926</v>
      </c>
      <c r="B130" s="2" t="s">
        <v>393</v>
      </c>
      <c r="C130" s="9">
        <v>45648</v>
      </c>
      <c r="D130" s="2" t="b">
        <v>0</v>
      </c>
      <c r="E130" s="29">
        <v>0.5</v>
      </c>
    </row>
    <row r="131" spans="1:5" x14ac:dyDescent="0.35">
      <c r="A131" s="17" t="s">
        <v>927</v>
      </c>
      <c r="B131" s="2" t="s">
        <v>393</v>
      </c>
      <c r="C131" s="9">
        <v>45648</v>
      </c>
      <c r="D131" s="2" t="b">
        <v>0</v>
      </c>
      <c r="E131" s="29">
        <v>0.5</v>
      </c>
    </row>
    <row r="132" spans="1:5" x14ac:dyDescent="0.35">
      <c r="A132" s="17" t="s">
        <v>928</v>
      </c>
      <c r="B132" s="2" t="s">
        <v>393</v>
      </c>
      <c r="C132" s="9">
        <v>45648</v>
      </c>
      <c r="D132" s="2" t="b">
        <v>0</v>
      </c>
      <c r="E132" s="29">
        <v>0.5</v>
      </c>
    </row>
    <row r="133" spans="1:5" ht="15" thickBot="1" x14ac:dyDescent="0.4">
      <c r="A133" s="27" t="s">
        <v>929</v>
      </c>
      <c r="B133" s="7" t="s">
        <v>393</v>
      </c>
      <c r="C133" s="6">
        <v>45643</v>
      </c>
      <c r="D133" s="7" t="b">
        <v>0</v>
      </c>
      <c r="E133" s="26">
        <v>23.7</v>
      </c>
    </row>
    <row r="134" spans="1:5" s="40" customFormat="1" x14ac:dyDescent="0.35">
      <c r="A134" s="48" t="s">
        <v>964</v>
      </c>
      <c r="C134" s="41"/>
      <c r="E134" s="4">
        <f>SUM(E128:E133)</f>
        <v>26.2</v>
      </c>
    </row>
    <row r="135" spans="1:5" s="40" customFormat="1" ht="15" thickBot="1" x14ac:dyDescent="0.4">
      <c r="C135" s="41"/>
      <c r="E135" s="4"/>
    </row>
    <row r="136" spans="1:5" x14ac:dyDescent="0.35">
      <c r="A136" s="22" t="s">
        <v>930</v>
      </c>
      <c r="B136" s="21" t="s">
        <v>508</v>
      </c>
      <c r="C136" s="18">
        <v>45648</v>
      </c>
      <c r="D136" s="21" t="b">
        <v>1</v>
      </c>
      <c r="E136" s="11">
        <v>0.5</v>
      </c>
    </row>
    <row r="137" spans="1:5" x14ac:dyDescent="0.35">
      <c r="A137" s="17" t="s">
        <v>931</v>
      </c>
      <c r="B137" s="2" t="s">
        <v>508</v>
      </c>
      <c r="C137" s="9">
        <v>45657</v>
      </c>
      <c r="D137" s="2" t="b">
        <v>0</v>
      </c>
      <c r="E137" s="29">
        <v>20.5</v>
      </c>
    </row>
    <row r="138" spans="1:5" x14ac:dyDescent="0.35">
      <c r="A138" s="17" t="s">
        <v>932</v>
      </c>
      <c r="B138" s="2" t="s">
        <v>508</v>
      </c>
      <c r="C138" s="9">
        <v>45656</v>
      </c>
      <c r="D138" s="2" t="b">
        <v>0</v>
      </c>
      <c r="E138" s="29">
        <v>28.59</v>
      </c>
    </row>
    <row r="139" spans="1:5" x14ac:dyDescent="0.35">
      <c r="A139" s="17" t="s">
        <v>933</v>
      </c>
      <c r="B139" s="2" t="s">
        <v>508</v>
      </c>
      <c r="C139" s="9">
        <v>45655</v>
      </c>
      <c r="D139" s="2" t="b">
        <v>0</v>
      </c>
      <c r="E139" s="29">
        <v>31.54</v>
      </c>
    </row>
    <row r="140" spans="1:5" x14ac:dyDescent="0.35">
      <c r="A140" s="17" t="s">
        <v>934</v>
      </c>
      <c r="B140" s="2" t="s">
        <v>508</v>
      </c>
      <c r="C140" s="9">
        <v>45650</v>
      </c>
      <c r="D140" s="2" t="b">
        <v>0</v>
      </c>
      <c r="E140" s="29">
        <v>22.61</v>
      </c>
    </row>
    <row r="141" spans="1:5" x14ac:dyDescent="0.35">
      <c r="A141" s="17" t="s">
        <v>935</v>
      </c>
      <c r="B141" s="2" t="s">
        <v>508</v>
      </c>
      <c r="C141" s="9">
        <v>45650</v>
      </c>
      <c r="D141" s="2" t="b">
        <v>0</v>
      </c>
      <c r="E141" s="29">
        <v>25.29</v>
      </c>
    </row>
    <row r="142" spans="1:5" x14ac:dyDescent="0.35">
      <c r="A142" s="17" t="s">
        <v>936</v>
      </c>
      <c r="B142" s="2" t="s">
        <v>508</v>
      </c>
      <c r="C142" s="9">
        <v>45649</v>
      </c>
      <c r="D142" s="2" t="b">
        <v>0</v>
      </c>
      <c r="E142" s="29">
        <v>25.76</v>
      </c>
    </row>
    <row r="143" spans="1:5" x14ac:dyDescent="0.35">
      <c r="A143" s="17" t="s">
        <v>937</v>
      </c>
      <c r="B143" s="2" t="s">
        <v>508</v>
      </c>
      <c r="C143" s="9">
        <v>45649</v>
      </c>
      <c r="D143" s="2" t="b">
        <v>0</v>
      </c>
      <c r="E143" s="29">
        <v>40.5</v>
      </c>
    </row>
    <row r="144" spans="1:5" x14ac:dyDescent="0.35">
      <c r="A144" s="17" t="s">
        <v>938</v>
      </c>
      <c r="B144" s="2" t="s">
        <v>508</v>
      </c>
      <c r="C144" s="9">
        <v>45648</v>
      </c>
      <c r="D144" s="2" t="b">
        <v>0</v>
      </c>
      <c r="E144" s="29">
        <v>0.5</v>
      </c>
    </row>
    <row r="145" spans="1:5" x14ac:dyDescent="0.35">
      <c r="A145" s="17" t="s">
        <v>939</v>
      </c>
      <c r="B145" s="2" t="s">
        <v>508</v>
      </c>
      <c r="C145" s="9">
        <v>45648</v>
      </c>
      <c r="D145" s="2" t="b">
        <v>0</v>
      </c>
      <c r="E145" s="29">
        <v>0.5</v>
      </c>
    </row>
    <row r="146" spans="1:5" x14ac:dyDescent="0.35">
      <c r="A146" s="17" t="s">
        <v>940</v>
      </c>
      <c r="B146" s="2" t="s">
        <v>508</v>
      </c>
      <c r="C146" s="9">
        <v>45648</v>
      </c>
      <c r="D146" s="2" t="b">
        <v>0</v>
      </c>
      <c r="E146" s="29">
        <v>0.5</v>
      </c>
    </row>
    <row r="147" spans="1:5" x14ac:dyDescent="0.35">
      <c r="A147" s="17" t="s">
        <v>941</v>
      </c>
      <c r="B147" s="2" t="s">
        <v>508</v>
      </c>
      <c r="C147" s="9">
        <v>45648</v>
      </c>
      <c r="D147" s="2" t="b">
        <v>0</v>
      </c>
      <c r="E147" s="29">
        <v>0.5</v>
      </c>
    </row>
    <row r="148" spans="1:5" x14ac:dyDescent="0.35">
      <c r="A148" s="17" t="s">
        <v>942</v>
      </c>
      <c r="B148" s="2" t="s">
        <v>508</v>
      </c>
      <c r="C148" s="9">
        <v>45648</v>
      </c>
      <c r="D148" s="2" t="b">
        <v>0</v>
      </c>
      <c r="E148" s="29">
        <v>0.5</v>
      </c>
    </row>
    <row r="149" spans="1:5" x14ac:dyDescent="0.35">
      <c r="A149" s="17" t="s">
        <v>943</v>
      </c>
      <c r="B149" s="2" t="s">
        <v>508</v>
      </c>
      <c r="C149" s="9">
        <v>45648</v>
      </c>
      <c r="D149" s="2" t="b">
        <v>0</v>
      </c>
      <c r="E149" s="29">
        <v>0.5</v>
      </c>
    </row>
    <row r="150" spans="1:5" x14ac:dyDescent="0.35">
      <c r="A150" s="17" t="s">
        <v>944</v>
      </c>
      <c r="B150" s="2" t="s">
        <v>508</v>
      </c>
      <c r="C150" s="9">
        <v>45648</v>
      </c>
      <c r="D150" s="2" t="b">
        <v>0</v>
      </c>
      <c r="E150" s="29">
        <v>0.5</v>
      </c>
    </row>
    <row r="151" spans="1:5" x14ac:dyDescent="0.35">
      <c r="A151" s="17" t="s">
        <v>945</v>
      </c>
      <c r="B151" s="2" t="s">
        <v>508</v>
      </c>
      <c r="C151" s="9">
        <v>45648</v>
      </c>
      <c r="D151" s="2" t="b">
        <v>0</v>
      </c>
      <c r="E151" s="29">
        <v>0.5</v>
      </c>
    </row>
    <row r="152" spans="1:5" x14ac:dyDescent="0.35">
      <c r="A152" s="17" t="s">
        <v>946</v>
      </c>
      <c r="B152" s="2" t="s">
        <v>508</v>
      </c>
      <c r="C152" s="9">
        <v>45647</v>
      </c>
      <c r="D152" s="2" t="b">
        <v>0</v>
      </c>
      <c r="E152" s="29">
        <v>65.22</v>
      </c>
    </row>
    <row r="153" spans="1:5" x14ac:dyDescent="0.35">
      <c r="A153" s="17" t="s">
        <v>947</v>
      </c>
      <c r="B153" s="2" t="s">
        <v>508</v>
      </c>
      <c r="C153" s="9">
        <v>45645</v>
      </c>
      <c r="D153" s="2" t="b">
        <v>0</v>
      </c>
      <c r="E153" s="29">
        <v>28.96</v>
      </c>
    </row>
    <row r="154" spans="1:5" x14ac:dyDescent="0.35">
      <c r="A154" s="17" t="s">
        <v>948</v>
      </c>
      <c r="B154" s="2" t="s">
        <v>508</v>
      </c>
      <c r="C154" s="9">
        <v>45644</v>
      </c>
      <c r="D154" s="2" t="b">
        <v>0</v>
      </c>
      <c r="E154" s="29">
        <v>39.369999999999997</v>
      </c>
    </row>
    <row r="155" spans="1:5" x14ac:dyDescent="0.35">
      <c r="A155" s="17" t="s">
        <v>949</v>
      </c>
      <c r="B155" s="2" t="s">
        <v>508</v>
      </c>
      <c r="C155" s="9">
        <v>45643</v>
      </c>
      <c r="D155" s="2" t="b">
        <v>0</v>
      </c>
      <c r="E155" s="29">
        <v>36.54</v>
      </c>
    </row>
    <row r="156" spans="1:5" x14ac:dyDescent="0.35">
      <c r="A156" s="47" t="s">
        <v>950</v>
      </c>
      <c r="B156" s="2" t="s">
        <v>508</v>
      </c>
      <c r="C156" s="9">
        <v>45641</v>
      </c>
      <c r="D156" s="2" t="b">
        <v>0</v>
      </c>
      <c r="E156" s="29">
        <v>20.02</v>
      </c>
    </row>
    <row r="157" spans="1:5" x14ac:dyDescent="0.35">
      <c r="A157" s="17" t="s">
        <v>951</v>
      </c>
      <c r="B157" s="2" t="s">
        <v>508</v>
      </c>
      <c r="C157" s="9">
        <v>45639</v>
      </c>
      <c r="D157" s="2" t="b">
        <v>0</v>
      </c>
      <c r="E157" s="29">
        <v>24.59</v>
      </c>
    </row>
    <row r="158" spans="1:5" x14ac:dyDescent="0.35">
      <c r="A158" s="17" t="s">
        <v>952</v>
      </c>
      <c r="B158" s="2" t="s">
        <v>508</v>
      </c>
      <c r="C158" s="9">
        <v>45637</v>
      </c>
      <c r="D158" s="2" t="b">
        <v>0</v>
      </c>
      <c r="E158" s="29">
        <v>52.13</v>
      </c>
    </row>
    <row r="159" spans="1:5" x14ac:dyDescent="0.35">
      <c r="A159" s="17" t="s">
        <v>953</v>
      </c>
      <c r="B159" s="2" t="s">
        <v>508</v>
      </c>
      <c r="C159" s="9">
        <v>45635</v>
      </c>
      <c r="D159" s="2" t="b">
        <v>0</v>
      </c>
      <c r="E159" s="29">
        <v>16.760000000000002</v>
      </c>
    </row>
    <row r="160" spans="1:5" x14ac:dyDescent="0.35">
      <c r="A160" s="17" t="s">
        <v>954</v>
      </c>
      <c r="B160" s="2" t="s">
        <v>508</v>
      </c>
      <c r="C160" s="9">
        <v>45634</v>
      </c>
      <c r="D160" s="2" t="b">
        <v>0</v>
      </c>
      <c r="E160" s="29">
        <v>21.17</v>
      </c>
    </row>
    <row r="161" spans="1:5" x14ac:dyDescent="0.35">
      <c r="A161" s="17" t="s">
        <v>955</v>
      </c>
      <c r="B161" s="2" t="s">
        <v>508</v>
      </c>
      <c r="C161" s="9">
        <v>45630</v>
      </c>
      <c r="D161" s="2" t="b">
        <v>0</v>
      </c>
      <c r="E161" s="29">
        <v>39.369999999999997</v>
      </c>
    </row>
    <row r="162" spans="1:5" x14ac:dyDescent="0.35">
      <c r="A162" s="17" t="s">
        <v>956</v>
      </c>
      <c r="B162" s="2" t="s">
        <v>508</v>
      </c>
      <c r="C162" s="9">
        <v>45627</v>
      </c>
      <c r="D162" s="2" t="b">
        <v>0</v>
      </c>
      <c r="E162" s="29">
        <v>16.89</v>
      </c>
    </row>
    <row r="163" spans="1:5" ht="15" thickBot="1" x14ac:dyDescent="0.4">
      <c r="A163" s="27" t="s">
        <v>957</v>
      </c>
      <c r="B163" s="7" t="s">
        <v>508</v>
      </c>
      <c r="C163" s="6">
        <v>45627</v>
      </c>
      <c r="D163" s="7" t="b">
        <v>0</v>
      </c>
      <c r="E163" s="26">
        <v>35.229999999999997</v>
      </c>
    </row>
    <row r="164" spans="1:5" s="40" customFormat="1" x14ac:dyDescent="0.35">
      <c r="A164" s="48" t="s">
        <v>964</v>
      </c>
      <c r="C164" s="41"/>
      <c r="E164" s="4">
        <f>SUM(E136:E163)</f>
        <v>595.54</v>
      </c>
    </row>
    <row r="165" spans="1:5" s="40" customFormat="1" ht="15" thickBot="1" x14ac:dyDescent="0.4">
      <c r="C165" s="41"/>
      <c r="E165" s="4"/>
    </row>
    <row r="166" spans="1:5" x14ac:dyDescent="0.35">
      <c r="A166" s="22" t="s">
        <v>958</v>
      </c>
      <c r="B166" s="21" t="s">
        <v>959</v>
      </c>
      <c r="C166" s="18">
        <v>45648</v>
      </c>
      <c r="D166" s="21" t="b">
        <v>0</v>
      </c>
      <c r="E166" s="11">
        <v>0.5</v>
      </c>
    </row>
    <row r="167" spans="1:5" x14ac:dyDescent="0.35">
      <c r="A167" s="17" t="s">
        <v>960</v>
      </c>
      <c r="B167" s="2" t="s">
        <v>959</v>
      </c>
      <c r="C167" s="9">
        <v>45644</v>
      </c>
      <c r="D167" s="2" t="b">
        <v>0</v>
      </c>
      <c r="E167" s="29">
        <v>13</v>
      </c>
    </row>
    <row r="168" spans="1:5" x14ac:dyDescent="0.35">
      <c r="A168" s="17" t="s">
        <v>961</v>
      </c>
      <c r="B168" s="2" t="s">
        <v>959</v>
      </c>
      <c r="C168" s="9">
        <v>45642</v>
      </c>
      <c r="D168" s="2" t="b">
        <v>0</v>
      </c>
      <c r="E168" s="29">
        <v>19.600000000000001</v>
      </c>
    </row>
    <row r="169" spans="1:5" x14ac:dyDescent="0.35">
      <c r="A169" s="17" t="s">
        <v>962</v>
      </c>
      <c r="B169" s="2" t="s">
        <v>535</v>
      </c>
      <c r="C169" s="9">
        <v>45635</v>
      </c>
      <c r="D169" s="2" t="b">
        <v>0</v>
      </c>
      <c r="E169" s="29">
        <v>32.29</v>
      </c>
    </row>
    <row r="170" spans="1:5" ht="15" thickBot="1" x14ac:dyDescent="0.4">
      <c r="A170" s="27" t="s">
        <v>963</v>
      </c>
      <c r="B170" s="7" t="s">
        <v>535</v>
      </c>
      <c r="C170" s="6">
        <v>45634</v>
      </c>
      <c r="D170" s="7" t="b">
        <v>0</v>
      </c>
      <c r="E170" s="26">
        <v>26.18</v>
      </c>
    </row>
    <row r="171" spans="1:5" x14ac:dyDescent="0.35">
      <c r="A171" s="48" t="s">
        <v>964</v>
      </c>
      <c r="E171" s="1">
        <f>SUM(E166:E170)</f>
        <v>91.57</v>
      </c>
    </row>
    <row r="175" spans="1:5" x14ac:dyDescent="0.35">
      <c r="A175" t="s">
        <v>973</v>
      </c>
      <c r="E175" s="1">
        <f>SUM(E171,E164,E134,E126,E119,E105,E89,E70,E54,E37,E28,E20,E16)</f>
        <v>2325.6000000000004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Ventes total 2024</vt:lpstr>
      <vt:lpstr>April 2024</vt:lpstr>
      <vt:lpstr>Mai 2024</vt:lpstr>
      <vt:lpstr>juin 2024</vt:lpstr>
      <vt:lpstr>Juillet 2024</vt:lpstr>
      <vt:lpstr>Aout 2024</vt:lpstr>
      <vt:lpstr>Sept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aba.mv@outlook.com</dc:creator>
  <cp:lastModifiedBy>aba.mv@outlook.com</cp:lastModifiedBy>
  <dcterms:created xsi:type="dcterms:W3CDTF">2025-08-27T13:09:22Z</dcterms:created>
  <dcterms:modified xsi:type="dcterms:W3CDTF">2025-09-15T23:47:19Z</dcterms:modified>
</cp:coreProperties>
</file>